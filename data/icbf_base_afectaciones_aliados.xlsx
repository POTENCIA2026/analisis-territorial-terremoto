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icbfgob-my.sharepoint.com/personal/juan_vidal_icbf_gov_co/Documents/Documentos/2026/ICBF/"/>
    </mc:Choice>
  </mc:AlternateContent>
  <xr:revisionPtr revIDLastSave="7" documentId="8_{32C46279-0286-42DE-94A0-854D67D7C4E5}" xr6:coauthVersionLast="47" xr6:coauthVersionMax="47" xr10:uidLastSave="{09CDBB96-8E30-4434-BEE2-3CB30BF8975F}"/>
  <bookViews>
    <workbookView xWindow="-120" yWindow="-120" windowWidth="20730" windowHeight="11040" firstSheet="5" activeTab="8" xr2:uid="{B5B593E4-CB34-4E27-B037-E9353B398976}"/>
  </bookViews>
  <sheets>
    <sheet name="SEDES ADM" sheetId="5" r:id="rId1"/>
    <sheet name="INFANCIAS Y ADOLESCENCIAS" sheetId="4" r:id="rId2"/>
    <sheet name="PRIMERA INFANCIA" sheetId="3" r:id="rId3"/>
    <sheet name="INFRAESTRUCTURA SRD" sheetId="2" r:id="rId4"/>
    <sheet name="NUTRICIÓN" sheetId="6" r:id="rId5"/>
    <sheet name="$ EMPI_BINAS Resumen general" sheetId="8" r:id="rId6"/>
    <sheet name="Personal costeado" sheetId="9" r:id="rId7"/>
    <sheet name="Transporte mensual" sheetId="10" r:id="rId8"/>
    <sheet name="Materiales" sheetId="11" r:id="rId9"/>
  </sheets>
  <definedNames>
    <definedName name="_xlnm._FilterDatabase" localSheetId="2" hidden="1">'PRIMERA INFANCIA'!$A$1:$M$3449</definedName>
    <definedName name="_xlnm._FilterDatabase" localSheetId="0" hidden="1">'SEDES ADM'!$A$1:$BS$1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37" i="11" l="1"/>
  <c r="L37" i="11" s="1"/>
  <c r="I37" i="11"/>
  <c r="L36" i="11"/>
  <c r="J36" i="11"/>
  <c r="I36" i="11"/>
  <c r="L35" i="11"/>
  <c r="J35" i="11"/>
  <c r="I35" i="11"/>
  <c r="I34" i="11"/>
  <c r="J34" i="11" s="1"/>
  <c r="L34" i="11" s="1"/>
  <c r="I33" i="11"/>
  <c r="J33" i="11" s="1"/>
  <c r="L33" i="11" s="1"/>
  <c r="I32" i="11"/>
  <c r="J32" i="11" s="1"/>
  <c r="L32" i="11" s="1"/>
  <c r="I31" i="11"/>
  <c r="J31" i="11" s="1"/>
  <c r="L31" i="11" s="1"/>
  <c r="J30" i="11"/>
  <c r="L30" i="11" s="1"/>
  <c r="I30" i="11"/>
  <c r="J29" i="11"/>
  <c r="L29" i="11" s="1"/>
  <c r="I29" i="11"/>
  <c r="J28" i="11"/>
  <c r="L28" i="11" s="1"/>
  <c r="I28" i="11"/>
  <c r="L27" i="11"/>
  <c r="J27" i="11"/>
  <c r="I27" i="11"/>
  <c r="I26" i="11"/>
  <c r="J26" i="11" s="1"/>
  <c r="L26" i="11" s="1"/>
  <c r="I25" i="11"/>
  <c r="J25" i="11" s="1"/>
  <c r="L25" i="11" s="1"/>
  <c r="I24" i="11"/>
  <c r="J24" i="11" s="1"/>
  <c r="L24" i="11" s="1"/>
  <c r="I23" i="11"/>
  <c r="J23" i="11" s="1"/>
  <c r="L23" i="11" s="1"/>
  <c r="J22" i="11"/>
  <c r="L22" i="11" s="1"/>
  <c r="I22" i="11"/>
  <c r="J21" i="11"/>
  <c r="L21" i="11" s="1"/>
  <c r="I21" i="11"/>
  <c r="J20" i="11"/>
  <c r="L20" i="11" s="1"/>
  <c r="I20" i="11"/>
  <c r="L19" i="11"/>
  <c r="J19" i="11"/>
  <c r="I19" i="11"/>
  <c r="I18" i="11"/>
  <c r="J18" i="11" s="1"/>
  <c r="L18" i="11" s="1"/>
  <c r="I17" i="11"/>
  <c r="J17" i="11" s="1"/>
  <c r="L17" i="11" s="1"/>
  <c r="I16" i="11"/>
  <c r="J16" i="11" s="1"/>
  <c r="L16" i="11" s="1"/>
  <c r="L15" i="11"/>
  <c r="L14" i="11"/>
  <c r="I13" i="11"/>
  <c r="J13" i="11" s="1"/>
  <c r="L13" i="11" s="1"/>
  <c r="I12" i="11"/>
  <c r="J12" i="11" s="1"/>
  <c r="L12" i="11" s="1"/>
  <c r="I11" i="11"/>
  <c r="J11" i="11" s="1"/>
  <c r="L11" i="11" s="1"/>
  <c r="J10" i="11"/>
  <c r="L10" i="11" s="1"/>
  <c r="I10" i="11"/>
  <c r="J9" i="11"/>
  <c r="L9" i="11" s="1"/>
  <c r="I9" i="11"/>
  <c r="J8" i="11"/>
  <c r="L8" i="11" s="1"/>
  <c r="I8" i="11"/>
  <c r="H10" i="10"/>
  <c r="F10" i="10"/>
  <c r="I9" i="10"/>
  <c r="J9" i="10" s="1"/>
  <c r="J8" i="10"/>
  <c r="I8" i="10"/>
  <c r="J7" i="10"/>
  <c r="I7" i="10"/>
  <c r="I6" i="10"/>
  <c r="J6" i="10" s="1"/>
  <c r="I5" i="10"/>
  <c r="I10" i="10" s="1"/>
  <c r="E6" i="8" s="1"/>
  <c r="F14" i="9"/>
  <c r="D14" i="9"/>
  <c r="C14" i="9"/>
  <c r="B14" i="9"/>
  <c r="H13" i="9"/>
  <c r="G13" i="9"/>
  <c r="E13" i="9"/>
  <c r="I13" i="9" s="1"/>
  <c r="J13" i="9" s="1"/>
  <c r="B13" i="9"/>
  <c r="I12" i="9"/>
  <c r="J12" i="9" s="1"/>
  <c r="H12" i="9"/>
  <c r="G12" i="9"/>
  <c r="E12" i="9"/>
  <c r="H11" i="9"/>
  <c r="G11" i="9"/>
  <c r="G14" i="9" s="1"/>
  <c r="E11" i="9"/>
  <c r="I11" i="9" s="1"/>
  <c r="J11" i="9" s="1"/>
  <c r="I10" i="9"/>
  <c r="J10" i="9" s="1"/>
  <c r="H10" i="9"/>
  <c r="G10" i="9"/>
  <c r="E10" i="9"/>
  <c r="H9" i="9"/>
  <c r="H14" i="9" s="1"/>
  <c r="G9" i="9"/>
  <c r="E9" i="9"/>
  <c r="E14" i="9" s="1"/>
  <c r="L38" i="11" l="1"/>
  <c r="E7" i="8" s="1"/>
  <c r="J5" i="10"/>
  <c r="J10" i="10" s="1"/>
  <c r="I9" i="9"/>
  <c r="J9" i="9" l="1"/>
  <c r="J14" i="9" s="1"/>
  <c r="I14" i="9"/>
  <c r="E5" i="8" s="1"/>
  <c r="E11" i="8" l="1"/>
  <c r="E12" i="8" s="1"/>
  <c r="E8" i="8"/>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7">
    <bk>
      <extLst>
        <ext uri="{3e2802c4-a4d2-4d8b-9148-e3be6c30e623}">
          <xlrd:rvb i="0"/>
        </ext>
      </extLst>
    </bk>
    <bk>
      <extLst>
        <ext uri="{3e2802c4-a4d2-4d8b-9148-e3be6c30e623}">
          <xlrd:rvb i="14"/>
        </ext>
      </extLst>
    </bk>
    <bk>
      <extLst>
        <ext uri="{3e2802c4-a4d2-4d8b-9148-e3be6c30e623}">
          <xlrd:rvb i="23"/>
        </ext>
      </extLst>
    </bk>
    <bk>
      <extLst>
        <ext uri="{3e2802c4-a4d2-4d8b-9148-e3be6c30e623}">
          <xlrd:rvb i="34"/>
        </ext>
      </extLst>
    </bk>
    <bk>
      <extLst>
        <ext uri="{3e2802c4-a4d2-4d8b-9148-e3be6c30e623}">
          <xlrd:rvb i="45"/>
        </ext>
      </extLst>
    </bk>
    <bk>
      <extLst>
        <ext uri="{3e2802c4-a4d2-4d8b-9148-e3be6c30e623}">
          <xlrd:rvb i="56"/>
        </ext>
      </extLst>
    </bk>
    <bk>
      <extLst>
        <ext uri="{3e2802c4-a4d2-4d8b-9148-e3be6c30e623}">
          <xlrd:rvb i="67"/>
        </ext>
      </extLst>
    </bk>
  </future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<sst xmlns="http://schemas.openxmlformats.org/spreadsheetml/2006/main" count="36448" uniqueCount="3545">
  <si>
    <t>MATRIZ DE AFECTACIÓN DE INFRAESTRUCTURA – TIPOLOGÍA SRD</t>
  </si>
  <si>
    <t>IDENTIFICACIÓN Y CARACTERIZACIÓN</t>
  </si>
  <si>
    <t>AFECTACIÓN REPORTADA</t>
  </si>
  <si>
    <t>VERIFICACIÓN Y VISITA</t>
  </si>
  <si>
    <t>CONTINGENCIA Y OPERACIÓN</t>
  </si>
  <si>
    <t>ACTUALIZACIÓN</t>
  </si>
  <si>
    <t>N.º Ficha</t>
  </si>
  <si>
    <t>Regional</t>
  </si>
  <si>
    <t>Municipio</t>
  </si>
  <si>
    <t>Área</t>
  </si>
  <si>
    <t>Tipología</t>
  </si>
  <si>
    <t>Modalidad</t>
  </si>
  <si>
    <t>¿Infraestructura propia? (Tenencia de la Infraestructura)</t>
  </si>
  <si>
    <t>Nombre de la infraestructura / Nombre del Operador</t>
  </si>
  <si>
    <t>Dirección</t>
  </si>
  <si>
    <t>CUPOS SRD</t>
  </si>
  <si>
    <t>Fecha del Reporte (AFECTACIÓN REPORTADA POR SISMO 10/08/2026)</t>
  </si>
  <si>
    <t>Observación General</t>
  </si>
  <si>
    <t>ESTADO (Estado de la Infraestructura)</t>
  </si>
  <si>
    <t>Grado de afectación</t>
  </si>
  <si>
    <t>¿Se realizó visita a la infraestructura?</t>
  </si>
  <si>
    <t>Realizada por (nombre y cargo)</t>
  </si>
  <si>
    <t>¿Existe informe de la visita?</t>
  </si>
  <si>
    <t>N.º / referencia del informe</t>
  </si>
  <si>
    <t>Fecha de la visita</t>
  </si>
  <si>
    <t>Anexa soportes (Sí/No)</t>
  </si>
  <si>
    <t>Detalle de la contingencia</t>
  </si>
  <si>
    <t>¿Se anexa registro fotográfico o Informe?</t>
  </si>
  <si>
    <t>Acciones a la contingencia</t>
  </si>
  <si>
    <t>La modalidad está funcionando en la Infraestructura (Si/No)</t>
  </si>
  <si>
    <t>Fecha Actualización Ficha</t>
  </si>
  <si>
    <t>Observación de la Actualización</t>
  </si>
  <si>
    <t>Actualización Reportado por</t>
  </si>
  <si>
    <t>02</t>
  </si>
  <si>
    <t>Caldas</t>
  </si>
  <si>
    <t>Riosucio</t>
  </si>
  <si>
    <t>PROTECCIÓN</t>
  </si>
  <si>
    <t>SRD</t>
  </si>
  <si>
    <t>INTERNADO PARD</t>
  </si>
  <si>
    <t>PROPIA DEL OPERADOR</t>
  </si>
  <si>
    <t>INTERNADO CORPORACION PORTAL DE LUZ</t>
  </si>
  <si>
    <t>Calle 10 # 4 - 32 Peatonal</t>
  </si>
  <si>
    <t>10/08/2026</t>
  </si>
  <si>
    <t>Se evidencian grietas en pared de zona común</t>
  </si>
  <si>
    <t>EVACUADO</t>
  </si>
  <si>
    <t>MODERADO</t>
  </si>
  <si>
    <t>Sí</t>
  </si>
  <si>
    <t>Especialista de infraestructura Dirección Administrativa ICBF</t>
  </si>
  <si>
    <t>En elaboración</t>
  </si>
  <si>
    <t>11/08/2026 y 13/08/2026</t>
  </si>
  <si>
    <t>No</t>
  </si>
  <si>
    <t>El 10 de agosto se requirió la evacuación inmediata de los 36 beneficiarios, quienes debieron ser ubicados temporalmente en tres (3) casas alquiladas también en Riosucio por la Regional Caldas, debido a la urgencia. El 11 de agosto se realizó la visita de infraestructura por parte del ICBF y, el 13 de agosto, se realizó la visita por parte de la Oficina de Riesgo del municipio, donde se otorgó aval para poder utilizar la infraestructura. Los 36 beneficiarios, al 13 de agosto de 2026, previa valoración de infraestructura, fueron ubicados nuevamente en su unidad de servicio.</t>
  </si>
  <si>
    <t>Se requirió el apoyo de la Sede Nacional para evaluar el inmueble de la unidad de servicio. Se presenta servicio normalmente.</t>
  </si>
  <si>
    <t>Emisión de la Ficha</t>
  </si>
  <si>
    <t>Dirección de Protección Especial</t>
  </si>
  <si>
    <t>05</t>
  </si>
  <si>
    <t>Manizales</t>
  </si>
  <si>
    <t>CASA UNIVERSITARIA</t>
  </si>
  <si>
    <t>ARRENDAMIENTO DEL OPERADOR</t>
  </si>
  <si>
    <t>CASA UNIVERSITARIA MUNDOS HERMANOS HOMBRES</t>
  </si>
  <si>
    <t>Casa Barrio Fundadores, Cra 23 # 32-02</t>
  </si>
  <si>
    <t>Daños graves a nivel estructural, con concepto de no habitabilidad.</t>
  </si>
  <si>
    <t>SEVERO</t>
  </si>
  <si>
    <t>12/08/2026</t>
  </si>
  <si>
    <t>Ante la afectación, se requirió la evacuación inmediata de los 18 beneficiarios, quienes debieron ser reubicados en otras unidades de servicio o con redes de apoyo. Se requirió el apoyo de la Sede de la Dirección General del ICBF con el fin de evaluar un (1) inmueble de propiedad del ICBF que se encuentra desocupado. Por lo anterior, se solicitó la visita de validación técnica para determinar si se puede utilizar dicho inmueble para trasladar a los adolescentes y jóvenes de la Casa Universitaria afectada. Dicho inmueble se encuentra en la siguiente dirección: calle 47 # 28A-53, barrio Colombia. El 12 de agosto se realizó la visita de infraestructura por parte del ICBF, tanto de la Sede Nacional como de la Regional Caldas.</t>
  </si>
  <si>
    <t>Se requirió la evacuación inmediata de los 18 beneficiarios, quienes debieron ser reubicados en la unidad de servicio Casa Universitaria Femenina (8 beneficiarios) y con redes de apoyo (10 beneficiarios), luego del análisis de los casos realizado con las autoridades administrativas, quienes determinaron la viabilidad de las acciones con garantías.</t>
  </si>
  <si>
    <t>07</t>
  </si>
  <si>
    <t>Valle del Cauca</t>
  </si>
  <si>
    <t>Sevilla</t>
  </si>
  <si>
    <t>INTERVENCIÓN DE APOYO PSICOSOCIAL</t>
  </si>
  <si>
    <t>PSICOSOCIAL FUNDACION MACEYAD VALLE</t>
  </si>
  <si>
    <t>Calle 48 # 51-32 segundo piso. Barrio Tres de mayo</t>
  </si>
  <si>
    <t>Grietas en paredes en oficina de Coordinación y Terraza</t>
  </si>
  <si>
    <t>EVACUACIÓN</t>
  </si>
  <si>
    <t>Inmobiliaria</t>
  </si>
  <si>
    <t>NA</t>
  </si>
  <si>
    <t>El inmueble de enseguida colapsó, lo que generó desprendimiento de material hacia la terraza. La infraestructura ya fue revisada por un ingeniero que llevó la inmobiliaria, y se solicitó el informe para remitir a la supervisión del contrato.</t>
  </si>
  <si>
    <t>El operador continúa prestando el servicio mediante visitas en contexto. Se presta el servicio con normalidad.</t>
  </si>
  <si>
    <t>09</t>
  </si>
  <si>
    <t>Chocó</t>
  </si>
  <si>
    <t>Quibdó</t>
  </si>
  <si>
    <t>HOGAR SUSTITUTO</t>
  </si>
  <si>
    <t>PROPIA DE LA MADRE</t>
  </si>
  <si>
    <t>HS FUNDACION PROMOTORA DESARROLLO - Diana Yisel Albornoz Nadal</t>
  </si>
  <si>
    <t>CRA 16 Nº16-60 Br. Santa Ana</t>
  </si>
  <si>
    <t>Se evidencia afectación, grietas en muros</t>
  </si>
  <si>
    <t>REQUIRIÓ TRASLADO</t>
  </si>
  <si>
    <t>Operador</t>
  </si>
  <si>
    <t>El operador hizo visita el 11 de agosto. Es un hogar que presenta grietas en la vivienda. La madre sustituta se trasladó a la casa de una sobrina.</t>
  </si>
  <si>
    <t>Activaron el protocolo (conforme al memorando). Son 6 niños; todos avalados en el traslado por las Autoridades Administrativas. 5 de los beneficiarios de vulneración y 1 desvinculado.</t>
  </si>
  <si>
    <t>11</t>
  </si>
  <si>
    <t>Quindío</t>
  </si>
  <si>
    <t>Armenia</t>
  </si>
  <si>
    <t>EXTERNADO MEDIA JORNADA</t>
  </si>
  <si>
    <t>EXTERNADO CENTRO LAURA VICUÑA</t>
  </si>
  <si>
    <t>Bosques de Pinares Manzana 11ª#1</t>
  </si>
  <si>
    <t>Afectación en paredes.</t>
  </si>
  <si>
    <t>NO APLICA EVACUACIÓN</t>
  </si>
  <si>
    <t>LEVE</t>
  </si>
  <si>
    <t>Se encuentra afectación en una de las paredes, en las instalaciones de la oficina contable y en la cocina. Desde la Dirección Regional se informa que las afectaciones son menores y que no hay afectación en la prestación del servicio.</t>
  </si>
  <si>
    <t>Se cuenta con cocina auxiliar para operar el servicio con normalidad</t>
  </si>
  <si>
    <t>12</t>
  </si>
  <si>
    <t>APOYO PSICOLÓGICO</t>
  </si>
  <si>
    <t>PSICOSOCIAL CENTRO VERSALLES</t>
  </si>
  <si>
    <t>B/ La Nueva Cecilia Calle 2 Norte #18-36</t>
  </si>
  <si>
    <t>Daños menores en paredes y daño en una puerta.</t>
  </si>
  <si>
    <t>Pendiente visita por DA-GII</t>
  </si>
  <si>
    <t>La infraestructura tomada en arriendo por el operador presenta daños en una pared del patio y avería de puertas. No afecta la prestación del servicio. El operador ha informado que las afectaciones mayores se presentan en oficinas y en áreas administrativas.</t>
  </si>
  <si>
    <t>El operador inicia las reparaciones.</t>
  </si>
  <si>
    <t>13</t>
  </si>
  <si>
    <t>HS FESANCO</t>
  </si>
  <si>
    <t>B/Berlín carrera 21 N° 24-41</t>
  </si>
  <si>
    <t>La vivienda presenta afectación en el tejado y algunas paredes.</t>
  </si>
  <si>
    <t>Se activa protocolo con autoridades administrativas y supervisión.</t>
  </si>
  <si>
    <t>Los dos beneficiarios (declarados en adoptabilidad) con la debida autorización de las Autoridades Administrativas a partir de los informes presentados por el Operador fueron trasladados el mismo día de la tragedia a casa de la red de apoyo de la Madre Sustituta como medida preventiva.</t>
  </si>
  <si>
    <t>14</t>
  </si>
  <si>
    <t>Calarcá</t>
  </si>
  <si>
    <t>INTERNADO JUAN XXIII</t>
  </si>
  <si>
    <t>Vereda Alto del Río</t>
  </si>
  <si>
    <t>13/08/2026</t>
  </si>
  <si>
    <t>Afectación en fachada y pintura, no reviste riesgo estructural</t>
  </si>
  <si>
    <t>Pendiente de valoración de la infraestructura por parte de la Alcaldía.</t>
  </si>
  <si>
    <t>Pendiente</t>
  </si>
  <si>
    <t>Afectación menor; no requirió contingencia.</t>
  </si>
  <si>
    <t>Se solicitó la visita a la Alcaldía de manera preventiva.</t>
  </si>
  <si>
    <t>16</t>
  </si>
  <si>
    <t>Risaralda</t>
  </si>
  <si>
    <t>Pereira</t>
  </si>
  <si>
    <t>INTERNADO DISCAPACIDAD</t>
  </si>
  <si>
    <t>INTERNADO RENOVAR SER DISCAPACIDAD INTELECTUAL</t>
  </si>
  <si>
    <t>Vía Altagracia - Sector Filo Bonito Finca San Lázaro</t>
  </si>
  <si>
    <t>Se activó el protocolo de evacuación y reubicación de los beneficiarios.</t>
  </si>
  <si>
    <t>Colapso de muros y cubiertas. El grado de afectación de la infraestructura es severo, puesto que quedó inoperable. No se puede brindar atención en el inmueble porque varias áreas del internado quedaron bajo los escombros.</t>
  </si>
  <si>
    <t>Los 68 beneficiarios fueron ubicados transitoriamente en el Centro de Emergencia, operado también por la Fundación Renovar Ser. Se inició la búsqueda de infraestructuras de manera inmediata. El 14/08/2026 se realizó una visita por parte de IVC para evaluar posibles infraestructuras.</t>
  </si>
  <si>
    <t>17</t>
  </si>
  <si>
    <t>INTERNADO FUNDACION NUESTRO HOGAR FEMENINO</t>
  </si>
  <si>
    <t>Carrera 11 Bis No. 2-46 Barrio Popular Modelo</t>
  </si>
  <si>
    <t>Reporte de afectaciones moderadas en la zona administrativa, la cual fue desalojada.</t>
  </si>
  <si>
    <t>VERIFICADO</t>
  </si>
  <si>
    <t>Se reportan afectaciones en la infraestructura. Inicialmente, se realizó el traslado de 17 niñas y adolescentes a otra de las sedes, mientras se revisaban los daños en la zona administrativa. Luego de la revisión y de verificar las condiciones de seguridad para las beneficiarias, regresaron al internado, el cual se encuentra con capacidad total para brindar atención.</t>
  </si>
  <si>
    <t>Se realizó la evacuación y reubicación de manera preventiva. El servicio está operando con normalidad luego de las verificaciones respectivas.</t>
  </si>
  <si>
    <t>18</t>
  </si>
  <si>
    <t>CASA HOGAR</t>
  </si>
  <si>
    <t>CASA HOGAR SIRVIENDO CON AMOR</t>
  </si>
  <si>
    <t>Carrera 8 No. 27-54 Segundo Piso</t>
  </si>
  <si>
    <t>Afectaciones graves, con condición de desalojo. El inmueble quedó inhabitable por estar ubicado en el sector centro de Pereira. Requiere demolición, según informe.</t>
  </si>
  <si>
    <t>COLAPSO</t>
  </si>
  <si>
    <t>Los 12 beneficiarios fueron ubicados temporalmente en el internado que atiende población víctima de violencia sexual, operado también por la Corporación Sirviendo con Amor.</t>
  </si>
  <si>
    <t>Búsqueda de infraestructuras.</t>
  </si>
  <si>
    <t>19</t>
  </si>
  <si>
    <t>CASA UNIVERSITARIA MUNDOS HERMANOS</t>
  </si>
  <si>
    <t>Grietas en paredes</t>
  </si>
  <si>
    <t>POR VERIFICAR</t>
  </si>
  <si>
    <t>Casa Universitaria operada por Corporación Mundos Hermanos afectaciones leves, tales como paredes con grietas. Tras la revisión del ingeniero de la Regional, se indicó que se puede brindar la atención al 100%.</t>
  </si>
  <si>
    <t>Se mantuvo la prestación del servicio con normalidad</t>
  </si>
  <si>
    <t>20</t>
  </si>
  <si>
    <t>INTERNADO GRANJAS INFANTILES</t>
  </si>
  <si>
    <t>Avenida Sur Vía Mercasa</t>
  </si>
  <si>
    <t>Los dormitorios de los beneficiarios quedaron muy afectados; se han adecuado otros espacios del internado para ubicarlos de manera inmediata. El inmueble es propiedad del operador y no del ICBF. Dirección: avenida Sur, vía Mercasa, Pereira. Se reportan 116 beneficiarios ubicados. No requiere traslado de beneficiarios. Fuente: Reporte de afectación de servicios, 10/08/2026.</t>
  </si>
  <si>
    <t>El operador realizó la reubicación interna, dado que los espacios de la unidad son amplios y variados. Se iniciaron acciones para reparar las áreas afectadas. Algunas áreas quedaron completamente inhabilitadas; sin embargo, no son de uso recurrente.</t>
  </si>
  <si>
    <t>Reubicación interna en espacios de aulas múltiples, salones y dormitorios. Se activa la contingencia para garantizar la prestación del servicio y el operador da inicio a las acciones de reparación y recuperación.</t>
  </si>
  <si>
    <t>21</t>
  </si>
  <si>
    <t>HS MUNDOS HERMANOS JASBLEIDY SUAREZ</t>
  </si>
  <si>
    <t>Mz 12 casa 20 Br. 5 de agosto</t>
  </si>
  <si>
    <t>La vivienda presenta afectación en el tejado, colapso de paredes y escaleras.</t>
  </si>
  <si>
    <t>APLICA EVACUACIÓN</t>
  </si>
  <si>
    <t>operador ONG Mundos Hermanos</t>
  </si>
  <si>
    <t>Colapso de infraestructura. Se requiere la reubicación de los tres (3) niñas y niños en otro hogar sustituto, porque no tienen vivienda donde trasladarse.</t>
  </si>
  <si>
    <t>Se encuentran ubicados en una red de apoyo de la familia sustituta.</t>
  </si>
  <si>
    <t>22</t>
  </si>
  <si>
    <t>HS MUNDOS HERMANOS ERIKA SUAREZ</t>
  </si>
  <si>
    <t>Calle 23 No. 3-72 Barrio San Jorge</t>
  </si>
  <si>
    <t>Colapso de la Infraestructura.</t>
  </si>
  <si>
    <t>14/08/2026</t>
  </si>
  <si>
    <t>Se generó colapso de la infraestructura, por lo que se hace reubicación de los tres (3) niñas y niños en otro hogar sustituto.</t>
  </si>
  <si>
    <t>Se realiza reubicación de los tres (3) beneficiarios en otro hogar sustituto.</t>
  </si>
  <si>
    <t>26</t>
  </si>
  <si>
    <t>Tolima</t>
  </si>
  <si>
    <t>Ibagué</t>
  </si>
  <si>
    <t>INTERNADO CEDESNID DISCAPACIDAD</t>
  </si>
  <si>
    <t>Carrera 3 Sur No. 29-05 Barrio Las Brisas</t>
  </si>
  <si>
    <t>Colapsó un muro perimetral del internado, de aproximadamente nueve (9) metros lineales.</t>
  </si>
  <si>
    <t>No se reportaron heridos ni afectaciones adicionales. Se recogieron los escombros con apoyo de la Secretaría de Gobierno y el Ejército; 62 beneficiarios fueron reubicados temporalmente en otro nivel de la infraestructura y se reforzó la zona con guaduas y polisombra, mientras el propietario del predio define la fecha para reconstruir el muro. No requiere traslado de beneficiarios. La sede continúa en funcionamiento.</t>
  </si>
  <si>
    <t>Se realiza cerramiento temporal con polisombra del área afectada. No hay afectación en la prestación del servicio.</t>
  </si>
  <si>
    <t>27</t>
  </si>
  <si>
    <t>Cali</t>
  </si>
  <si>
    <t>A. PSICOLOGICO ESPECIALIZADO FUNDACION LAZZOS DE AMOR</t>
  </si>
  <si>
    <t>Carrera 43 No. 5C- 34, Barrio Tequendama</t>
  </si>
  <si>
    <t>Colapsaron las paredes de la fachada de la infraestructura (afectaciones graves).</t>
  </si>
  <si>
    <t>Al momento del sismo, en las instalaciones se estaban atendiendo beneficiarios; todos lograron ser evacuados sin afectaciones, a excepción del fallecimiento de la profesional en psicología a quien, al momento de evacuar y justo en la salida de las instalaciones, cayó la fachada. También se vio afectada una beneficiaria y fue remitida a servicios hospitalarios y no presenta afectaciones graves.</t>
  </si>
  <si>
    <t>El servicio se encuentra en la actualidad suspendido. El operador ha estado en articulación con la supervisión del ICBF con el fin de analizar la viabilidad de brindar atención virtual a los beneficiarios. De igual manera, el operador ha informado que cuenta con sede licenciada en el norte de la ciudad. Entre el operador y el supervisor se está evaluando la viabilidad de prestación del servicio de manera virtual o en otras instalaciones de manera presencial. Se considera, en virtud de lo anterior, brindar apoyo psicosocial al operador.</t>
  </si>
  <si>
    <t>28</t>
  </si>
  <si>
    <t>INTERNADO GESTANTES</t>
  </si>
  <si>
    <t>INTERNADO GESTANTES CERMUJER</t>
  </si>
  <si>
    <t>Calle 8 No. 14-08</t>
  </si>
  <si>
    <t>Se evidencian grietas en algunas paredes de zona común. Fuente</t>
  </si>
  <si>
    <t>Se generó la afectación en una pared de uno de los dormitorios. Las niñas y adolescentes, junto con sus hijos, se encuentran bien y fueron reubicadas temporalmente dentro del mismo internado. Un equipo del Centro Zonal Centro se desplazó para verificar la situación.</t>
  </si>
  <si>
    <t>Al interior de la misma infraestructura, de los 24 beneficiarios, sin afectar la prestación del servicio. Se reportan 14 adolescentes y 10 niñas y niños ubicados. No requiere traslado de beneficiarios.</t>
  </si>
  <si>
    <t>29</t>
  </si>
  <si>
    <t>CASA UNIVERSITARIA ALIANZA ONG</t>
  </si>
  <si>
    <t>Carrera 42 No. 4-50 Barrio El Lido</t>
  </si>
  <si>
    <t>Infraestructura de tres pisos con grietas en el tercer piso y caída de techo (drywall).</t>
  </si>
  <si>
    <t>Se reubicaron los jóvenes en el primer y segundo piso de la misma casa universitaria. El operador solicitó a la arrendataria una revisión técnica del inmueble para contemplar el arreglo. La dotación institucional se afectó solo en los equipos de cómputo porque cayeron al piso.</t>
  </si>
  <si>
    <t>No requiere traslado de beneficiarios; se mantiene la operación normal de la modalidad.</t>
  </si>
  <si>
    <t>30</t>
  </si>
  <si>
    <t>COMODATO</t>
  </si>
  <si>
    <t>INTERNADO INSTITUTO TOBIAS EMANUL DISCAPACIDAD</t>
  </si>
  <si>
    <t>Calle 5B2 No. 37A-75 Barrio San Fernando</t>
  </si>
  <si>
    <t>Grieta en paredes zonas comunes</t>
  </si>
  <si>
    <t>Temporalmente, se han habilitado tres (3) salones para que las usuarias puedan permanecer durante la noche. En el día permanecen en sus actividades, según la rutina, y a la espera de retomar la asistencia a sus colegios, en el caso de aquellas que se encuentran escolarizadas. Por lo demás, se requieren reparaciones menores relacionadas con la fachada y las tejas partidas.</t>
  </si>
  <si>
    <t>Las condiciones son habitables, excepto en el espacio denominado Casa Mujeres (cerramiento por precaución). Fue necesario reubicar a 27 beneficiarias dentro de las mismas instalaciones, sin afectar la capacidad instalada.</t>
  </si>
  <si>
    <t>33</t>
  </si>
  <si>
    <t>PSICOSOCIAL FUND. NUEVO COMIENZO</t>
  </si>
  <si>
    <t>Diagonal 26P 12 No. 103-14 Barrio Marroquín 1° Etapa</t>
  </si>
  <si>
    <t>Presenta algunas grietas en paredes.</t>
  </si>
  <si>
    <t>Se presentan grietas en las paredes de la oficina.</t>
  </si>
  <si>
    <t>Se solicita la visita por parte de un ingeniero o arquitecto de la Dirección Administrativa para verificar la infraestructura. El servicio se está prestando con normalidad.</t>
  </si>
  <si>
    <t>34</t>
  </si>
  <si>
    <t>PSICOSOCIAL ACJ</t>
  </si>
  <si>
    <t>Carrera 56 No. 2-51 Barrio Guadalupe</t>
  </si>
  <si>
    <t>Daños de infraestructura, la cual requiere revisión especializada.</t>
  </si>
  <si>
    <t>La infraestructura sufrió daños en infraestructura con grietas y daños estructurales en el techo. Al momento, se restableció el servicio de energía y agua.</t>
  </si>
  <si>
    <t>Se solicita revisión técnica a la Dirección Administrativa.</t>
  </si>
  <si>
    <t>35</t>
  </si>
  <si>
    <t>EXTERNADO</t>
  </si>
  <si>
    <t>EXTERNADO FUNDENID</t>
  </si>
  <si>
    <t>Calle 55B No. 47-79 Barrio Ciudad Córdoba</t>
  </si>
  <si>
    <t>Se encuentra averiada la infraestructura. Se evidenció afectación estructural en las columnas del inmueble donde opera la unidad de servicio.</t>
  </si>
  <si>
    <t>La entidad está realizando acompañamiento virtual y entrega de ración preparada a los usuarios en un punto de encuentro, ya que en la sede no se puede realizar la atención. Tenencia del inmueble: Arriendo.</t>
  </si>
  <si>
    <t>Se le solicitó gestionar una valoración por parte de un profesional competente en infraestructura a la Dirección Administrativa.</t>
  </si>
  <si>
    <t>36</t>
  </si>
  <si>
    <t>Guacarí</t>
  </si>
  <si>
    <t>INTERNADO FUNDACION SINERGIA F</t>
  </si>
  <si>
    <t>Carretera Vía Pichichi A El Placer Sn 111</t>
  </si>
  <si>
    <t>Se presentan grietas, requieren revisión especializada</t>
  </si>
  <si>
    <t>Pendiente visita por profesional de la Inmobiliaria</t>
  </si>
  <si>
    <t>Durante la verificación se identificaron grietas de carácter menor en paredes. No obstante, se observó una grieta localizada en una viga estructural, situación que, por su ubicación y naturaleza, requiere valoración técnica especializada.</t>
  </si>
  <si>
    <t>Se solicitó la visita de inspección por parte del arquitecto de la inmobiliaria encargada del inmueble, con el propósito de realizar la evaluación correspondiente, determinar el origen y alcance de la afectación y establecer, de ser necesario, las acciones correctivas y/o de mantenimiento pertinentes. A la fecha, se mantiene seguimiento preventivo a la condición reportada. No requirió reubicación y continúa con la prestación del servicio.</t>
  </si>
  <si>
    <t>37</t>
  </si>
  <si>
    <t>Yumbo</t>
  </si>
  <si>
    <t>APOYO PSICOLÓGICO ESPECIALIZADO</t>
  </si>
  <si>
    <t>PSICOSOCIAL CREEMOS EN TI</t>
  </si>
  <si>
    <t>Calle 6 No. 4-47 Local 209 Barrio Belarcazar</t>
  </si>
  <si>
    <t>Grietas en pared de consultorio</t>
  </si>
  <si>
    <t>Unidad de Gestión de Riesgo</t>
  </si>
  <si>
    <t>En el consultorio 1 se evidenciaron grietas en la pared, en diferentes ángulos. En las escaleras que van hacia el mezzanine se evidencian grietas horizontales. Se encuentra pendiente la verificación integral de las demás oficinas. Durante el sismo se evidenció presencia de escombros al interior de la sede, por lo cual se solicitó el apoyo de la Oficina de Riesgo para realizar la valoración correspondiente.</t>
  </si>
  <si>
    <t>El servicio se encuentra suspendido. El operador presentó una propuesta para reanudarlo de manera virtual, la cual está siendo evaluada por parte de la supervisión. se ha flexibilizado temporalmente la modalidad de atención, permitiendo la prestación del servicio de manera virtual, con el fin de garantizar la continuidad de los procesos de atención.</t>
  </si>
  <si>
    <t>38</t>
  </si>
  <si>
    <t>Cartago</t>
  </si>
  <si>
    <t>INTERNADO VÍCTIMAS DE VIOLENCIA SEXUAL</t>
  </si>
  <si>
    <t>INTERNADO FUNDACION DESPERTANDO CORAZONES VÍCTIMAS VIOLENCIA</t>
  </si>
  <si>
    <t>Calle 54 No. 02-85 Barrio Santa Ana - Finca Villa Santana</t>
  </si>
  <si>
    <t>Una pared del cerramiento que está asociada a uno de los dormitorios presenta grietas.</t>
  </si>
  <si>
    <t>Alcaldía de Cartago - Riesgos</t>
  </si>
  <si>
    <t>La situación corresponde a un agrietamiento estructural en uno de los muros que hace parte del cerramiento de la institución y que se encuentra asociado a uno de los cuartos del área de dormitorios, espacio en el cual actualmente se encuentran durmiendo siete (7) niñas. No se evidencia una condición de riesgo o peligro inminente para las niñas; sin embargo, teniendo en cuenta la naturaleza de la novedad y con el propósito de prevenir cualquier eventualidad, se recomienda mantener seguimiento a la situación.</t>
  </si>
  <si>
    <t>La Fundación ha determinado iniciar las labores de intervención y reparación del muro, garantizando durante este proceso las condiciones de seguridad y protección de las niñas. Se realizará el respectivo seguimiento a la intervención y se adoptarán las medidas preventivas que sean necesarias mientras se adelantan los trabajos. Se continúa con la prestación del servicio con normalidad.</t>
  </si>
  <si>
    <t>39</t>
  </si>
  <si>
    <t>HS ALDEAS INFANTILES SOS COLOMBIA</t>
  </si>
  <si>
    <t>Calle 2A # 78B - 30 Torre A Apto 101 Conjunto Atabanza</t>
  </si>
  <si>
    <t>15/08/2026</t>
  </si>
  <si>
    <t>GRIETAS EN PAREDES.</t>
  </si>
  <si>
    <t>Operador Aldeas</t>
  </si>
  <si>
    <t>Se presentaron varias grietas en paredes, ocasionando el desprendimiento de algunas zonas de la cubierta en la infraestructura, lo que obligó a la madre sustituta, junto con su familia y el beneficiario bajo protección, a salir de su casa. La madre sustituta desalojó la infraestructura por seguridad.</t>
  </si>
  <si>
    <t>La madre sustituta vive con su progenitora y sus dos hijos, y actualmente tiene ubicado al niño Alirio Queragama Rivera, de 8 años, con pertenencia indígena (Embera Chamí). Se realiza la reubicación a otra unidad propia del operador.</t>
  </si>
  <si>
    <t>40</t>
  </si>
  <si>
    <t>Tadó</t>
  </si>
  <si>
    <t>HS FUNDACION PROMOTORA ASTRID PEREA COPETE</t>
  </si>
  <si>
    <t>B/SAN PEDRO</t>
  </si>
  <si>
    <t>Afectación en paredes y techo.</t>
  </si>
  <si>
    <t>Ingenieros, bomberos y profesionales de gestión del riesgo)</t>
  </si>
  <si>
    <t>NO</t>
  </si>
  <si>
    <t>PENDIENTE REPORTE</t>
  </si>
  <si>
    <t>La infraestructura estaba siendo evacuada al momento de este reporte.</t>
  </si>
  <si>
    <t>La madre sustituta Astrid Perea Copete está realizando el traslado a otro domicilio, según recomendación de profesionales que realizaron la verificación y del defensor de familia, Yuber Rentería Mena.</t>
  </si>
  <si>
    <t>41</t>
  </si>
  <si>
    <t>ARRENDAMIENTO POR LA MADRE</t>
  </si>
  <si>
    <t>HS FUNDACION PROMOTORA DAICY PALACIOS PALACIOS</t>
  </si>
  <si>
    <t>REQUIERE TRASLADO</t>
  </si>
  <si>
    <t>Se evidencian grietas en paredes de zonas sociales</t>
  </si>
  <si>
    <t>Al momento de este reporte, la madre sustituta Daicy Palacios Palacios aún permanece en el domicilio, debido a que manifiesta no contar con red de apoyo. No obstante, se cuenta con recomendación de traslado a otra vivienda por parte del defensor de familia y de profesionales de Gestión del Riesgo Municipal, Planeación y Bomberos.</t>
  </si>
  <si>
    <t>42</t>
  </si>
  <si>
    <t>HS FUNDACION PROMOTORA SANDRA PATRICIA BENITEZ VALOIS</t>
  </si>
  <si>
    <t>La vivienda presenta fisuras. Se realizó visita de seguimiento desde la administración municipal (ingeniería, bomberos y profesionales de gestión del riesgo) quienes realizaron orientación según el estado de la vivienda.</t>
  </si>
  <si>
    <t>NO REQUIERE TRASLADO</t>
  </si>
  <si>
    <t>Se cuenta con un beneficiario ubicado en la vivienda de la madre sustituta Sandra Patricia Benitez Valois, y no se requirió traslado a otra vivienda, según el reporte recibido.</t>
  </si>
  <si>
    <t>NO APLICA</t>
  </si>
  <si>
    <t>43</t>
  </si>
  <si>
    <t>HS FUNDACION PROMOTORA SARA YULENNY HURTADO MURILLO</t>
  </si>
  <si>
    <t>B/ VILLAS DEL REMOLINO</t>
  </si>
  <si>
    <t>La vivienda presenta fisuras. Según reporte desde el Centro zonal Tadó, de acuerdo con la revisión que se realizó en la vivienda no se trasladaron porque las fisuras en la infraestructura de la vivienda no implican riesgos.</t>
  </si>
  <si>
    <t>Se cuenta con un beneficiario ubicado con la madre sustituta Sara Yulenny Hurtado Murillo, y no se requirió traslado a otra  vivienda, según el reporte recibido.</t>
  </si>
  <si>
    <t>44</t>
  </si>
  <si>
    <t>PALMIRA</t>
  </si>
  <si>
    <t>INTERNADO DISCAPACIDAD PSICOSOCIAL</t>
  </si>
  <si>
    <t>INTERNADO FUNDACION SER GESTANTES</t>
  </si>
  <si>
    <t>Callejón La Unión Corregimiento Rozo</t>
  </si>
  <si>
    <t>Se hace reubicación en la misma infraestructura, no afecta la prestación del servicio</t>
  </si>
  <si>
    <t>Posterior a la identificación de la grieta superficial en el cuarto "gestado amor",el operador optó por la reubicación de los usuarios de este alojamiento en un cuarto nuevo, equipado con la cantidad de camas y contiguo a uno de los baños, garantizando así las condiciones requeridas para la prestación del servicio y preservando la integridad de nuestra población.</t>
  </si>
  <si>
    <t>45</t>
  </si>
  <si>
    <t>ARRIENDO</t>
  </si>
  <si>
    <t>SICOSOCIAL ASOCIACION PARA LA SALUD MENTAL INFANTIL Y DE ADOLESCENTES - SIMA</t>
  </si>
  <si>
    <t>Carrera 40 No. 5B-71 Barrio Tequendama</t>
  </si>
  <si>
    <t>• Fisuras y grietas: Se localizaron fallas superficiales y agrietamientos menores distribuidos en diferentes puntos de los muros de mampostería y en las superficies del piso.
• Zonas críticas (Falla por vuelco): La afectación severa se presentó en la culata delantera derecha. Este elemento estaba construido de forma artesanal con ladrillo simple, careciendo de confinamiento estructural (columnetas o vigas de amarre) que garantizaran estabilidad frente a empujes laterales. Como consecuencia del sismo, sufrió un colapso por volcamiento, cayendo sobre la cubierta de la propiedad vecina.</t>
  </si>
  <si>
    <t>CARLOS ALBERTO BOTINA PATIÑO - Ingeniero civil</t>
  </si>
  <si>
    <t>Hasta el momento no está funcionando la sede, no obstante el operador realizó los ajustes sugeridos y a partir del dia lunes 24 de agosto, el talento humano vuelve a trabajar con normalidad en la infraestructura</t>
  </si>
  <si>
    <t>• Riesgo por desprendimiento de elementos: Se confirmó la vulnerabilidad en las culatas remanentes debido a la falta de confinamiento y amarres mecánicos. Adicionalmente, se observaron viguetas con secciones transversales insuficientes y una calidad deficiente en la mezcla de concreto, lo que compromete su resistencia estructural.
• Acción requerida inmediata: Proceder con el desmontaje técnico y retiro de los bloques de ladrillo o fragmentos de muro que se encuentran inestables o suspendidos sobre el techo colindante, con el fin de mitigar riesgos de accidentes y evitar daños mayores a terceros.
• Refuerzo estructural a corto plazo: Planificar y ejecutar el reforzamiento estructural de las culatas remanentes mediante elementos de confinamiento para prevenir fallas similares ante futuros eventos sísmicos.
• Reconstrucción técnica: Diseñar y reconstruir la culata colapsada implementando sistemas constructivos livianos (como Steel Framing u homólogos). Esto garantizará la seguridad de la sede, alivianará las cargas sobre la estructura y evitará nuevos impactos a la propiedad vecina.</t>
  </si>
  <si>
    <t xml:space="preserve">REGIONAL </t>
  </si>
  <si>
    <t xml:space="preserve">CENTRO ZONAL </t>
  </si>
  <si>
    <t>UNIDAD DE SERVICIO</t>
  </si>
  <si>
    <t>CODIGO UDS</t>
  </si>
  <si>
    <t>SERVICIO</t>
  </si>
  <si>
    <t>MODALIDAD</t>
  </si>
  <si>
    <t>NUMERO BENEFICIARIOS UDS</t>
  </si>
  <si>
    <t xml:space="preserve">ESTADO ATENCIÓN </t>
  </si>
  <si>
    <t>ESTADO AFECTACION INFRAESTRUCTURA</t>
  </si>
  <si>
    <t>MUNICIPIO UDS</t>
  </si>
  <si>
    <t>PROPIEDAD DE LA INFRAESTRUCTURA</t>
  </si>
  <si>
    <t>VISITA TÉNCNICA/ OBSERVACIONES</t>
  </si>
  <si>
    <t>VALLE DEL CAUCA</t>
  </si>
  <si>
    <t>CZ BUENAVENTURA</t>
  </si>
  <si>
    <t>UUI KHAAR</t>
  </si>
  <si>
    <t>JARDINES INTERCULTURALES DE EDUCACIÓN INICIAL - A - PROPIA E INTERCULTURAL</t>
  </si>
  <si>
    <t>PROPIA E INTERCULTURAL</t>
  </si>
  <si>
    <t>FLEXIBLE</t>
  </si>
  <si>
    <t>SEVERA</t>
  </si>
  <si>
    <t xml:space="preserve">Buenaventura </t>
  </si>
  <si>
    <t>Cabildo Indígena</t>
  </si>
  <si>
    <t>NO CUENTA CON VISITA TÉCNICA</t>
  </si>
  <si>
    <t>CHAAIN DI</t>
  </si>
  <si>
    <t>EDUCACIÓN INICIAL PROPIA DIARIA - PROPIA E INTERCULTURAL</t>
  </si>
  <si>
    <t>JENKHATARAU</t>
  </si>
  <si>
    <t>CHAAIN JAUGEEM J</t>
  </si>
  <si>
    <t>KHUR PHIM</t>
  </si>
  <si>
    <t>KHIIRJUG DEEJEM DI</t>
  </si>
  <si>
    <t>CHAAN ONE AJEN DY</t>
  </si>
  <si>
    <t>CHAAIN DI DAM</t>
  </si>
  <si>
    <t>EL OSO</t>
  </si>
  <si>
    <t>EAS</t>
  </si>
  <si>
    <t>EL RATON</t>
  </si>
  <si>
    <t>EL PERICO</t>
  </si>
  <si>
    <t>WARRARA PISSIA</t>
  </si>
  <si>
    <t>EL OSITO</t>
  </si>
  <si>
    <t>NUKANCHI WAWAKUNAPA WASI</t>
  </si>
  <si>
    <t>CHAAIN ESAP LEEJEM DI</t>
  </si>
  <si>
    <t>EL SOL</t>
  </si>
  <si>
    <t>BUK BUK</t>
  </si>
  <si>
    <t>ECHKHUM</t>
  </si>
  <si>
    <t>NIÑOS ALEGRES</t>
  </si>
  <si>
    <t>LOS OSITOS</t>
  </si>
  <si>
    <t>YULUUCX</t>
  </si>
  <si>
    <t>CASA DE ENSEÑANZA</t>
  </si>
  <si>
    <t>LA ESPERANZA</t>
  </si>
  <si>
    <t>UNIDOS</t>
  </si>
  <si>
    <t>MI HIJO</t>
  </si>
  <si>
    <t>CHAAIN KHIIR JUG PHEJEM DI</t>
  </si>
  <si>
    <t>PALETON</t>
  </si>
  <si>
    <t>CASA DE LOS NIÑOS PEQUEÑOS</t>
  </si>
  <si>
    <t>CASA DE PENSAMIENTO</t>
  </si>
  <si>
    <t>NASA LUCH LECHCUE YAT</t>
  </si>
  <si>
    <t>CHAAIN KHIRJUD</t>
  </si>
  <si>
    <t>KICHPHEMAAR</t>
  </si>
  <si>
    <t>PIES CHAAIN</t>
  </si>
  <si>
    <t>CDI DULCE SUEÑOS</t>
  </si>
  <si>
    <t>CENTRO DE DESARROLLO INFANTIL - CON ARRIENDO - INSTITUCIONAL</t>
  </si>
  <si>
    <t>INSTITUCIONAL</t>
  </si>
  <si>
    <t>EN ARRIENDO</t>
  </si>
  <si>
    <t>LUCERITOS INQUIETOS</t>
  </si>
  <si>
    <t>PUERTOS DE MI INFANCIA</t>
  </si>
  <si>
    <t>CENTRO DE DESARROLLO INFANTIL - SIN ARRIENDO - INSTITUCIONAL</t>
  </si>
  <si>
    <t>GOBERNACIÓN</t>
  </si>
  <si>
    <t>LAS GAVIOTAS</t>
  </si>
  <si>
    <t>HCB - FAMILIAR Y COMUNITARIA</t>
  </si>
  <si>
    <t>FAMILIAR Y COMUNITARIA</t>
  </si>
  <si>
    <t>LOS INQUIETOS</t>
  </si>
  <si>
    <t>ESTRELLITAS</t>
  </si>
  <si>
    <t>MIS CHIQUITINES</t>
  </si>
  <si>
    <t>LOS PINGUINITOS</t>
  </si>
  <si>
    <t>LOS PITUFOS</t>
  </si>
  <si>
    <t>LOS NIÑOS UNIDOS</t>
  </si>
  <si>
    <t>EL ESFUERZO</t>
  </si>
  <si>
    <t>LOS BARQUITOS</t>
  </si>
  <si>
    <t>MI REBAÑITO</t>
  </si>
  <si>
    <t>MI SEGUNDO HOGAR</t>
  </si>
  <si>
    <t>MIS AMIGUITOS</t>
  </si>
  <si>
    <t>RINCON DE LOS SUEÑOS</t>
  </si>
  <si>
    <t>PEQUEÑOS GIGANTES</t>
  </si>
  <si>
    <t>LOS MARINEROS</t>
  </si>
  <si>
    <t>LOS ENANITOS</t>
  </si>
  <si>
    <t>CARRUSEL</t>
  </si>
  <si>
    <t>LOS SALTARINES</t>
  </si>
  <si>
    <t>LOS AMIGOS DE BARNIE</t>
  </si>
  <si>
    <t>LOS PITUFOS 2</t>
  </si>
  <si>
    <t>LTS 13 PASITOS TRAVIESOS</t>
  </si>
  <si>
    <t>EDUCACIÓN INICIAL EN EL HOGAR - FAMILIAR Y COMUNITARIA</t>
  </si>
  <si>
    <t>MUNICIPIO</t>
  </si>
  <si>
    <t>CARITAS ALEGRES</t>
  </si>
  <si>
    <t>LTS 15 GIRASOLES</t>
  </si>
  <si>
    <t>LTS 14 ARCOIRIS</t>
  </si>
  <si>
    <t>LTS 7 RENACER</t>
  </si>
  <si>
    <t>LTS 9 CHISPITAS DE AMOR</t>
  </si>
  <si>
    <t>LTS 10 ESTRELLITAS DORADAS</t>
  </si>
  <si>
    <t>LTS 11 PEQUEÑOS CARIÑOSITOS</t>
  </si>
  <si>
    <t>LA SABIDURIA 2</t>
  </si>
  <si>
    <t>FAMILIAR FANTASIAS CREATIVA</t>
  </si>
  <si>
    <t>MARIPOSAS DEL SOL NACIENTE</t>
  </si>
  <si>
    <t>CENTRO DRLLO INFANTIL NUEVO AMANECER DE FELICIDAD</t>
  </si>
  <si>
    <t>CDI MI PRIMERA INFANCIA</t>
  </si>
  <si>
    <t>CDI SANTA ROSA</t>
  </si>
  <si>
    <t>MUNDO MAGICO</t>
  </si>
  <si>
    <t>CENTRO DE DESARROLLO INFANTIL CRECIENDO JUNTOS</t>
  </si>
  <si>
    <t>CENTRO DE DESARROLLO INFANTIL MIS PRIMEROS TRAZOS</t>
  </si>
  <si>
    <t>NUEVO AMANECER</t>
  </si>
  <si>
    <t>MANANTIAL DE SUEÑO</t>
  </si>
  <si>
    <t>MI SUEÑO DORADO</t>
  </si>
  <si>
    <t>PACHITOS</t>
  </si>
  <si>
    <t>EL RECREO</t>
  </si>
  <si>
    <t>LAS ROSAS</t>
  </si>
  <si>
    <t>MI REBAÑO</t>
  </si>
  <si>
    <t>LA MATICA</t>
  </si>
  <si>
    <t>LOS PEQUEÑOS GIGANTES</t>
  </si>
  <si>
    <t>LA FORTALEZA</t>
  </si>
  <si>
    <t>LOS CHIQUILLOS</t>
  </si>
  <si>
    <t>MI NUEVO HOGAR</t>
  </si>
  <si>
    <t>MIS CONSENTIDOS</t>
  </si>
  <si>
    <t>MI PRIMERA INFANCIA</t>
  </si>
  <si>
    <t>ANGELITO N 3</t>
  </si>
  <si>
    <t>CHIQUITINES</t>
  </si>
  <si>
    <t>SANTA MARIA</t>
  </si>
  <si>
    <t>LAS PALOMAS INQUIETAS</t>
  </si>
  <si>
    <t>LOS PINKY Y CEREBRO</t>
  </si>
  <si>
    <t>LOS CARIÑOSOS</t>
  </si>
  <si>
    <t>PORTAL DE BELEN</t>
  </si>
  <si>
    <t>DIVIÑO NIÑO DEL MAR</t>
  </si>
  <si>
    <t>LAS GOLONDRINAS</t>
  </si>
  <si>
    <t>CARITAS LINDAS</t>
  </si>
  <si>
    <t>MANITAS CREATIVAS</t>
  </si>
  <si>
    <t>MI PEQUEÑO TALLER</t>
  </si>
  <si>
    <t>MI REFUGIO</t>
  </si>
  <si>
    <t>MUÑEQUITOS INQUIETOS</t>
  </si>
  <si>
    <t>LOS PAJARITOS</t>
  </si>
  <si>
    <t>LOS AMIGUITOS</t>
  </si>
  <si>
    <t>JARDÍN COMUNITARIO - FAMILIAR Y COMUNITARIA</t>
  </si>
  <si>
    <t>LOS CARIÑOSITOS</t>
  </si>
  <si>
    <t>MANITOS LINDAS</t>
  </si>
  <si>
    <t>NIÑOS SONRIENTES</t>
  </si>
  <si>
    <t>CARITAS SONRIENTES</t>
  </si>
  <si>
    <t>MI CASITA</t>
  </si>
  <si>
    <t>MAMA INES</t>
  </si>
  <si>
    <t>LAS ESTRELLITAS</t>
  </si>
  <si>
    <t>LOS CARACOLES</t>
  </si>
  <si>
    <t>MIS PEQUEÑINES</t>
  </si>
  <si>
    <t>LOS MILAGROS</t>
  </si>
  <si>
    <t>LOS DUMMIS</t>
  </si>
  <si>
    <t>LOS BAMBINOS</t>
  </si>
  <si>
    <t>LOS ANGELITOS</t>
  </si>
  <si>
    <t>LOREN</t>
  </si>
  <si>
    <t>YORMAN</t>
  </si>
  <si>
    <t>PEQUEÑOS GENIOS</t>
  </si>
  <si>
    <t>LTS 5 MIS GRANDES SUEÑOS</t>
  </si>
  <si>
    <t>LTS 6 MI MAGICO MUNDO</t>
  </si>
  <si>
    <t>LTS 4 MIS ANGELITOS</t>
  </si>
  <si>
    <t>LA SABIDURIA 3</t>
  </si>
  <si>
    <t>MI PEQUEÑO MUNDO</t>
  </si>
  <si>
    <t>MODALIDAD CASA DEL SABER</t>
  </si>
  <si>
    <t>MODALIDAD MIS ANGELITOS</t>
  </si>
  <si>
    <t>MODALIDAD CRECIENDO JUNTOS</t>
  </si>
  <si>
    <t>MODALIDAD MIS PRIMERAS HUELLAS</t>
  </si>
  <si>
    <t>ENTORNO FAMILIAR</t>
  </si>
  <si>
    <t>MODALIDAD FAMILIAS FELICES</t>
  </si>
  <si>
    <t>LA SABIDURIA 1</t>
  </si>
  <si>
    <t>CRECIENDO JUNTOS CON AMOR</t>
  </si>
  <si>
    <t>LTS 2 MIS AMIGUITOS</t>
  </si>
  <si>
    <t>LTS 8 ESTRELLITAS DE MAR</t>
  </si>
  <si>
    <t>LTS 3 AMIGOS POR SIEMPRE</t>
  </si>
  <si>
    <t>DESARROLLO INFANTIL ALONDRAS DINAMICAS</t>
  </si>
  <si>
    <t>MODALIDAD FAMILIAR NUEVOS SUEÑOS</t>
  </si>
  <si>
    <t>MEDIO FAMILIAR GENIOS DEL PACIFICO</t>
  </si>
  <si>
    <t>MANITAS ALEGRES</t>
  </si>
  <si>
    <t>CORAZON AMABLE</t>
  </si>
  <si>
    <t>LTS 12 RALLITOS DE SOL</t>
  </si>
  <si>
    <t>MODALIDAD MIS PEQUEÑOS INQUIETOS</t>
  </si>
  <si>
    <t>SEMILLAS DE AMOR</t>
  </si>
  <si>
    <t>CDI SUEÑOS DE MI INFANCIA</t>
  </si>
  <si>
    <t>CDI NUEVA ESPERANZA</t>
  </si>
  <si>
    <t>CDI NUESTRO FUTURO</t>
  </si>
  <si>
    <t>LAS DELICIAS DE MAMI</t>
  </si>
  <si>
    <t>MI CORAZONCITO</t>
  </si>
  <si>
    <t>NUEVA ESPERANZA</t>
  </si>
  <si>
    <t>DIVINO NIÑO</t>
  </si>
  <si>
    <t>LOS BULLICIOSOS 2</t>
  </si>
  <si>
    <t>LOS LORITOS</t>
  </si>
  <si>
    <t>LOS MEÑIQUES</t>
  </si>
  <si>
    <t>SANTA ELENA</t>
  </si>
  <si>
    <t>LOS CONEJITOS</t>
  </si>
  <si>
    <t>MIS PRIMERAS LUCES</t>
  </si>
  <si>
    <t>SAN FRANCISCO</t>
  </si>
  <si>
    <t>LOS CARIÑOSITOS 1</t>
  </si>
  <si>
    <t>LOS PASTORCITOS</t>
  </si>
  <si>
    <t>LOS CACHORRITOS</t>
  </si>
  <si>
    <t>BRISAS DEL MAR</t>
  </si>
  <si>
    <t>MI JARDINCITO</t>
  </si>
  <si>
    <t>LOS PULGARCITOS</t>
  </si>
  <si>
    <t>LOS BEBITOS</t>
  </si>
  <si>
    <t>LOS SIMPATICOS</t>
  </si>
  <si>
    <t>LOS SUPER AMIGOS</t>
  </si>
  <si>
    <t>MI JARDIN</t>
  </si>
  <si>
    <t>LOS SIMSONS</t>
  </si>
  <si>
    <t>LOS PRINCIPITOS</t>
  </si>
  <si>
    <t>MIS CORAZONCITOS</t>
  </si>
  <si>
    <t>LOS TESORITOS</t>
  </si>
  <si>
    <t>MI PRIMER ESFUERZO</t>
  </si>
  <si>
    <t>LOS TRAVIESOS</t>
  </si>
  <si>
    <t>LOS CARIÑOSITOS 2</t>
  </si>
  <si>
    <t>LOS PEQUEÑINES</t>
  </si>
  <si>
    <t>MIS PEQUEÑOS ANGELITOS</t>
  </si>
  <si>
    <t>EL PIOLIN</t>
  </si>
  <si>
    <t>HEDEROS DE DIOS</t>
  </si>
  <si>
    <t>DON QUIJOTE DE LA MANCHA</t>
  </si>
  <si>
    <t>LOS OSITOS INQUIETOS</t>
  </si>
  <si>
    <t>LAS FLORES</t>
  </si>
  <si>
    <t>LOS DELFINES</t>
  </si>
  <si>
    <t>LAS ARDILLITAS</t>
  </si>
  <si>
    <t>ALMENDRO 2</t>
  </si>
  <si>
    <t>LA MAMI</t>
  </si>
  <si>
    <t>MOMENTOS FELICES</t>
  </si>
  <si>
    <t>WINNIE POOT</t>
  </si>
  <si>
    <t>AMADO</t>
  </si>
  <si>
    <t>MANITAS TRAVIESAS</t>
  </si>
  <si>
    <t>HOGAR MI PEQUEÑO SERAFIN</t>
  </si>
  <si>
    <t>HCB FAMI BIENVENIR - FAMILIAR Y COMUNITARIA</t>
  </si>
  <si>
    <t>ALTERNATIVAS HACIA EL FUTURO</t>
  </si>
  <si>
    <t>AMANECER PORTEÑO</t>
  </si>
  <si>
    <t>ESTRELLITAS ALEGRES</t>
  </si>
  <si>
    <t>BEBESITOS</t>
  </si>
  <si>
    <t>OSITOS</t>
  </si>
  <si>
    <t>NIÑOS TRAVIEZOS</t>
  </si>
  <si>
    <t>CAMINITO ALEGRE</t>
  </si>
  <si>
    <t>SUEÑOS DE ESPERANZA</t>
  </si>
  <si>
    <t>EN FAMILIA</t>
  </si>
  <si>
    <t>LOS PATITOS</t>
  </si>
  <si>
    <t>LA ESMERALDA</t>
  </si>
  <si>
    <t>AMAR ES VIVIR</t>
  </si>
  <si>
    <t>MI PRIMERAS TRAVESURAS</t>
  </si>
  <si>
    <t>LA AMISTAD</t>
  </si>
  <si>
    <t>LAS AMIGAS</t>
  </si>
  <si>
    <t>AMIGUITOS DEL FUTURO</t>
  </si>
  <si>
    <t>ENSEÑANZA Y APRENDIZAJE</t>
  </si>
  <si>
    <t>ILUSIONES</t>
  </si>
  <si>
    <t>CONNY</t>
  </si>
  <si>
    <t>LA FRATERNIDAD NO 2</t>
  </si>
  <si>
    <t>MAFALDA</t>
  </si>
  <si>
    <t>SOL NACIENTE</t>
  </si>
  <si>
    <t>EL REFUGIO</t>
  </si>
  <si>
    <t>EL GIRASOL</t>
  </si>
  <si>
    <t>LOS CHIQUITINES</t>
  </si>
  <si>
    <t>DON QUIJOTE</t>
  </si>
  <si>
    <t>LA RONDA</t>
  </si>
  <si>
    <t>PRIMERO DE MAYO</t>
  </si>
  <si>
    <t>SNOPY</t>
  </si>
  <si>
    <t>LA ROSA</t>
  </si>
  <si>
    <t>BUGS BUNNY</t>
  </si>
  <si>
    <t>LOS PINGUINOS 2</t>
  </si>
  <si>
    <t>EL PATO DONAL</t>
  </si>
  <si>
    <t>EL CAMINO DE JESUS</t>
  </si>
  <si>
    <t>EL PROGRESO</t>
  </si>
  <si>
    <t>EL MILAGRO</t>
  </si>
  <si>
    <t>MI PEQUEÑO MUNNDO</t>
  </si>
  <si>
    <t>PRINCIPES DE PAZ</t>
  </si>
  <si>
    <t>LAS MARIPOSAS</t>
  </si>
  <si>
    <t>LA CANOITA</t>
  </si>
  <si>
    <t>LAS ANTIOQUEÑITAS</t>
  </si>
  <si>
    <t>LOS ANGELES</t>
  </si>
  <si>
    <t>PIOLIN</t>
  </si>
  <si>
    <t>LOS TURPIALES</t>
  </si>
  <si>
    <t>PEQUEÑA LULU</t>
  </si>
  <si>
    <t>TRAVESURAS</t>
  </si>
  <si>
    <t>UN NUEVO PORVENIR</t>
  </si>
  <si>
    <t>EL TODO PODEROSO</t>
  </si>
  <si>
    <t>LAS TRAVESURAS</t>
  </si>
  <si>
    <t>EL AMOR DE DIOS</t>
  </si>
  <si>
    <t>BENDICION DE DIOS</t>
  </si>
  <si>
    <t>CRISTO ES MI GUIA</t>
  </si>
  <si>
    <t>CARITAS JUGUETONAS</t>
  </si>
  <si>
    <t>ANGELITOS DE DIOS</t>
  </si>
  <si>
    <t>MI PEQUEÑO PARAISO</t>
  </si>
  <si>
    <t>LOS PITUFINOS</t>
  </si>
  <si>
    <t>LAS MARGARITAS</t>
  </si>
  <si>
    <t>LOS MUÑEQUITOS</t>
  </si>
  <si>
    <t>NIÑOS TRAVIESOS</t>
  </si>
  <si>
    <t>DOÑA CECI</t>
  </si>
  <si>
    <t>ROCADAI</t>
  </si>
  <si>
    <t>CONEGITOS NEGROS</t>
  </si>
  <si>
    <t>LOS LIRIOS DE DIOS</t>
  </si>
  <si>
    <t>LOS GURI GURI</t>
  </si>
  <si>
    <t>MI RETOÑITO</t>
  </si>
  <si>
    <t>EL COAL 1</t>
  </si>
  <si>
    <t>AVENTURAS EN PAÑALES</t>
  </si>
  <si>
    <t>LA FLOR</t>
  </si>
  <si>
    <t>LOS PINGUINOS</t>
  </si>
  <si>
    <t>LOS ANGELES 2</t>
  </si>
  <si>
    <t>MIS 12 BENDICIONES</t>
  </si>
  <si>
    <t>ESTRELLAS DEL ORIENTE</t>
  </si>
  <si>
    <t>LOS BULLICIOSOS</t>
  </si>
  <si>
    <t>LOS SIMPSON</t>
  </si>
  <si>
    <t>NUEVA ESPERANZA 2</t>
  </si>
  <si>
    <t>CARITAS SINRIENTE</t>
  </si>
  <si>
    <t>HOGAR WAUNAM</t>
  </si>
  <si>
    <t>HOGAR TASCON</t>
  </si>
  <si>
    <t>HOGAR UNIDOS</t>
  </si>
  <si>
    <t>HOGAR LOMITA</t>
  </si>
  <si>
    <t>HOGAR PIRAZA</t>
  </si>
  <si>
    <t>CHAATIN RACHIDI</t>
  </si>
  <si>
    <t>CHAANOOJEMDI 1</t>
  </si>
  <si>
    <t>CHAANOOJEMDI 2</t>
  </si>
  <si>
    <t>CHAANOOJEMDI 3</t>
  </si>
  <si>
    <t>TIOCILIRIO 1</t>
  </si>
  <si>
    <t>TIOCILIRIO 2</t>
  </si>
  <si>
    <t>TIOCILIRIO 3</t>
  </si>
  <si>
    <t>PAPAYO 1</t>
  </si>
  <si>
    <t>PAPAYO 2</t>
  </si>
  <si>
    <t>PAPAYO 3</t>
  </si>
  <si>
    <t>PAPAYO 4</t>
  </si>
  <si>
    <t>PAPAYO 5</t>
  </si>
  <si>
    <t>PAPAYO 6</t>
  </si>
  <si>
    <t>PAPAYO 7</t>
  </si>
  <si>
    <t>PAPAYO 8</t>
  </si>
  <si>
    <t>PAPAYO 9</t>
  </si>
  <si>
    <t>PAPAYO 10</t>
  </si>
  <si>
    <t>PAPAYO 11</t>
  </si>
  <si>
    <t>PAPAYO 12</t>
  </si>
  <si>
    <t>EL TIO RICO</t>
  </si>
  <si>
    <t>LAZOS DE AMOR</t>
  </si>
  <si>
    <t>MI PEQUEÑA POSADA</t>
  </si>
  <si>
    <t>MICKEY MOOSE</t>
  </si>
  <si>
    <t>HOGAR SEÑOR DE LOS MILAGROS</t>
  </si>
  <si>
    <t>HOGAR RISITAS</t>
  </si>
  <si>
    <t>MIS PRIMERAS TRAVESURAS</t>
  </si>
  <si>
    <t>MANITOS INQUIETAS</t>
  </si>
  <si>
    <t>MARIA LUISA</t>
  </si>
  <si>
    <t>EL TIO TIGRE</t>
  </si>
  <si>
    <t>SANTA TERESITA</t>
  </si>
  <si>
    <t>CHIQUILLADA</t>
  </si>
  <si>
    <t>LOS POLLITOS</t>
  </si>
  <si>
    <t>LUCES DE COLORES</t>
  </si>
  <si>
    <t>ALEGRIA DE VIVIR 1</t>
  </si>
  <si>
    <t>CARCAJADAS INOCENTES 2</t>
  </si>
  <si>
    <t>ALEGRIA DE VIVIR 2</t>
  </si>
  <si>
    <t>CARCAJADAS INOCENTES</t>
  </si>
  <si>
    <t>LUCES DE COLORES 2</t>
  </si>
  <si>
    <t>NUEVO AMANECER 2</t>
  </si>
  <si>
    <t>CARRUCEL 1</t>
  </si>
  <si>
    <t>HOGAR CARIÑOSITOS</t>
  </si>
  <si>
    <t>HOGAR CAMINITO ALEGRE</t>
  </si>
  <si>
    <t>HOGAR EMANUEL</t>
  </si>
  <si>
    <t>HOGAR LOS ANGELITOS TRAVIESOS</t>
  </si>
  <si>
    <t>LOS CHICOS DEL RIO</t>
  </si>
  <si>
    <t>OBSERVANDO ESPECIES</t>
  </si>
  <si>
    <t>EL PROGRESO DE LOS HERMANOS</t>
  </si>
  <si>
    <t>LA ROSITA</t>
  </si>
  <si>
    <t>EL FUTURO</t>
  </si>
  <si>
    <t>LA NIÑA MARIA</t>
  </si>
  <si>
    <t>LOS PRIMITOS</t>
  </si>
  <si>
    <t>FLORECITA DEL CAMPO</t>
  </si>
  <si>
    <t>LAS PALOMAS TRAVIESA</t>
  </si>
  <si>
    <t>LOS CARACOLITOS</t>
  </si>
  <si>
    <t>LOS CORDERITOS</t>
  </si>
  <si>
    <t>TERNURA 2</t>
  </si>
  <si>
    <t>CONDORITO 1</t>
  </si>
  <si>
    <t>LOS LAURELES</t>
  </si>
  <si>
    <t>TIERNAS CARICIAS</t>
  </si>
  <si>
    <t>LOS CLAVELES</t>
  </si>
  <si>
    <t>CONDORITO 2</t>
  </si>
  <si>
    <t>TERNURA 1</t>
  </si>
  <si>
    <t>FLOR DEL BOSQUEZ</t>
  </si>
  <si>
    <t>LA CHILINDRINA</t>
  </si>
  <si>
    <t>LA ESTRELLA</t>
  </si>
  <si>
    <t>CDI PIOLIN</t>
  </si>
  <si>
    <t>PIOLIN 2</t>
  </si>
  <si>
    <t>HOGAR LA PLAYITA</t>
  </si>
  <si>
    <t>HOGAR LA UNION</t>
  </si>
  <si>
    <t>HOGAR PUEBLO NUEVO</t>
  </si>
  <si>
    <t>HOGAR EL GUABITO</t>
  </si>
  <si>
    <t>HOGAR RIO GRANDE</t>
  </si>
  <si>
    <t>HOGAR COCALITO 1</t>
  </si>
  <si>
    <t>HOGAR COCALITO 2</t>
  </si>
  <si>
    <t>HOGAR EL COCAL 2</t>
  </si>
  <si>
    <t>HOGAR LOS ALMENDROS</t>
  </si>
  <si>
    <t>HOGAR LAS PALMERAS 2</t>
  </si>
  <si>
    <t>EL BARRANCO</t>
  </si>
  <si>
    <t>EL GUABITO1</t>
  </si>
  <si>
    <t>LOS CHORROZ</t>
  </si>
  <si>
    <t>LOS MILAGRITOS</t>
  </si>
  <si>
    <t>LOS ARRAYANES</t>
  </si>
  <si>
    <t>LOS PEQUEÑOS GENIOS</t>
  </si>
  <si>
    <t>LOS NEGRITOS UNIDOS DE SILVA</t>
  </si>
  <si>
    <t>PESECITOS DEL CHARCO</t>
  </si>
  <si>
    <t>EL FLORERO</t>
  </si>
  <si>
    <t>EL ARBOLITO</t>
  </si>
  <si>
    <t>EL DIBUJO</t>
  </si>
  <si>
    <t>LOS SARDINOS</t>
  </si>
  <si>
    <t>LOS CHIRIMINEZ 2</t>
  </si>
  <si>
    <t>LOS CHIRIMINEZ</t>
  </si>
  <si>
    <t>LOS OSITOS TRAVIESOS</t>
  </si>
  <si>
    <t>EL BALCONSILLO</t>
  </si>
  <si>
    <t>MARIPOSITA AZUL 1</t>
  </si>
  <si>
    <t>LOS CREATIVOS 1</t>
  </si>
  <si>
    <t>LOS CARPINTEROS</t>
  </si>
  <si>
    <t>LAS PALMAS</t>
  </si>
  <si>
    <t>MARINERITO2</t>
  </si>
  <si>
    <t>LOS ANGELITOS DE LUZ</t>
  </si>
  <si>
    <t>LAS BRISAS</t>
  </si>
  <si>
    <t>LOS PATICOS</t>
  </si>
  <si>
    <t>BRISA Y SABER 2</t>
  </si>
  <si>
    <t>LAS HORMIGUITAS</t>
  </si>
  <si>
    <t>BRISA Y SABER 1</t>
  </si>
  <si>
    <t>LOS LORITOS 2</t>
  </si>
  <si>
    <t>EL COCALITO</t>
  </si>
  <si>
    <t>EL PROGRESO 1</t>
  </si>
  <si>
    <t>EL PORVENIR</t>
  </si>
  <si>
    <t>LOS ARBOLITOS</t>
  </si>
  <si>
    <t>VISTA HERMOSA</t>
  </si>
  <si>
    <t>ICACO 1</t>
  </si>
  <si>
    <t>EL CEDRITO</t>
  </si>
  <si>
    <t>NIÑOS DE SAN BARTOLO</t>
  </si>
  <si>
    <t>EL CHIPERITO</t>
  </si>
  <si>
    <t>LA PRIMAVERA</t>
  </si>
  <si>
    <t>EL GUAYABITO</t>
  </si>
  <si>
    <t>LAS MARIPOSITAS</t>
  </si>
  <si>
    <t>EL ARBOLITO 3</t>
  </si>
  <si>
    <t>EL DIAMANTE</t>
  </si>
  <si>
    <t>LOS PRIMOS</t>
  </si>
  <si>
    <t>DIVINO NIÑO RIO NAYA</t>
  </si>
  <si>
    <t>EL NARANGITO</t>
  </si>
  <si>
    <t>SAN RAMON</t>
  </si>
  <si>
    <t>PALITO DE MANGO</t>
  </si>
  <si>
    <t>CAJA DE COMPENSACIÓN</t>
  </si>
  <si>
    <t>BRISAS DEL RIO</t>
  </si>
  <si>
    <t>CLUB DE LOS BULLICIOSOS</t>
  </si>
  <si>
    <t>EL ARBOLITO 2</t>
  </si>
  <si>
    <t>EL BARQUITO MARINERO 12</t>
  </si>
  <si>
    <t>LA MARIPOSITA</t>
  </si>
  <si>
    <t>LA UNION</t>
  </si>
  <si>
    <t>LA SONRRISA 2</t>
  </si>
  <si>
    <t>LA SONRRISA 1</t>
  </si>
  <si>
    <t>EL JARDIN</t>
  </si>
  <si>
    <t>LA BRISA</t>
  </si>
  <si>
    <t>EL CLAVELITO</t>
  </si>
  <si>
    <t>EL BANANITO</t>
  </si>
  <si>
    <t>LAS CRUCES</t>
  </si>
  <si>
    <t>LAS PALMITAS</t>
  </si>
  <si>
    <t>EL PALMAR</t>
  </si>
  <si>
    <t>ICACO 2</t>
  </si>
  <si>
    <t>FAMI LA PLAYITA</t>
  </si>
  <si>
    <t>HOGAR LOS PECES</t>
  </si>
  <si>
    <t>ISLA</t>
  </si>
  <si>
    <t>HOGAR LAS CONCHITAS 2</t>
  </si>
  <si>
    <t>HOGAR BALLENITAS 1</t>
  </si>
  <si>
    <t>HOGAR LAS CONCHITAS 1</t>
  </si>
  <si>
    <t>HOGAR LOS DELFINES</t>
  </si>
  <si>
    <t>HOGAR ESTRELLITAS DEL MAR</t>
  </si>
  <si>
    <t>HOGAR PALOMITAS 2</t>
  </si>
  <si>
    <t>HOGAR LA PALMITA</t>
  </si>
  <si>
    <t>EL GUALLABITO 2</t>
  </si>
  <si>
    <t>LA SOMBRITA</t>
  </si>
  <si>
    <t>VILLA HERMOSA</t>
  </si>
  <si>
    <t>EL MARAÑONSITO</t>
  </si>
  <si>
    <t>LA FLORIDA</t>
  </si>
  <si>
    <t>MARAÑONSITO 2</t>
  </si>
  <si>
    <t>LOS MANGLARES</t>
  </si>
  <si>
    <t>EL PAMPION</t>
  </si>
  <si>
    <t>EL PLAYON1</t>
  </si>
  <si>
    <t>EL NUEVO AMANECER</t>
  </si>
  <si>
    <t>LOS TRIGUILLO</t>
  </si>
  <si>
    <t>LOS CISNES</t>
  </si>
  <si>
    <t>LA MANO DE DIOS</t>
  </si>
  <si>
    <t>PITUFOS</t>
  </si>
  <si>
    <t>LA BUENA FE</t>
  </si>
  <si>
    <t>CARITAS FELICES</t>
  </si>
  <si>
    <t>LOS PIRULITOS</t>
  </si>
  <si>
    <t>MICKEY MOUSSE</t>
  </si>
  <si>
    <t>LA ABEJA MAYA</t>
  </si>
  <si>
    <t>LAS TORTUGUITAS</t>
  </si>
  <si>
    <t>MI RANCHITO</t>
  </si>
  <si>
    <t>LA ORQUIDIAS</t>
  </si>
  <si>
    <t>LOS PELUCHES</t>
  </si>
  <si>
    <t>ANGELITO NO 2</t>
  </si>
  <si>
    <t>DESPERTAR</t>
  </si>
  <si>
    <t>LOS GUADUALES</t>
  </si>
  <si>
    <t>CORAZONCITO</t>
  </si>
  <si>
    <t>CARIÑITOS</t>
  </si>
  <si>
    <t>LOS PEQUEÑOS TRAVIESOS</t>
  </si>
  <si>
    <t>PEQUEÑOS TRAVIEZOS</t>
  </si>
  <si>
    <t>NUEVA ESPERANZA 1</t>
  </si>
  <si>
    <t>LOS BIENVENIDOS</t>
  </si>
  <si>
    <t>MILASITA</t>
  </si>
  <si>
    <t>LOS TRAVIESOS 2</t>
  </si>
  <si>
    <t>PORVENIR</t>
  </si>
  <si>
    <t>EL FUTURO 2</t>
  </si>
  <si>
    <t>LA VICTORIA</t>
  </si>
  <si>
    <t>LAS PERLAS DEL SABER</t>
  </si>
  <si>
    <t>VIDA Y PAZ</t>
  </si>
  <si>
    <t>EL FUTURO 1</t>
  </si>
  <si>
    <t>EL PORVENIR 1</t>
  </si>
  <si>
    <t>LAS ASPIRANTES</t>
  </si>
  <si>
    <t>EL JAXMIN</t>
  </si>
  <si>
    <t>LA SONRISA</t>
  </si>
  <si>
    <t>EL CREADOR</t>
  </si>
  <si>
    <t>LA SONRISA DE LOS NIÑOS</t>
  </si>
  <si>
    <t>EL PODEROSO 2</t>
  </si>
  <si>
    <t>EL SAGRADO</t>
  </si>
  <si>
    <t>SANMIGUELITO</t>
  </si>
  <si>
    <t>EL FUNDADOR</t>
  </si>
  <si>
    <t>LA ESPERANZA 2</t>
  </si>
  <si>
    <t>MIS CONEJITOS</t>
  </si>
  <si>
    <t>LAS ROSAS 2</t>
  </si>
  <si>
    <t>MIS PEQUEÑOS</t>
  </si>
  <si>
    <t>EL DIVINO NIÑO</t>
  </si>
  <si>
    <t>JAMAICA</t>
  </si>
  <si>
    <t>RAYITO DE LUZ</t>
  </si>
  <si>
    <t>EL COQUITO 2</t>
  </si>
  <si>
    <t>EL COQUITO 1</t>
  </si>
  <si>
    <t>LOS NICHES 1</t>
  </si>
  <si>
    <t>EL NARANJITO 2</t>
  </si>
  <si>
    <t>LOS NICHES 2</t>
  </si>
  <si>
    <t>EL NARANJITO 1</t>
  </si>
  <si>
    <t>MI SEGUNDO HOGAR 1</t>
  </si>
  <si>
    <t>HOGAR MI SEGUNDO HOGAR 3</t>
  </si>
  <si>
    <t>HOGAR MI SEGUNDO HOGAR 2</t>
  </si>
  <si>
    <t>HOGAR CARIÑOSITO</t>
  </si>
  <si>
    <t>HOGAR LOS ANGELES</t>
  </si>
  <si>
    <t>HOGAR MI CASITA</t>
  </si>
  <si>
    <t>HOGAR SONRISITAS</t>
  </si>
  <si>
    <t>HOGAR CARITAS TIERNAS</t>
  </si>
  <si>
    <t>HOGAR LOS SOBRINOS</t>
  </si>
  <si>
    <t>HOGAR ESTRELLITAS DEL SUR</t>
  </si>
  <si>
    <t>HOGAR LOS PITUFOS</t>
  </si>
  <si>
    <t>LA PALMERA</t>
  </si>
  <si>
    <t>EL CARMEN</t>
  </si>
  <si>
    <t>SANTA ROSA</t>
  </si>
  <si>
    <t>MI CABAÑITA</t>
  </si>
  <si>
    <t>MIS OVEJITAS</t>
  </si>
  <si>
    <t>DIOS ES AMOR 3</t>
  </si>
  <si>
    <t>DIOS ES AMOR 1</t>
  </si>
  <si>
    <t>CONEJITOS</t>
  </si>
  <si>
    <t>LOS TRAVIESITOS</t>
  </si>
  <si>
    <t>MISIONEROS DE JESUS</t>
  </si>
  <si>
    <t>LA CAMPANA</t>
  </si>
  <si>
    <t>MIS PEQUEÑOS BEBES</t>
  </si>
  <si>
    <t>LOS HERMANITOS</t>
  </si>
  <si>
    <t>JESUS NAZARETH</t>
  </si>
  <si>
    <t>JESUS DE NAZARET</t>
  </si>
  <si>
    <t>EL FLORAL</t>
  </si>
  <si>
    <t>RONDIN</t>
  </si>
  <si>
    <t>CARRUCEL 2</t>
  </si>
  <si>
    <t>LOS PEQUEÑOS PICAPIEDRAS</t>
  </si>
  <si>
    <t>RAYITO DE SOL</t>
  </si>
  <si>
    <t>LOS INFANTES</t>
  </si>
  <si>
    <t>EL RINCONCITO DE CRISTINA</t>
  </si>
  <si>
    <t>MI TIERNA EDAD</t>
  </si>
  <si>
    <t>LOS BULICIOSOS 1</t>
  </si>
  <si>
    <t>LOS SOLITOS</t>
  </si>
  <si>
    <t>LAS NUBECITAS</t>
  </si>
  <si>
    <t>LOS POSTESITOS</t>
  </si>
  <si>
    <t>EL COLIBRI</t>
  </si>
  <si>
    <t>LOS SEGUIDORE DE JESUS</t>
  </si>
  <si>
    <t>LAS PALOMITAS</t>
  </si>
  <si>
    <t>PEQUEÑINES</t>
  </si>
  <si>
    <t>LOS PORTEÑITOS</t>
  </si>
  <si>
    <t>LOS AMIGOS</t>
  </si>
  <si>
    <t>TERNURAS</t>
  </si>
  <si>
    <t>HOLLYWOOD</t>
  </si>
  <si>
    <t>LOS PEQUEÑUELOS DE DIOS</t>
  </si>
  <si>
    <t>MIS SUEÑOS</t>
  </si>
  <si>
    <t>TRIBILI</t>
  </si>
  <si>
    <t>LOS POWER RANGER</t>
  </si>
  <si>
    <t>LAS AURORAS</t>
  </si>
  <si>
    <t>LOS TRINEOS</t>
  </si>
  <si>
    <t>LOS PORKIS</t>
  </si>
  <si>
    <t>SEÑOR DE LOS MILAGROS</t>
  </si>
  <si>
    <t>MIS PQUEÑOS INFANTES</t>
  </si>
  <si>
    <t>GURY GURY</t>
  </si>
  <si>
    <t>LOS LLANITOS</t>
  </si>
  <si>
    <t>EMMANUEL</t>
  </si>
  <si>
    <t>MI DULCE HOGAR</t>
  </si>
  <si>
    <t>LOS GIRASOLES</t>
  </si>
  <si>
    <t>MI RETOÑO</t>
  </si>
  <si>
    <t>HOGAR DE PAZ</t>
  </si>
  <si>
    <t>LA RISA DEL BEBE</t>
  </si>
  <si>
    <t>MARANATA 1</t>
  </si>
  <si>
    <t>LOS NOMOS</t>
  </si>
  <si>
    <t>LOS CHAPULINES</t>
  </si>
  <si>
    <t>LOS ANGELITOS TRAVIESOS</t>
  </si>
  <si>
    <t>MIS PEQUEÑOS TRAVIESOS</t>
  </si>
  <si>
    <t>LOS PEQUEÑOS INQUIETOS</t>
  </si>
  <si>
    <t>LOS AMIGOS FELICES</t>
  </si>
  <si>
    <t>EL EDEN</t>
  </si>
  <si>
    <t>PEQUEÑOS ALEGRITOS</t>
  </si>
  <si>
    <t>FAMI LAS MARIPOSAS</t>
  </si>
  <si>
    <t>QUE VIVAN LOS NIÑOS</t>
  </si>
  <si>
    <t>CAMINO ALEGRE</t>
  </si>
  <si>
    <t>MI CASITA ENCANTADA</t>
  </si>
  <si>
    <t>NUESTRO PARAISO</t>
  </si>
  <si>
    <t>ARCOIRIS</t>
  </si>
  <si>
    <t>LOS QUERUBINES</t>
  </si>
  <si>
    <t>EL SEGUNDO HOGAR</t>
  </si>
  <si>
    <t>CARRUCEL</t>
  </si>
  <si>
    <t>RAYO DE LUZ</t>
  </si>
  <si>
    <t>LAS BIENAVENTURADA</t>
  </si>
  <si>
    <t>MI PRIMER PASITO</t>
  </si>
  <si>
    <t>MIS TESOROS</t>
  </si>
  <si>
    <t>LOS 12 AMIGUITOS</t>
  </si>
  <si>
    <t>NUEVA ESPERANZA 3</t>
  </si>
  <si>
    <t>DULCE SUEÑOS</t>
  </si>
  <si>
    <t>MI PEQUEÑO RETOÑO</t>
  </si>
  <si>
    <t>LOS RETOÑITOS</t>
  </si>
  <si>
    <t>PERSONITAS1</t>
  </si>
  <si>
    <t>LA SABIDURIA</t>
  </si>
  <si>
    <t>FAMILIAS FELICES</t>
  </si>
  <si>
    <t>MI CARIÑITO</t>
  </si>
  <si>
    <t>TRAVISOS</t>
  </si>
  <si>
    <t>LOS MELLIZOS</t>
  </si>
  <si>
    <t>MI FINCA</t>
  </si>
  <si>
    <t>LA MILAGROSA</t>
  </si>
  <si>
    <t>LOS CONDORITOS</t>
  </si>
  <si>
    <t>LOS HOMBRE DEL MAÑANA</t>
  </si>
  <si>
    <t>HOGAR LOS PINGUINOS</t>
  </si>
  <si>
    <t>HOGAR LOS TRAVIESOS</t>
  </si>
  <si>
    <t>SANTA TERESA</t>
  </si>
  <si>
    <t>HOGAR PEQUEÑINES</t>
  </si>
  <si>
    <t>HOGAR LOS CAPULLITOS</t>
  </si>
  <si>
    <t>HOGAR LOS PRIMOS</t>
  </si>
  <si>
    <t>HOGAR EL ENCANTO</t>
  </si>
  <si>
    <t>HOGAR AMIGUITOS DE JESUS</t>
  </si>
  <si>
    <t>HOGAR CHIQUITINES</t>
  </si>
  <si>
    <t>HOGAR CRECIENDO CON JESUS</t>
  </si>
  <si>
    <t>HOGAR ESTRELLITAS DE JESUS</t>
  </si>
  <si>
    <t>HOGAR LOS PEQUEÑINES</t>
  </si>
  <si>
    <t>HOGAR LUCECITA</t>
  </si>
  <si>
    <t>HOGAR CAMPITO</t>
  </si>
  <si>
    <t>HOGAR AMIGUITOS DEL REY</t>
  </si>
  <si>
    <t>TOM Y JERRY</t>
  </si>
  <si>
    <t>LAS ORQUIDEAS</t>
  </si>
  <si>
    <t>PINOCHO</t>
  </si>
  <si>
    <t>WINNIE POOH</t>
  </si>
  <si>
    <t>LAS CONCHAS</t>
  </si>
  <si>
    <t>SENDERITO</t>
  </si>
  <si>
    <t>PALOMITAS</t>
  </si>
  <si>
    <t>LA LOMA</t>
  </si>
  <si>
    <t>LOS PAQUITOS</t>
  </si>
  <si>
    <t>LOS GLOBITOS</t>
  </si>
  <si>
    <t>PLACENTERO</t>
  </si>
  <si>
    <t>LOS POLLUELOS</t>
  </si>
  <si>
    <t>LOS PECOSOS</t>
  </si>
  <si>
    <t>LA CASITA</t>
  </si>
  <si>
    <t>LOS ANGELITOS DE MONI</t>
  </si>
  <si>
    <t>LOS BULLISIOSOS</t>
  </si>
  <si>
    <t>LOS MELONCITOS</t>
  </si>
  <si>
    <t>MI PEQUEÑOS ANGELITOS</t>
  </si>
  <si>
    <t>LOS CONSENTIDOS</t>
  </si>
  <si>
    <t>MIS TORCASITAS</t>
  </si>
  <si>
    <t>LOS GORRIONES</t>
  </si>
  <si>
    <t>LOS ENANITOS VERDES</t>
  </si>
  <si>
    <t>PINTA SUEÑOS</t>
  </si>
  <si>
    <t>NIÑO JESUS DE PRAGA</t>
  </si>
  <si>
    <t>PEQUEÑIN</t>
  </si>
  <si>
    <t>LOS PETETES</t>
  </si>
  <si>
    <t>LOS CANTANTES</t>
  </si>
  <si>
    <t>LOS QUINCE ENANOS</t>
  </si>
  <si>
    <t>LOS 3 CONEJITOS</t>
  </si>
  <si>
    <t>CAPERUCITA ROJA</t>
  </si>
  <si>
    <t>MICKEY</t>
  </si>
  <si>
    <t>LOS PESECITOS</t>
  </si>
  <si>
    <t>LOS PICAPIEDRAS</t>
  </si>
  <si>
    <t>MIS BEBITOS</t>
  </si>
  <si>
    <t>MI BOTECITO</t>
  </si>
  <si>
    <t>LOS PIWUIS</t>
  </si>
  <si>
    <t>LOS PAJARILLOS</t>
  </si>
  <si>
    <t>LOS CHAMITOS 2</t>
  </si>
  <si>
    <t>MI PEQUEÑO HOGAR NO 2</t>
  </si>
  <si>
    <t>LOS HONGUITOS</t>
  </si>
  <si>
    <t>LOS 4 HERMANOS</t>
  </si>
  <si>
    <t>ENANITOS DEL BOSQUE</t>
  </si>
  <si>
    <t>MANITAS TRAVIEZAS</t>
  </si>
  <si>
    <t>MI FANTASIA</t>
  </si>
  <si>
    <t>LOS SIMPSOM</t>
  </si>
  <si>
    <t>ECCEOMO</t>
  </si>
  <si>
    <t>HOGAR INFANTIL EL GUABITO</t>
  </si>
  <si>
    <t>HOGAR INFANTIL – INSTITUCIONAL</t>
  </si>
  <si>
    <t>HOGAR INFANTIL GERARDO VALENCIA CANO</t>
  </si>
  <si>
    <t>ICBF</t>
  </si>
  <si>
    <t>HOGAR INFANTIL LA INDEPENDENCIA</t>
  </si>
  <si>
    <t>HOGAR INFANTIL LOS DELFINES</t>
  </si>
  <si>
    <t>HOGAR INFANTIL TEOFILO R. POTES</t>
  </si>
  <si>
    <t>HOGAR EL ORGULLO</t>
  </si>
  <si>
    <t>HOGAR FAMI MI PRIMERA INFANCIA</t>
  </si>
  <si>
    <t>HOGAR FAMI ARMONIA</t>
  </si>
  <si>
    <t>HOGAR FAMI NUEVO AMANECER</t>
  </si>
  <si>
    <t>MI RECUERDO</t>
  </si>
  <si>
    <t>LOS ANGELES 1</t>
  </si>
  <si>
    <t>PEQUEÑO GOLIATH</t>
  </si>
  <si>
    <t>DIVINO NIÑO NO 2</t>
  </si>
  <si>
    <t>MARIPOSAS</t>
  </si>
  <si>
    <t>MIS CARIÑITOS</t>
  </si>
  <si>
    <t>LOS ALEGRES</t>
  </si>
  <si>
    <t>RAYITO DE SOL 2</t>
  </si>
  <si>
    <t>RAYITO DE SOL 1</t>
  </si>
  <si>
    <t>MICKEY MOUSE</t>
  </si>
  <si>
    <t>DIOS ES AMOR</t>
  </si>
  <si>
    <t>EL ENCANTO NO 1</t>
  </si>
  <si>
    <t>LAS MANITOS CREATIVAS</t>
  </si>
  <si>
    <t>DULCES SUEÑOS</t>
  </si>
  <si>
    <t>LAS OVEJAS</t>
  </si>
  <si>
    <t>LOS MENUDOS</t>
  </si>
  <si>
    <t>LA PAZ</t>
  </si>
  <si>
    <t>LOS PICAPIEDRA</t>
  </si>
  <si>
    <t>RISITAS</t>
  </si>
  <si>
    <t>LA ALEGRIA</t>
  </si>
  <si>
    <t>LOS PALOMITOS</t>
  </si>
  <si>
    <t>EL MILAGRO DE DIOS</t>
  </si>
  <si>
    <t>LOS ALMENDROS</t>
  </si>
  <si>
    <t>UNA LUZ EN EL CAMINO</t>
  </si>
  <si>
    <t>LOS PITYUFOS</t>
  </si>
  <si>
    <t>RAYITAS TRAVIESAS</t>
  </si>
  <si>
    <t>MI ILUSION</t>
  </si>
  <si>
    <t>LA INFANCIA</t>
  </si>
  <si>
    <t>LA COMUNIDAD</t>
  </si>
  <si>
    <t>LA SORPRESA</t>
  </si>
  <si>
    <t>LOS DALMATAS</t>
  </si>
  <si>
    <t>LOS JUGUETONES</t>
  </si>
  <si>
    <t>LOS TRUPERCITOS</t>
  </si>
  <si>
    <t>PEQUEÑOS INOCENTES</t>
  </si>
  <si>
    <t>TERNURA</t>
  </si>
  <si>
    <t>REY DE REYES</t>
  </si>
  <si>
    <t>MI VERANITO</t>
  </si>
  <si>
    <t>CARITAS MAGICAS</t>
  </si>
  <si>
    <t>ADOLESCENCIA DE LOS NILLOS</t>
  </si>
  <si>
    <t>LOS RATONCITOS</t>
  </si>
  <si>
    <t>CASA DE ESPERANZA</t>
  </si>
  <si>
    <t>ALEGRE LOS NIÑOS WOUNAN</t>
  </si>
  <si>
    <t>LOS NIÑOS SOMOS UNIDOS</t>
  </si>
  <si>
    <t>ESPERANZA DE LOS FUTUROS</t>
  </si>
  <si>
    <t>DANZA GUATIN</t>
  </si>
  <si>
    <t>BUENAVISTA</t>
  </si>
  <si>
    <t>VIDA INDIGENA MEJOR EDUCACION</t>
  </si>
  <si>
    <t>CHAAN RAICHDI</t>
  </si>
  <si>
    <t>HCB FAMI - FAMILIAR Y COMUNITARIA</t>
  </si>
  <si>
    <t>CHACHAJO</t>
  </si>
  <si>
    <t>CHACHAJO2</t>
  </si>
  <si>
    <t>CHACHAJO3</t>
  </si>
  <si>
    <t>CZ BUGA</t>
  </si>
  <si>
    <t>PICARDIAS 2</t>
  </si>
  <si>
    <t>NORMALIZADA</t>
  </si>
  <si>
    <t>Guadalajara De Buga</t>
  </si>
  <si>
    <t>ESTRELLITAS DEL MAÑANA</t>
  </si>
  <si>
    <t>WINNIE POOH I</t>
  </si>
  <si>
    <t>SONRISITAS II</t>
  </si>
  <si>
    <t>SONRISITAS I</t>
  </si>
  <si>
    <t>VIVAMOS FELICES</t>
  </si>
  <si>
    <t>EL PEQUEÑO JESUS</t>
  </si>
  <si>
    <t>SONRISITAS 3</t>
  </si>
  <si>
    <t>MIS PEQUEÑOS GENIOS</t>
  </si>
  <si>
    <t>SOL Y LUNITAS</t>
  </si>
  <si>
    <t>MI PEQUEÑO MUNDO I</t>
  </si>
  <si>
    <t>NUBELUZ</t>
  </si>
  <si>
    <t>AMAR Y VIVIR</t>
  </si>
  <si>
    <t>MIS PRIMERAS HUELLAS I</t>
  </si>
  <si>
    <t>MI PEQUEÑO MUNDO IV</t>
  </si>
  <si>
    <t>UN BELLO AMANECER</t>
  </si>
  <si>
    <t>CHIQUITINES 3</t>
  </si>
  <si>
    <t>CARIÑOSITOS I</t>
  </si>
  <si>
    <t>LOS ENANOS</t>
  </si>
  <si>
    <t>MI SUEÑO FELIZ 1</t>
  </si>
  <si>
    <t>PEQUEÑOS ALADINOS</t>
  </si>
  <si>
    <t>MI DESPERTAR</t>
  </si>
  <si>
    <t>CARITAS FELICES 1</t>
  </si>
  <si>
    <t>CASITA ALEGRE</t>
  </si>
  <si>
    <t xml:space="preserve">Calima </t>
  </si>
  <si>
    <t>CONEJOS SALTARINES</t>
  </si>
  <si>
    <t>LOS PIOLINES</t>
  </si>
  <si>
    <t>NUESTRO JARDIN</t>
  </si>
  <si>
    <t>POLLITOS INQUIETOS</t>
  </si>
  <si>
    <t>MIS AMIGOS</t>
  </si>
  <si>
    <t>Guacari</t>
  </si>
  <si>
    <t>MIS PRIMERAS HUELLAS</t>
  </si>
  <si>
    <t>MI PEQUEÑO ARCOIRIS</t>
  </si>
  <si>
    <t>MIS PRIMEROS AMIGUITOS 3</t>
  </si>
  <si>
    <t>MIS PRIMEROS AMIGUITOS 5</t>
  </si>
  <si>
    <t>CARITAS FELICES 6</t>
  </si>
  <si>
    <t>DIMF TEJEDORES DE SUEÑO II</t>
  </si>
  <si>
    <t xml:space="preserve">Restrepo </t>
  </si>
  <si>
    <t>CUENTA CON VISITA TÉCNICA</t>
  </si>
  <si>
    <t>DIMF MI PEQUEÑO MUNDO I</t>
  </si>
  <si>
    <t>DIMF MI PEQUEÑO CASTILLO II</t>
  </si>
  <si>
    <t>DIMF HUELLAS FELICES II</t>
  </si>
  <si>
    <t>DIMF SEMILLEROS DE SONRISA I</t>
  </si>
  <si>
    <t>DIMF SEMILLEROS DE SONRISA II</t>
  </si>
  <si>
    <t>DIMF LOS CARIÑOSITOS III</t>
  </si>
  <si>
    <t>DIMF MI PEQUEÑO MUNDO II</t>
  </si>
  <si>
    <t>DIMF LOS CARIÑOSITOS II</t>
  </si>
  <si>
    <t>DIMF HUELLAS DE AMOR I</t>
  </si>
  <si>
    <t>DIMF HUELLAS DE AMOR III</t>
  </si>
  <si>
    <t>DIMF HUELLAS DE AMOR II</t>
  </si>
  <si>
    <t>DIMF SEMILLEROS DE SONRISA III</t>
  </si>
  <si>
    <t>DIMF MI PEQUEÑO MUNDO III</t>
  </si>
  <si>
    <t>DIMF MI PEQUEÑO CASTILLO I</t>
  </si>
  <si>
    <t>DIMF HUELLAS FELICES I</t>
  </si>
  <si>
    <t>DIMF LOS CARIÑOSITOS I</t>
  </si>
  <si>
    <t>DIMF TEJEDORES DE SUEÑO I</t>
  </si>
  <si>
    <t>CDI CAPERUCITA ROJA</t>
  </si>
  <si>
    <t>San Pedro</t>
  </si>
  <si>
    <t>DIMF MI SEGUNDO HOGAR</t>
  </si>
  <si>
    <t>DIMF TRAVESURAS</t>
  </si>
  <si>
    <t>DIMF SONRISITAS</t>
  </si>
  <si>
    <t>DIMF SUEÑOS Y FANTASIAS I</t>
  </si>
  <si>
    <t>DIMF MI PEQUEÑA TRAVESIA II</t>
  </si>
  <si>
    <t>DIMF MI PEQUEÑA TRAVESIA III</t>
  </si>
  <si>
    <t>DIMF GRANDES EXPLORADORES I</t>
  </si>
  <si>
    <t>DIMF MI PEQUEÑA TRAVESIA I</t>
  </si>
  <si>
    <t>DIMF GRANDES EXPLORADORES II</t>
  </si>
  <si>
    <t>HOGAR INFANTIL DIVINO NIÑO</t>
  </si>
  <si>
    <t>DIMF FAMILIAS DEL FUTURO I</t>
  </si>
  <si>
    <t>DIMF MANITAS CREATIVAS II</t>
  </si>
  <si>
    <t>DIMF CHIQUI GENIOS II</t>
  </si>
  <si>
    <t>DIMF LOS TRIUNFADORES I</t>
  </si>
  <si>
    <t>DIMF MIS PEQUEÑOS EXPLORADORES II</t>
  </si>
  <si>
    <t>DIMF APRENDIENDO CON AMOR I</t>
  </si>
  <si>
    <t>DIMF CHIQUI GENIOS I</t>
  </si>
  <si>
    <t>DIMF LOS TRIUNFADORES II</t>
  </si>
  <si>
    <t>DIMF MANITAS CREATIVAS III</t>
  </si>
  <si>
    <t>DIMF MIS ANGELITOS I</t>
  </si>
  <si>
    <t>DIMF FAMILIAS DEL FUTURO III</t>
  </si>
  <si>
    <t>DIMF MANITAS CREATIVAS I</t>
  </si>
  <si>
    <t>DIMF MIS PEQUEÑOS EXPLORADORES I</t>
  </si>
  <si>
    <t>DIMF MIS ANGELITOS III</t>
  </si>
  <si>
    <t>DIMF APRENDIENDO CON AMOR II</t>
  </si>
  <si>
    <t>DIMF MIS ANGELITOS II</t>
  </si>
  <si>
    <t>DIMF FAMILIAS DEL FUTURO II</t>
  </si>
  <si>
    <t>HOGAR INFANTIL EL REFUGIO</t>
  </si>
  <si>
    <t>EL GATO CON BOTAS</t>
  </si>
  <si>
    <t>LOS GARITEROS</t>
  </si>
  <si>
    <t>CDI LA FANTASIA DE EXPLORAR</t>
  </si>
  <si>
    <t xml:space="preserve">Yotoco </t>
  </si>
  <si>
    <t>DIMF MIS PRIMEROS PASOS II</t>
  </si>
  <si>
    <t>DIMF CARICIAS TIERNAS</t>
  </si>
  <si>
    <t>DIMF MI TERRON DE AZUCAR I</t>
  </si>
  <si>
    <t>DIMF MIS CORAZONCITOS</t>
  </si>
  <si>
    <t>CDI SEMILLITAS</t>
  </si>
  <si>
    <t>DIMF MIS PRIMEROS PASOS I</t>
  </si>
  <si>
    <t>Institución Educativa</t>
  </si>
  <si>
    <t>MI PEQUEÑO GENIO</t>
  </si>
  <si>
    <t>LOS BAMBIS</t>
  </si>
  <si>
    <t>RANA RENE</t>
  </si>
  <si>
    <t>ESTRELLITAS DEL FUTURO</t>
  </si>
  <si>
    <t>CHAPULIN COLORADO</t>
  </si>
  <si>
    <t>DONAL</t>
  </si>
  <si>
    <t>MIS PRIMEROS AMIGUITOS 4</t>
  </si>
  <si>
    <t>MI PEQUEÑO DAVID 3</t>
  </si>
  <si>
    <t>EL MUNDO DE LOS NIÑOS 3</t>
  </si>
  <si>
    <t>EL MUNDO DE LOS NIÑOS 2</t>
  </si>
  <si>
    <t>SUEÑOS Y FANTASIAS 1</t>
  </si>
  <si>
    <t>SUEÑOS Y FANTASIAS 2</t>
  </si>
  <si>
    <t>CARITAS FELICES II</t>
  </si>
  <si>
    <t>MI NUEVO MUNDO</t>
  </si>
  <si>
    <t>MUNDO FELIZ</t>
  </si>
  <si>
    <t>SOL Y LUNA</t>
  </si>
  <si>
    <t>CARIÑITO</t>
  </si>
  <si>
    <t>GOTICA DE AMOR</t>
  </si>
  <si>
    <t>MI PEQUEÑO ARCOIRIS 1</t>
  </si>
  <si>
    <t>LOS GORRIONCITOS 3</t>
  </si>
  <si>
    <t>GORRIONCITOS I</t>
  </si>
  <si>
    <t>EL DESCANSO DE MAMA</t>
  </si>
  <si>
    <t>MIS PIOLIN</t>
  </si>
  <si>
    <t>MI PEQUEÑO ARCOIRIS 2</t>
  </si>
  <si>
    <t>MANITOS CON AMOR I</t>
  </si>
  <si>
    <t>SENDERO DE ANGELES</t>
  </si>
  <si>
    <t>MIS PEQUEÑOS GIGANTES</t>
  </si>
  <si>
    <t>DULCE DESPERTAR</t>
  </si>
  <si>
    <t>LOS OSITOS 1</t>
  </si>
  <si>
    <t>CARIÑOSITOS 2</t>
  </si>
  <si>
    <t>LOS CARIÑOSITOS 3</t>
  </si>
  <si>
    <t>CHIQUITINES 2</t>
  </si>
  <si>
    <t>EL PATO DONALD</t>
  </si>
  <si>
    <t>OSITOS CARIÑOSITOS</t>
  </si>
  <si>
    <t>LOS OSITOS 3</t>
  </si>
  <si>
    <t>PERSONITAS</t>
  </si>
  <si>
    <t>DOÑA FILOMENA 1</t>
  </si>
  <si>
    <t>SONRISITAS</t>
  </si>
  <si>
    <t>CDI EL MOLINO</t>
  </si>
  <si>
    <t>CDI CASTILLO DE COLORES</t>
  </si>
  <si>
    <t>CDI HUELLAS</t>
  </si>
  <si>
    <t>CDI TEJIENDO FUTUROS</t>
  </si>
  <si>
    <t>CDI MANITOS CON AMOR</t>
  </si>
  <si>
    <t>DIMF MIS AÑOS MARAVILLOSOS</t>
  </si>
  <si>
    <t>DIMF AVENTURA DE CRECER</t>
  </si>
  <si>
    <t>DIMF PEQUEÑOS SALTARINES II</t>
  </si>
  <si>
    <t>DIMF SEMILLITAS</t>
  </si>
  <si>
    <t>DIMF EXPLORADORES DE AMOR</t>
  </si>
  <si>
    <t>DIMF BAMBINOS I</t>
  </si>
  <si>
    <t>DIMF MI CASITA ALEGRE</t>
  </si>
  <si>
    <t>DIMF LOS CHIQUITINES II</t>
  </si>
  <si>
    <t>DIMF LOS CHIQUITINES III</t>
  </si>
  <si>
    <t>CDI SANTA CECILIA</t>
  </si>
  <si>
    <t>DIMF FAMILIAS CON AMOR</t>
  </si>
  <si>
    <t>DIMF FAMILIAS CON FUTURO</t>
  </si>
  <si>
    <t>DIMF MIS PEQUEÑOS GENIOS</t>
  </si>
  <si>
    <t>DIMF MI PEQUEÑA INFANCIA I</t>
  </si>
  <si>
    <t>DIMF SEMILLEROS DEL FUTURO</t>
  </si>
  <si>
    <t>DIMF SUSURROS</t>
  </si>
  <si>
    <t>DIMF EL RINCON DE MIS SUEÑOS</t>
  </si>
  <si>
    <t>DIMF HUELLITAS DEL FUTURO</t>
  </si>
  <si>
    <t>DIMF PEQUEÑOS SOÑADORES</t>
  </si>
  <si>
    <t>DIMF CAJITA MAGICA</t>
  </si>
  <si>
    <t>DIMF AVENTURA DE APRENDER</t>
  </si>
  <si>
    <t>DIMF PULPITOS DE ENSEÑANZA</t>
  </si>
  <si>
    <t>DIMF MANITAS CREATIVAS</t>
  </si>
  <si>
    <t>DIMF SEMILLAS DE AMOR</t>
  </si>
  <si>
    <t>DIMF CARITAS FELICES</t>
  </si>
  <si>
    <t>DIMF MIS PRIMERAS HUELLAS I</t>
  </si>
  <si>
    <t>DIMF LOS CHIQUITINES</t>
  </si>
  <si>
    <t>DIMF PEQUEÑIOS SALTARINES I</t>
  </si>
  <si>
    <t>DIMF MIS PRIMERAS HUELLAS II</t>
  </si>
  <si>
    <t>DIMF BAMBINOS II</t>
  </si>
  <si>
    <t>DIMF BAMBINOS III</t>
  </si>
  <si>
    <t>CZ CARTAGO</t>
  </si>
  <si>
    <t>PLAZA SESAMO</t>
  </si>
  <si>
    <t>ALEGRIA INFANTIL</t>
  </si>
  <si>
    <t>Madre comunitaria</t>
  </si>
  <si>
    <t>POPEYE</t>
  </si>
  <si>
    <t>LOS DORMILONES</t>
  </si>
  <si>
    <t>ALEGRIAS</t>
  </si>
  <si>
    <t>CASITA ENCANTADA</t>
  </si>
  <si>
    <t>MI PEQUEÑO CORAZONCITO</t>
  </si>
  <si>
    <t>ROMANCES</t>
  </si>
  <si>
    <t>EL ROSAL</t>
  </si>
  <si>
    <t>MIS PRIMEROS PASITOS</t>
  </si>
  <si>
    <t>ENANITOS</t>
  </si>
  <si>
    <t>LUCERITOS</t>
  </si>
  <si>
    <t>CAMINITOS</t>
  </si>
  <si>
    <t>SENDERITOS</t>
  </si>
  <si>
    <t>La Victoria</t>
  </si>
  <si>
    <t>LOS CHICOS</t>
  </si>
  <si>
    <t>CARPINTERITOS</t>
  </si>
  <si>
    <t>LOS AZULEJITOS</t>
  </si>
  <si>
    <t>CASITA DE CHOCOLATE</t>
  </si>
  <si>
    <t>BULLICIOSOS</t>
  </si>
  <si>
    <t>CENTRO DE DESARROLLO INFANTIL OBANDO VALLE</t>
  </si>
  <si>
    <t xml:space="preserve">Obando </t>
  </si>
  <si>
    <t>MAFALDA PIOLIN</t>
  </si>
  <si>
    <t>EDUCACIÓN INICIAL CAMPESINA - A - PROPIA E INTERCULTURAL</t>
  </si>
  <si>
    <t>CASETA</t>
  </si>
  <si>
    <t>CASETA COMUNAL</t>
  </si>
  <si>
    <t>ESCUELA</t>
  </si>
  <si>
    <t>SALON PARROQUIAL VILLARODAS</t>
  </si>
  <si>
    <t>GRAN COLOMBIA 3</t>
  </si>
  <si>
    <t>ESCUELA GRAN COLOMBIA 1</t>
  </si>
  <si>
    <t>ESCUELA GRAN COLOMBIA 2</t>
  </si>
  <si>
    <t>GRAN COLOMBIA 4</t>
  </si>
  <si>
    <t>PEQUEÑOS GENIOS Y PEQUEÑOS GIGANTES</t>
  </si>
  <si>
    <t>LOS MIL COLORES</t>
  </si>
  <si>
    <t>GIRASOLES CA</t>
  </si>
  <si>
    <t>JARDIN MAGICO CA</t>
  </si>
  <si>
    <t>CAMPO ALEGRE</t>
  </si>
  <si>
    <t>MICKEY CA</t>
  </si>
  <si>
    <t>CARRUSEL DE MIS SUEÑOS</t>
  </si>
  <si>
    <t>CDI SUEÑOS Y SONRISAS</t>
  </si>
  <si>
    <t>CDI VILLA MANUELA</t>
  </si>
  <si>
    <t>SEMILLITAS CON AMOR</t>
  </si>
  <si>
    <t>Argelia</t>
  </si>
  <si>
    <t>CARITAS FELICES CA</t>
  </si>
  <si>
    <t>MARCOFIDEL SUAREZ</t>
  </si>
  <si>
    <t>EDUCACIÓN INICIAL CAMPESINA - B - PROPIA E INTERCULTURAL</t>
  </si>
  <si>
    <t>El Águila</t>
  </si>
  <si>
    <t>SANTA ISABEL</t>
  </si>
  <si>
    <t>LLANO GRANDE</t>
  </si>
  <si>
    <t>EL AGUILA</t>
  </si>
  <si>
    <t>SEDE DIONISIO CORTES</t>
  </si>
  <si>
    <t>CDI ANGELITOS EL CAIRO</t>
  </si>
  <si>
    <t xml:space="preserve">El Cairo </t>
  </si>
  <si>
    <t>LA CASITA DE EMMANUEL</t>
  </si>
  <si>
    <t>MI GRANJITA ALBAN</t>
  </si>
  <si>
    <t>CASCABELES Y COLORES</t>
  </si>
  <si>
    <t xml:space="preserve">Ansermanuevo </t>
  </si>
  <si>
    <t>SUPERAMIGOS</t>
  </si>
  <si>
    <t>HOGAR COMUNITARIO</t>
  </si>
  <si>
    <t>CHISPITAS</t>
  </si>
  <si>
    <t>BLANCA NIEVES</t>
  </si>
  <si>
    <t>RIN RIN RENACUAJO</t>
  </si>
  <si>
    <t>PULGARCITOS</t>
  </si>
  <si>
    <t>MIS PEQUEÑOS PONYS</t>
  </si>
  <si>
    <t>PELUCITAS</t>
  </si>
  <si>
    <t>LA PIÑATA</t>
  </si>
  <si>
    <t>EL MIRADOR</t>
  </si>
  <si>
    <t>MIS ALEGRIAS</t>
  </si>
  <si>
    <t>PELUCITA</t>
  </si>
  <si>
    <t>MI PEQUEÑA LULU</t>
  </si>
  <si>
    <t>SAPITO GLO GLO</t>
  </si>
  <si>
    <t>CHIQUILLADAS</t>
  </si>
  <si>
    <t>SEMILLITAS</t>
  </si>
  <si>
    <t>GURIGURI</t>
  </si>
  <si>
    <t>MIS PEQUEÑOS ARTISTAS</t>
  </si>
  <si>
    <t>JARDIN DE LA ESPERANZA</t>
  </si>
  <si>
    <t>LOS PITINES</t>
  </si>
  <si>
    <t>MIS PEQUEÑUELOS</t>
  </si>
  <si>
    <t>CDI PASITOS DEL SABER ALCALA</t>
  </si>
  <si>
    <t xml:space="preserve">Alcala </t>
  </si>
  <si>
    <t>HOGAR INFANTIL VECINAL RISITAS</t>
  </si>
  <si>
    <t>CASA DE LA CULTURA</t>
  </si>
  <si>
    <t>ANACARO</t>
  </si>
  <si>
    <t>EL ROBLE</t>
  </si>
  <si>
    <t>GRAMALOTE</t>
  </si>
  <si>
    <t>EL VERGEL</t>
  </si>
  <si>
    <t>ESCUELA STA TERESITA</t>
  </si>
  <si>
    <t>Ulloa</t>
  </si>
  <si>
    <t>ANTIGUA GUARDERIA</t>
  </si>
  <si>
    <t>PASITOS DEL SABER ULLOA</t>
  </si>
  <si>
    <t>SAGRADA FAMILIA</t>
  </si>
  <si>
    <t>NIÑEZ Y ALEGRIA</t>
  </si>
  <si>
    <t>OSITO PANDA</t>
  </si>
  <si>
    <t>RONDAS INFANTILES</t>
  </si>
  <si>
    <t>LOS SIETE CABRITOS</t>
  </si>
  <si>
    <t>MIS PEQUEÑOS AMIGUITOS</t>
  </si>
  <si>
    <t>TRIBILIN</t>
  </si>
  <si>
    <t>MIL LUCERITOS</t>
  </si>
  <si>
    <t>CASITA DE CRISTAL</t>
  </si>
  <si>
    <t>PILATUNAS GASPARIN</t>
  </si>
  <si>
    <t>MIS OSITOS</t>
  </si>
  <si>
    <t>REGALO DE DIOS</t>
  </si>
  <si>
    <t>IMAGINATE</t>
  </si>
  <si>
    <t>APRENDAMOS JUGANDO</t>
  </si>
  <si>
    <t>MARAVILLA INFANTIL</t>
  </si>
  <si>
    <t>ANGELITOS TRAVIESOS</t>
  </si>
  <si>
    <t>EDUCACIÓN INICIAL PROPIA PERIÓDICA – PROPIA E INTERCULTURAL</t>
  </si>
  <si>
    <t>NUEVO AMANECER EL SAMAN</t>
  </si>
  <si>
    <t>DACHI DRUA MONDI</t>
  </si>
  <si>
    <t>VANIA CHAMI</t>
  </si>
  <si>
    <t>GUADIALITO</t>
  </si>
  <si>
    <t>DAISIAKORO</t>
  </si>
  <si>
    <t>DOXURA 01</t>
  </si>
  <si>
    <t>KIMA DRUA</t>
  </si>
  <si>
    <t>CHACHA DRUA</t>
  </si>
  <si>
    <t>CDI MARIA INMACULADA ANSERMANUEVO</t>
  </si>
  <si>
    <t>HOGAR INFANTIL MONERIAS</t>
  </si>
  <si>
    <t>HOGAR INFANTIL EL PALACIO DE LOS NIÑOS</t>
  </si>
  <si>
    <t>HOGAR INFANTIL LA ISABELA</t>
  </si>
  <si>
    <t>HOGAR INFANTIL NIÑO JESUS DE PRAGA</t>
  </si>
  <si>
    <t>HOGAR INFANTIL SAN JOSE</t>
  </si>
  <si>
    <t>HOGAR INFANTIL LAS ARDILLITAS</t>
  </si>
  <si>
    <t>CASETA COMUNAL LUIS CARLOS GALAN</t>
  </si>
  <si>
    <t>ESCUELA 1 DE MAYO</t>
  </si>
  <si>
    <t>CASETA COMUNAL BERNARDO PEREZ</t>
  </si>
  <si>
    <t>ZARAGOZA</t>
  </si>
  <si>
    <t>SEDE LA ESPERANZA 1</t>
  </si>
  <si>
    <t>CASETA COMUNAL SAN PABLO</t>
  </si>
  <si>
    <t>SEDE LA ESPERANZA 3</t>
  </si>
  <si>
    <t>SAN JERONIMO CA</t>
  </si>
  <si>
    <t>SEDE LA ESPERANZA 2</t>
  </si>
  <si>
    <t>CASA DE JUSTICIA</t>
  </si>
  <si>
    <t>CZ JAMUNDI</t>
  </si>
  <si>
    <t>H.I GOTITAS DE AMOR</t>
  </si>
  <si>
    <t>DESARROLLO INFANTIL EN ESTABLECIMIENTO DE RECLUSIÓN - DIER - A – INSTITUCIONAL</t>
  </si>
  <si>
    <t>Jamundi</t>
  </si>
  <si>
    <t>EL INFANTE DE ROBLES</t>
  </si>
  <si>
    <t>CDI PANDERITOS DE PADUA</t>
  </si>
  <si>
    <t>CDI PANDERITOS DE PADUA 2</t>
  </si>
  <si>
    <t>LOS COLORES DE MIS SUEÑOS</t>
  </si>
  <si>
    <t>PASO DEL SABER</t>
  </si>
  <si>
    <t>EL MUNDO DE LA FELICIDAD</t>
  </si>
  <si>
    <t>EL MUNDO DE LOS SUEÑOS</t>
  </si>
  <si>
    <t>SEMILLAS DEL FUTURO</t>
  </si>
  <si>
    <t>CDI EL RODEO</t>
  </si>
  <si>
    <t>LOS RETOÑITOS VILLACOLOMBIA</t>
  </si>
  <si>
    <t>CRECIENDO JUNTOS</t>
  </si>
  <si>
    <t>MUJERES DE BENDICION</t>
  </si>
  <si>
    <t>BIBLIOTECA TERRANOVA</t>
  </si>
  <si>
    <t>UNION Y FUERZA</t>
  </si>
  <si>
    <t>LOS PININOS DEL GIGANTE LA MESETA</t>
  </si>
  <si>
    <t>CASITA DEL INFANTE</t>
  </si>
  <si>
    <t>LOS PININOS DEL GIGANTE LA LIBERIA</t>
  </si>
  <si>
    <t>MUJERES DE BENDICION POTRERITO</t>
  </si>
  <si>
    <t>SEK LUCX HIJOS DEL SOL</t>
  </si>
  <si>
    <t>YATKWE LA CASITA</t>
  </si>
  <si>
    <t>ATEKWE ABUELITA LUNA</t>
  </si>
  <si>
    <t>CXAEN ESPÍRITUS DEL DÍA</t>
  </si>
  <si>
    <t>CXAYUCE ALEGRIA</t>
  </si>
  <si>
    <t>ADXIJ ESTRELLA</t>
  </si>
  <si>
    <t>CXAHCXA FUERZA</t>
  </si>
  <si>
    <t>KSXAW SUEÑITO</t>
  </si>
  <si>
    <t>MIAHTX DESPIERTA</t>
  </si>
  <si>
    <t>UMA KIWE</t>
  </si>
  <si>
    <t>NUSKWE LLUVIECITA</t>
  </si>
  <si>
    <t>TUL KWE TERRITORIO</t>
  </si>
  <si>
    <t>CZ LADERA</t>
  </si>
  <si>
    <t>LA PEQUEÑA LULU</t>
  </si>
  <si>
    <t>LOS ABUELITOS</t>
  </si>
  <si>
    <t>CARACOLITOS</t>
  </si>
  <si>
    <t>CARITAS SONRRIENTES</t>
  </si>
  <si>
    <t>PANTANERITOS</t>
  </si>
  <si>
    <t>MI FELICIDAD</t>
  </si>
  <si>
    <t>SILVESTRE</t>
  </si>
  <si>
    <t>PETETE</t>
  </si>
  <si>
    <t>LOS REYECITOS</t>
  </si>
  <si>
    <t>JOSE MIEL</t>
  </si>
  <si>
    <t>CHIQITINES</t>
  </si>
  <si>
    <t>GOTICAS DE AMOR</t>
  </si>
  <si>
    <t>TORTUGUITAS</t>
  </si>
  <si>
    <t>PAYASITOS</t>
  </si>
  <si>
    <t>LOS TITERES</t>
  </si>
  <si>
    <t>EL GRUPAL</t>
  </si>
  <si>
    <t>MIS HORAS FELICES</t>
  </si>
  <si>
    <t>LOS OSITOS1</t>
  </si>
  <si>
    <t>AMIGUITOS</t>
  </si>
  <si>
    <t>Dagua</t>
  </si>
  <si>
    <t>MI VALLECITO</t>
  </si>
  <si>
    <t>LA INMACULADA</t>
  </si>
  <si>
    <t>LOS PEQUEÑOS TRAVIESOS LOS JARDINERITOS</t>
  </si>
  <si>
    <t>CHIQUILLADAS 2</t>
  </si>
  <si>
    <t>HOGAR EL DESCANSO</t>
  </si>
  <si>
    <t>LOS CAMINANTES</t>
  </si>
  <si>
    <t>OSITOS CARIÑOSITOS 1</t>
  </si>
  <si>
    <t>TRAVESURAS Y CHIQUILLADAS 1</t>
  </si>
  <si>
    <t>MIS CARINITOS</t>
  </si>
  <si>
    <t>MAMA LUCERO</t>
  </si>
  <si>
    <t>MIS MININOS</t>
  </si>
  <si>
    <t>LA NENA YEYE</t>
  </si>
  <si>
    <t>RAYITO DE AMOR</t>
  </si>
  <si>
    <t>LOS CORALITOS</t>
  </si>
  <si>
    <t>LA CIGUEÑA</t>
  </si>
  <si>
    <t>MIS PEQUIS</t>
  </si>
  <si>
    <t>LOS TRIUNFADORES</t>
  </si>
  <si>
    <t>LOS PAYASITOS</t>
  </si>
  <si>
    <t>FANTASÍAS DOS</t>
  </si>
  <si>
    <t>WINNI POOH</t>
  </si>
  <si>
    <t>LOS MIKES</t>
  </si>
  <si>
    <t>PITUFOS ALEGRES</t>
  </si>
  <si>
    <t>LA CASITA DE LOS NIÑOS</t>
  </si>
  <si>
    <t>MICHIN</t>
  </si>
  <si>
    <t>CANDY</t>
  </si>
  <si>
    <t>IMAGINACION</t>
  </si>
  <si>
    <t>LOBATOS Y AMIGUITOS</t>
  </si>
  <si>
    <t>PATO DONALD</t>
  </si>
  <si>
    <t>HOGAR DON RAMON</t>
  </si>
  <si>
    <t>LOS DELFINES2</t>
  </si>
  <si>
    <t>RATON MICKEY</t>
  </si>
  <si>
    <t>DANIEL EL TRAVIESO</t>
  </si>
  <si>
    <t>LAS HORMIGUITAS Y LOS OSITOS</t>
  </si>
  <si>
    <t>PORTAL DE LA ALEGRIA</t>
  </si>
  <si>
    <t>SAGRADO CORAZON DE JESUS</t>
  </si>
  <si>
    <t>LOS CARINOSITOS</t>
  </si>
  <si>
    <t>C18 FAMILIAR ALDEA 4</t>
  </si>
  <si>
    <t>AYUDANDOTE A CRECER</t>
  </si>
  <si>
    <t>C1 FAMILIAR ALDEA 2C</t>
  </si>
  <si>
    <t>C20 FAMILIAR ALDEA 6C</t>
  </si>
  <si>
    <t>C18 FAMILIAR ALDEA 2</t>
  </si>
  <si>
    <t>C19 FAMILIAR ALDEA 3</t>
  </si>
  <si>
    <t>C20 FAMILIAR ALDEA 10C</t>
  </si>
  <si>
    <t>C1 FAMILIAR ALDEA 1</t>
  </si>
  <si>
    <t>C20 FAMILIAR ALDEA 9</t>
  </si>
  <si>
    <t>C20 FAMILIAR ALDEA 7</t>
  </si>
  <si>
    <t>C18 FAMILIAR ALDEA 11C</t>
  </si>
  <si>
    <t>C20 FAMILIAR ALDEA 14</t>
  </si>
  <si>
    <t>C19 FAMILIAR ALDEA 2</t>
  </si>
  <si>
    <t>SEMILLERO DE SUEÑOS</t>
  </si>
  <si>
    <t>H.I BUEN AMIGO</t>
  </si>
  <si>
    <t>H.I SANTA LUISA</t>
  </si>
  <si>
    <t>CDI MI NUEVO MUNDO</t>
  </si>
  <si>
    <t>HOGAR INFANTIL ARDILLITAS JUGUETONAS</t>
  </si>
  <si>
    <t>DG FAMILIAR ALDEA 5</t>
  </si>
  <si>
    <t>DG FAMILIAR ALDEA 4C</t>
  </si>
  <si>
    <t>DG FAMILIAR ALDEA 1</t>
  </si>
  <si>
    <t>DG FAMILIAR ALDEA 22C</t>
  </si>
  <si>
    <t>DG FAMILIAR ALDEA 7</t>
  </si>
  <si>
    <t>DG FAMILIAR ALDEA 6</t>
  </si>
  <si>
    <t>DG FAMILIAR ALDEA 2</t>
  </si>
  <si>
    <t>DG FAMILIAR ALDEA 23</t>
  </si>
  <si>
    <t>DG FAMILIAR ALDEA 8C</t>
  </si>
  <si>
    <t>DG FAMILIAR ALDEA 11</t>
  </si>
  <si>
    <t>DG FAMILIAR ALDEA 12</t>
  </si>
  <si>
    <t>DG FAMILIAR ALDEA 13</t>
  </si>
  <si>
    <t>DG FAMILIAR ALDEA 14</t>
  </si>
  <si>
    <t>DG FAMILIAR ALDEA 15</t>
  </si>
  <si>
    <t>DG FAMILIAR ALDEA 16</t>
  </si>
  <si>
    <t>DG FAMILIAR ALDEA 19</t>
  </si>
  <si>
    <t>DG FAMILIAR ALDEA 17</t>
  </si>
  <si>
    <t>DG FAMILIAR ALDEA 18</t>
  </si>
  <si>
    <t>DG FAMILIAR ALDEA 20</t>
  </si>
  <si>
    <t>DG FAMILIAR ALDEA 21</t>
  </si>
  <si>
    <t>DG FAMILIAR ALDEA 9</t>
  </si>
  <si>
    <t>DG FAMILIAR ALDEA 10</t>
  </si>
  <si>
    <t>DG FAMILIAR ALDEA 24</t>
  </si>
  <si>
    <t>DG FAMILIAR ALDEA 25</t>
  </si>
  <si>
    <t>OSITOS CARIÑOSITOS 3</t>
  </si>
  <si>
    <t>MIS PRIMEROS RECUERDOS</t>
  </si>
  <si>
    <t>RETOÑITOS</t>
  </si>
  <si>
    <t>CORAZONES AMIGOS</t>
  </si>
  <si>
    <t>EL PARAISO DE LOS NIÑOS</t>
  </si>
  <si>
    <t>EL TREN DEL SABER</t>
  </si>
  <si>
    <t>200 ANGELITOS</t>
  </si>
  <si>
    <t>LOS PATOS</t>
  </si>
  <si>
    <t>LILIPUT</t>
  </si>
  <si>
    <t>LOS GNOMOS</t>
  </si>
  <si>
    <t>CENTRO DE DESARROLLO MATER DEI</t>
  </si>
  <si>
    <t>INFANCIA CON AMOR</t>
  </si>
  <si>
    <t>C1 FAMILIAR ALDEA 1C</t>
  </si>
  <si>
    <t>CHIQUITINES GRATOS</t>
  </si>
  <si>
    <t>SEMILLITAS DE AMOR</t>
  </si>
  <si>
    <t>MIS KIKATOS</t>
  </si>
  <si>
    <t>C20 FAMILIAR ALDEA 3</t>
  </si>
  <si>
    <t>LOS ARRULLOS</t>
  </si>
  <si>
    <t>C20 FAMILIAR ALDEA 1</t>
  </si>
  <si>
    <t>C20 FAMILIAR ALDEA 2</t>
  </si>
  <si>
    <t>C18 FAMILIAR ALDEA 1</t>
  </si>
  <si>
    <t>C20 FAMILIAR ALDEA 5</t>
  </si>
  <si>
    <t>C20 FAMILIAR ALDEA 13C</t>
  </si>
  <si>
    <t>C20 FAMILIAR ALDEA 12</t>
  </si>
  <si>
    <t>C19 FAMILIAR ALDEA 1C</t>
  </si>
  <si>
    <t>CDI LADERA DE COLORES</t>
  </si>
  <si>
    <t>CDI CRECIENDO FELICES</t>
  </si>
  <si>
    <t>HOGAR INFANTIL AMIGUITOS</t>
  </si>
  <si>
    <t>H.I LA CASCADA</t>
  </si>
  <si>
    <t>CENTRO DE DESARROLLO INFANTIL BELLAVISTA</t>
  </si>
  <si>
    <t>CDI RENACER</t>
  </si>
  <si>
    <t>CDI MENGA</t>
  </si>
  <si>
    <t>H.I CASITA DE RUISEÑORES</t>
  </si>
  <si>
    <t>H.I MUCHACHITOS</t>
  </si>
  <si>
    <t>MIS AÑOS DE FANTASIA</t>
  </si>
  <si>
    <t>CDI PANDERITOS DE LADERA</t>
  </si>
  <si>
    <t>CDI GRANDES SOÑADORES</t>
  </si>
  <si>
    <t>HOGAR INFANTIL ANA MARIA</t>
  </si>
  <si>
    <t>HOGAR INFANTIL BARRIO LLERAS CAMARGO</t>
  </si>
  <si>
    <t>HOGAR INFANTIL GABRIELA PALAU DE PALAU</t>
  </si>
  <si>
    <t>HOGAR INFANTIL JUAN BAUTISTA R</t>
  </si>
  <si>
    <t>H.I. LA FLAUTA MAGICA</t>
  </si>
  <si>
    <t>HOGAR INFANTIL NUESTRA SEÑORA DE LOS REMEDIOS</t>
  </si>
  <si>
    <t>CZ NORORIENTAL</t>
  </si>
  <si>
    <t>HOGAR INFANTIL CAUQUITA</t>
  </si>
  <si>
    <t>H.I PERSONITAS</t>
  </si>
  <si>
    <t>H.I PULGARCITO</t>
  </si>
  <si>
    <t>H.I LOS OSITOS LA FLORESTA</t>
  </si>
  <si>
    <t>CDI INDUSTRIAL LOS MANGOS</t>
  </si>
  <si>
    <t>CDI MANOS PROVIDENTES SEDE ALFONSO LOPEZ</t>
  </si>
  <si>
    <t>LA HERRADURA</t>
  </si>
  <si>
    <t>CDI ALEGRIA DE COMPARTIR</t>
  </si>
  <si>
    <t>CDI CAMILO TORRES</t>
  </si>
  <si>
    <t>MANGUITOS 2</t>
  </si>
  <si>
    <t>MANGUITOS 6</t>
  </si>
  <si>
    <t>LOS NOMOS 2</t>
  </si>
  <si>
    <t>EL CONEJO SALTARIN</t>
  </si>
  <si>
    <t>OSOS JUGUETONES</t>
  </si>
  <si>
    <t>LOS NIÑOS DEL FUTURO</t>
  </si>
  <si>
    <t>MIS PRIMERAS AVENTURAS</t>
  </si>
  <si>
    <t>PERSONITAS DEL MAÑANA</t>
  </si>
  <si>
    <t>MANGUITOS 12</t>
  </si>
  <si>
    <t>PEQUEÑINEZ</t>
  </si>
  <si>
    <t>VOLVER A NACER</t>
  </si>
  <si>
    <t>SOÑADORES</t>
  </si>
  <si>
    <t>LA CASITA DE HEIDY</t>
  </si>
  <si>
    <t>CARMELITA</t>
  </si>
  <si>
    <t>MORADO</t>
  </si>
  <si>
    <t>VIOLETA</t>
  </si>
  <si>
    <t>AZUL CELESTE</t>
  </si>
  <si>
    <t>SAPOTE</t>
  </si>
  <si>
    <t>LILA</t>
  </si>
  <si>
    <t>LAS ARDILLAS JUGUETONAS</t>
  </si>
  <si>
    <t>GOTICAS DE GENTE</t>
  </si>
  <si>
    <t>LOS ANGELITOS 1</t>
  </si>
  <si>
    <t>CAMPANITAS</t>
  </si>
  <si>
    <t>LOS OSITOS JUGUETONES</t>
  </si>
  <si>
    <t>LAS PERSONITAS</t>
  </si>
  <si>
    <t>LA CASITA DE LOS SUENOS</t>
  </si>
  <si>
    <t>UN MAR DE SUENOS</t>
  </si>
  <si>
    <t>ESTRELLITAS LUMINOSAS</t>
  </si>
  <si>
    <t>CARINOSITOS</t>
  </si>
  <si>
    <t>SUEÑOS FAMILIARES</t>
  </si>
  <si>
    <t>MUJERES CON FUTURO</t>
  </si>
  <si>
    <t>CENTRO DE DESARROLLO INFANTIL COMPARTIR</t>
  </si>
  <si>
    <t>CDI MANOS PROVIDENTES SEDE VILLA MERCEDES</t>
  </si>
  <si>
    <t>MI CASITA DEL SABER</t>
  </si>
  <si>
    <t>PICAPIEDRA 1.PICAPIEDRA 2</t>
  </si>
  <si>
    <t>PICAPIEDRA 3.PICAPIEDRA 4</t>
  </si>
  <si>
    <t>ROSADO.VERDE.BLANCO</t>
  </si>
  <si>
    <t>ARDILLITAS</t>
  </si>
  <si>
    <t>TERNURA DE MANDY</t>
  </si>
  <si>
    <t>PINOCHITOS</t>
  </si>
  <si>
    <t>PEQUENOS SABIOS</t>
  </si>
  <si>
    <t>REFUGIO DE AMOR</t>
  </si>
  <si>
    <t>PULGARCITO1.PULGARCITO2.PULGARCITO6</t>
  </si>
  <si>
    <t>PULGARCITO 11</t>
  </si>
  <si>
    <t>PULGARCITO 8</t>
  </si>
  <si>
    <t>MANGUITOS14.MANGUITOS4.MANGUITOS8.MANGUITOS9</t>
  </si>
  <si>
    <t>MI PEQUEÑA HEIDY</t>
  </si>
  <si>
    <t>LOS BEBES</t>
  </si>
  <si>
    <t>LIDERANDO MI HOGAR</t>
  </si>
  <si>
    <t>RUISENOR ENCANTADO</t>
  </si>
  <si>
    <t>COMPARTIR CON AMOR</t>
  </si>
  <si>
    <t>CRECER CON AMOR</t>
  </si>
  <si>
    <t>LAS ARDILLAS FELICES</t>
  </si>
  <si>
    <t>LAS ARDILLAS</t>
  </si>
  <si>
    <t>NUEVOS COMIENZOS</t>
  </si>
  <si>
    <t>OSITOS TIERNOS</t>
  </si>
  <si>
    <t>PAJARITOS TRAVIESOS</t>
  </si>
  <si>
    <t>CALI MIO NORTE</t>
  </si>
  <si>
    <t>DESEPAZ</t>
  </si>
  <si>
    <t>VILLA MERCEDES</t>
  </si>
  <si>
    <t>JUGUETOLANDIA</t>
  </si>
  <si>
    <t>DIMF RINCONCITO DE AMOR</t>
  </si>
  <si>
    <t>DIMF EL NIDO</t>
  </si>
  <si>
    <t>DIMF ACUARELA</t>
  </si>
  <si>
    <t>HOGAR INFANTIL LA CASA DEL NINO</t>
  </si>
  <si>
    <t>H.I NIÑO JESUS DE PRAGA</t>
  </si>
  <si>
    <t>BURBUJAS CREATIVAS</t>
  </si>
  <si>
    <t>LUZ DE VIDA</t>
  </si>
  <si>
    <t>MIS HUELLITAS</t>
  </si>
  <si>
    <t>NAVARRO</t>
  </si>
  <si>
    <t>SWEET BABYS</t>
  </si>
  <si>
    <t>DIMF AMORCITOS</t>
  </si>
  <si>
    <t>DIMF CURIOSOS</t>
  </si>
  <si>
    <t>DIMF PILOSOS</t>
  </si>
  <si>
    <t>DIMF SOÑADORES</t>
  </si>
  <si>
    <t>HOGAR INFANTIL JUGUETONES</t>
  </si>
  <si>
    <t>HOGAR INFANTIL TERNURA</t>
  </si>
  <si>
    <t>HOGAR INFANTIL VILLACOLOMBIA</t>
  </si>
  <si>
    <t>LOS CHAMITOS1</t>
  </si>
  <si>
    <t>ARDILLITAS TRAVIESAS</t>
  </si>
  <si>
    <t>MI PEQUENO MUNDO</t>
  </si>
  <si>
    <t>CZ PALMIRA</t>
  </si>
  <si>
    <t>Pradera</t>
  </si>
  <si>
    <t>FLORECITAS</t>
  </si>
  <si>
    <t>EL ALBERGUE</t>
  </si>
  <si>
    <t>LOS PEQUEÑOS AMIGUITOS</t>
  </si>
  <si>
    <t>LAS ABEJITAS</t>
  </si>
  <si>
    <t>LA POPA</t>
  </si>
  <si>
    <t>SUENOS</t>
  </si>
  <si>
    <t>PEQUEÑOS ANGELITOS 2</t>
  </si>
  <si>
    <t>CARRUSEL DOS</t>
  </si>
  <si>
    <t>CARRUSEL UNO</t>
  </si>
  <si>
    <t>LOS CAPULLITOS</t>
  </si>
  <si>
    <t>LOS TOPITOS</t>
  </si>
  <si>
    <t>HOGAR SAN RAFAEL</t>
  </si>
  <si>
    <t>SUEÑOS INFANTILES</t>
  </si>
  <si>
    <t>LOS ROSALES</t>
  </si>
  <si>
    <t>MI NENE</t>
  </si>
  <si>
    <t>GOTITAS DE AMOR</t>
  </si>
  <si>
    <t>MENTES CREATIVAS</t>
  </si>
  <si>
    <t>HUELLITAS DE AMOR</t>
  </si>
  <si>
    <t>Florida</t>
  </si>
  <si>
    <t>TRENSITO DE AMOR</t>
  </si>
  <si>
    <t>CONSTRUYENDO SUEÑOS</t>
  </si>
  <si>
    <t>AVENTURA MAGICA</t>
  </si>
  <si>
    <t>MI PRIMER AVENTURA</t>
  </si>
  <si>
    <t>ESTRELLITA DEL FUTURO</t>
  </si>
  <si>
    <t xml:space="preserve">Candelaria </t>
  </si>
  <si>
    <t>PULGARCITO</t>
  </si>
  <si>
    <t>LOS PETALITOS</t>
  </si>
  <si>
    <t>EL BUHO SOÑADOR</t>
  </si>
  <si>
    <t>GURI GURI</t>
  </si>
  <si>
    <t>ANGELITOS CAMPESTRES</t>
  </si>
  <si>
    <t>NUEVE LUNAS</t>
  </si>
  <si>
    <t>EL OTOÑITO</t>
  </si>
  <si>
    <t>MIS PRIMEROS PASOS</t>
  </si>
  <si>
    <t>PEQUEÑOS SABIOS</t>
  </si>
  <si>
    <t>LOS CARA SUCIAS</t>
  </si>
  <si>
    <t>MUÑECOS TRAVIESOS</t>
  </si>
  <si>
    <t>PANDILLA FELIZ</t>
  </si>
  <si>
    <t>JARDIN DE LAS FLORES</t>
  </si>
  <si>
    <t>GATICOS SILVESTRES</t>
  </si>
  <si>
    <t>CAJITA DE SORPRESAS</t>
  </si>
  <si>
    <t>EL OSO HORMIGUERO</t>
  </si>
  <si>
    <t>TRENCITO CAÑERO</t>
  </si>
  <si>
    <t>MI MUNDO MAGICO</t>
  </si>
  <si>
    <t>PETER PAN</t>
  </si>
  <si>
    <t>MIMOS</t>
  </si>
  <si>
    <t>GATICOS JUGUETONES</t>
  </si>
  <si>
    <t>PEQUITAS</t>
  </si>
  <si>
    <t>MI CASTILLO</t>
  </si>
  <si>
    <t>EL PAJARO CARPINTERO</t>
  </si>
  <si>
    <t>JARDIN DE MIS SUEÑOS</t>
  </si>
  <si>
    <t>MIS PRIMEROS ANITOS</t>
  </si>
  <si>
    <t>PUEBLITO ALEGRE</t>
  </si>
  <si>
    <t>MI CASITA DEL MANANA</t>
  </si>
  <si>
    <t>CAPULLITOS</t>
  </si>
  <si>
    <t>EL PALOMAR</t>
  </si>
  <si>
    <t>RICURAS</t>
  </si>
  <si>
    <t>DELFINES 1</t>
  </si>
  <si>
    <t>CORASONCITO ALEGRE</t>
  </si>
  <si>
    <t>GLOBITOS MAGICOS</t>
  </si>
  <si>
    <t>EL RINCON DE NACHITO</t>
  </si>
  <si>
    <t>NUEVO RETOÑO</t>
  </si>
  <si>
    <t>AGRUPADO CANDELITA</t>
  </si>
  <si>
    <t>ABRACITOS 2</t>
  </si>
  <si>
    <t>ABRASITOS 1</t>
  </si>
  <si>
    <t>TRES TUSAS</t>
  </si>
  <si>
    <t>CASA DE LA ALEGRIA</t>
  </si>
  <si>
    <t>GORRIONCITOS</t>
  </si>
  <si>
    <t xml:space="preserve">El Cerrito </t>
  </si>
  <si>
    <t>CDI MUNDO DE LOS NIÑOS 1</t>
  </si>
  <si>
    <t>CDI MUNDO DE LOS NIÑOS 2</t>
  </si>
  <si>
    <t>PASITOS FIRMES</t>
  </si>
  <si>
    <t>CASTILLO 1</t>
  </si>
  <si>
    <t>CASTILLO 2</t>
  </si>
  <si>
    <t>CDIT PERSONITAS</t>
  </si>
  <si>
    <t>Ginebra</t>
  </si>
  <si>
    <t>CDIT PARAISO</t>
  </si>
  <si>
    <t>RAYITOS DE SOL</t>
  </si>
  <si>
    <t>PEQUEÑOS CREADORES</t>
  </si>
  <si>
    <t>MI EDAD FELIZ GINEBRA</t>
  </si>
  <si>
    <t>LOS ENANITOS 1</t>
  </si>
  <si>
    <t>Palmira</t>
  </si>
  <si>
    <t>CAMPANITAS ALEGRES</t>
  </si>
  <si>
    <t>PICARDIAS</t>
  </si>
  <si>
    <t>LA CASA ENCANTADA</t>
  </si>
  <si>
    <t>LOS PALMIRANOS</t>
  </si>
  <si>
    <t>EL PINITO</t>
  </si>
  <si>
    <t>CANTARIN</t>
  </si>
  <si>
    <t>NIÑOS DEL MILENIO</t>
  </si>
  <si>
    <t>MI DULCE DESPERTAR</t>
  </si>
  <si>
    <t>EDAD FELIZ</t>
  </si>
  <si>
    <t>EL MUNDO DE HEIDY</t>
  </si>
  <si>
    <t>OVEJITAS</t>
  </si>
  <si>
    <t>ANGELITA</t>
  </si>
  <si>
    <t>LOS PINOS</t>
  </si>
  <si>
    <t>MUNDO ALEGRE</t>
  </si>
  <si>
    <t>MI TERNURA</t>
  </si>
  <si>
    <t>MIS PRIMERAS CANCIONES</t>
  </si>
  <si>
    <t>SALTARINES</t>
  </si>
  <si>
    <t>EL JARDIN DE LOS SUEÑOS</t>
  </si>
  <si>
    <t>ABEJITA MAYA</t>
  </si>
  <si>
    <t>NIÑOS DEL TERCER MILENIO</t>
  </si>
  <si>
    <t>DULZURAS</t>
  </si>
  <si>
    <t>MI TIERNA INFANCIA</t>
  </si>
  <si>
    <t>LOS MANGOS</t>
  </si>
  <si>
    <t>MI BELLA AURORA</t>
  </si>
  <si>
    <t>CONSENTIDOS</t>
  </si>
  <si>
    <t>LAS PALMERAS</t>
  </si>
  <si>
    <t>MULTIPLE OBANDO</t>
  </si>
  <si>
    <t>NIÑO JESUS</t>
  </si>
  <si>
    <t>MIS BUHITOS</t>
  </si>
  <si>
    <t>CAPRICHITOS</t>
  </si>
  <si>
    <t>GASPARIN</t>
  </si>
  <si>
    <t>LUCERITO</t>
  </si>
  <si>
    <t>AGRUPADO MANUEL ESCOBAR</t>
  </si>
  <si>
    <t>MELOSOS</t>
  </si>
  <si>
    <t>LA CIGUEÑA ENCANTADA</t>
  </si>
  <si>
    <t>DULCES BEBES</t>
  </si>
  <si>
    <t>MUNDO DE ILUSIONES</t>
  </si>
  <si>
    <t>HOGAR INFANTIL ALFREDO POSADA CORREA</t>
  </si>
  <si>
    <t>EL MUNDO DE LOS NIÑOS</t>
  </si>
  <si>
    <t>TASITA DE CHOCOLATE</t>
  </si>
  <si>
    <t>DANIELA</t>
  </si>
  <si>
    <t>EL REY LEON</t>
  </si>
  <si>
    <t>SORPRESITAS</t>
  </si>
  <si>
    <t>COPITO DE NIEVE</t>
  </si>
  <si>
    <t>EL MUNDO DE LOS NINOS</t>
  </si>
  <si>
    <t>EL JORDANCITO</t>
  </si>
  <si>
    <t>DIMF GRANDES EMPRENDEDORES</t>
  </si>
  <si>
    <t>DIMF EXPLORADORES</t>
  </si>
  <si>
    <t>DIMF LAS ESTRELLAS II</t>
  </si>
  <si>
    <t>DIMF CARNAVAL DE LA ALEGRIA</t>
  </si>
  <si>
    <t>DIMF RAYITO DE SOL II</t>
  </si>
  <si>
    <t>DIMF LAS ESTRELLAS</t>
  </si>
  <si>
    <t>DIMF RAYITO DE SOL I</t>
  </si>
  <si>
    <t>DIMF VILLAGORGONA I</t>
  </si>
  <si>
    <t>DIMF LAS ESTRELLAS III</t>
  </si>
  <si>
    <t>DIMF CABUYAL</t>
  </si>
  <si>
    <t>DIMF CAUCASECO</t>
  </si>
  <si>
    <t>DIMF NOTAS DEL SOL II</t>
  </si>
  <si>
    <t>DIMF PEQUEÑOS GIGANTES II</t>
  </si>
  <si>
    <t>DIMF PEQUEÑOS GIGANTES I</t>
  </si>
  <si>
    <t>DIMF NOTAS DEL SOL I</t>
  </si>
  <si>
    <t>DIMF CARRUSEL II</t>
  </si>
  <si>
    <t>DIMF MI CASITA ENCANTADA</t>
  </si>
  <si>
    <t>DIMF CARRUSEL I</t>
  </si>
  <si>
    <t>DIMF GRANDES EMPRENDEDORES I</t>
  </si>
  <si>
    <t>RONDA DE NIÑOS</t>
  </si>
  <si>
    <t>CDI FAMILIAR MAYAGUEZ 1</t>
  </si>
  <si>
    <t>LA GRANJA</t>
  </si>
  <si>
    <t>CDI MAYAGUEZ 3</t>
  </si>
  <si>
    <t>LA GRANJA 2</t>
  </si>
  <si>
    <t>CARRUSEL 2</t>
  </si>
  <si>
    <t>EXPLORADORES</t>
  </si>
  <si>
    <t>HUELLAS</t>
  </si>
  <si>
    <t>SENDERO DE LOS ANGELES</t>
  </si>
  <si>
    <t>AYUDANDO ACRECER</t>
  </si>
  <si>
    <t>PEQUEÑOS SABIOS 3</t>
  </si>
  <si>
    <t>TIENDA NUEVA</t>
  </si>
  <si>
    <t>CARRUSEL DEL AMOR</t>
  </si>
  <si>
    <t>SEMBRANDO SEMILLAS PARA UN FUTURO</t>
  </si>
  <si>
    <t>DEJANDO HUELLAS</t>
  </si>
  <si>
    <t>TESOROS DE MI CORAZON</t>
  </si>
  <si>
    <t>CONSTRUYENDO MI MUNDO</t>
  </si>
  <si>
    <t>MIS PEQUEÑAS HUELLAS</t>
  </si>
  <si>
    <t>CASITA DE LUZ</t>
  </si>
  <si>
    <t>EXPLORADORES DEL FUTURO</t>
  </si>
  <si>
    <t>MIS PEQUEÑAS AVENTURAS</t>
  </si>
  <si>
    <t>CASITA DE ILUSIONES 1</t>
  </si>
  <si>
    <t>SEMILLAS DE AMOR 1</t>
  </si>
  <si>
    <t>CARITA DE ANGEL</t>
  </si>
  <si>
    <t>AMOR Y TERNURA</t>
  </si>
  <si>
    <t>SEMILLAS DE AMOR 2 PALMASECA</t>
  </si>
  <si>
    <t>PEQUEÑOS EXPLORADORES</t>
  </si>
  <si>
    <t>PATI PATICOS</t>
  </si>
  <si>
    <t>SANTA ELENA 1</t>
  </si>
  <si>
    <t>NIÑOS DEL FUTURO</t>
  </si>
  <si>
    <t>ALEGRE DESPERTAR</t>
  </si>
  <si>
    <t>ALADINO</t>
  </si>
  <si>
    <t>PEQUEÑOS BULLICIOSOS</t>
  </si>
  <si>
    <t>MANITAS MAGICAS</t>
  </si>
  <si>
    <t>TRAVESURAS II</t>
  </si>
  <si>
    <t>MAMÁS FELICES</t>
  </si>
  <si>
    <t>HOGAR INFANTIL LOS LOBITOS</t>
  </si>
  <si>
    <t>CDI PROVIDENCIA</t>
  </si>
  <si>
    <t>RINCONSITO MAGICO</t>
  </si>
  <si>
    <t>CDI MIS PRIMERAS HUELLAS</t>
  </si>
  <si>
    <t>CDIT RINCON DE AZUCAR</t>
  </si>
  <si>
    <t>CDI HERMES TENORIO MAQUILÓN</t>
  </si>
  <si>
    <t>CDIT JARDIN LA ALEGRIA</t>
  </si>
  <si>
    <t>LA PIÑA</t>
  </si>
  <si>
    <t>CDI SEMILLA DE ESPERANZA</t>
  </si>
  <si>
    <t>CDI SEMILLITAS DEL FUTURO</t>
  </si>
  <si>
    <t>H.I LAS ABEJITAS</t>
  </si>
  <si>
    <t>UCA CHOCOSITO 1</t>
  </si>
  <si>
    <t>UCA CHOCOSITO 2</t>
  </si>
  <si>
    <t>UCA SAN ATONIO 1</t>
  </si>
  <si>
    <t>UCA SAN ATONIO 2</t>
  </si>
  <si>
    <t>UCA SAN ANTONIO 3</t>
  </si>
  <si>
    <t>UCA EL REMOLINO</t>
  </si>
  <si>
    <t>SEMILLITAS DE AMOR Y CONVIVENCIA</t>
  </si>
  <si>
    <t>H.I BLANCA NIEVES</t>
  </si>
  <si>
    <t>Organismo Religioso</t>
  </si>
  <si>
    <t>HOGAR INFANTIL PASITOS DE GIGANTE</t>
  </si>
  <si>
    <t>HOGAR INFANTIL CARRUSEL DE AVENTURAS</t>
  </si>
  <si>
    <t>HOGAR INFANTIL EL ALBERGUE</t>
  </si>
  <si>
    <t>H.I EL PRINCIPITO</t>
  </si>
  <si>
    <t>HOGAR INFANTIL HAROLD EDER</t>
  </si>
  <si>
    <t>HOGAR INFANTIL LOS TRAVIESOS</t>
  </si>
  <si>
    <t>HOGAR INFANTIL MI PEQUEÑO MUNDO</t>
  </si>
  <si>
    <t>HOGAR INFANTIL PINOCHITO</t>
  </si>
  <si>
    <t>H.I SAN PEDRO</t>
  </si>
  <si>
    <t>CDIT NUESTRA SENORA DE LA CANDELARIA</t>
  </si>
  <si>
    <t>SERVICIO ESPECIAL PARA LA PRIMERA INFANCIA - INSTITUCIONAL</t>
  </si>
  <si>
    <t>ATE LUUCXWESX</t>
  </si>
  <si>
    <t>UMA KIWE LUUCXKWESX</t>
  </si>
  <si>
    <t>NASA LUUCXKWE WÉSX</t>
  </si>
  <si>
    <t>KIWE FXINZE LUUCXKWE WÉSX</t>
  </si>
  <si>
    <t>MISXKWE WÉSX</t>
  </si>
  <si>
    <t>YU LUUCXKWE WÉSX</t>
  </si>
  <si>
    <t>KWECX FXIWA S MAWE YI JA</t>
  </si>
  <si>
    <t>UKAKWE BASTONCITOS</t>
  </si>
  <si>
    <t>EENA EL DIA</t>
  </si>
  <si>
    <t>ATEKWE LUNITA</t>
  </si>
  <si>
    <t>VIC SEK _ EL FILO DEL SOL</t>
  </si>
  <si>
    <t>YUKWE AGUITA</t>
  </si>
  <si>
    <t>ADXI CAMINO DE LA ESTRELLA</t>
  </si>
  <si>
    <t>SEK KASEK SALIDA DEL SOL</t>
  </si>
  <si>
    <t>CDI INSTITUCIONAL MAYAGUEZ</t>
  </si>
  <si>
    <t>CZ TULUA</t>
  </si>
  <si>
    <t>CDI CARIÑOSITOS</t>
  </si>
  <si>
    <t>Tulua</t>
  </si>
  <si>
    <t>CDI SEMILLITAS CON AMOR</t>
  </si>
  <si>
    <t>CDI CONSTRUCTORES DE SUEÑOS</t>
  </si>
  <si>
    <t>CDI - INSTITUCIONAL CON ARRIENDO</t>
  </si>
  <si>
    <t>ESPIGUITAS DEL FUTURO 1</t>
  </si>
  <si>
    <t>Andalucia</t>
  </si>
  <si>
    <t>ESPIGUITAS DEL FUTURO 2</t>
  </si>
  <si>
    <t>EL TAMBORILERO</t>
  </si>
  <si>
    <t>GLOBITO DE COLORES</t>
  </si>
  <si>
    <t xml:space="preserve">Bugalagrande </t>
  </si>
  <si>
    <t>EL TRENCITO</t>
  </si>
  <si>
    <t>LOS SOLECITOS</t>
  </si>
  <si>
    <t>CACIQUE TAUTA</t>
  </si>
  <si>
    <t>Riofrio</t>
  </si>
  <si>
    <t>MI PEQUEÑA ALDEA</t>
  </si>
  <si>
    <t xml:space="preserve">Trujillo </t>
  </si>
  <si>
    <t>PEQUEÑOS CARIÑOSITOS</t>
  </si>
  <si>
    <t>SUEÑOS Y RISAS</t>
  </si>
  <si>
    <t>PEQUEÑINES 1</t>
  </si>
  <si>
    <t>PEQUEÑINES 3</t>
  </si>
  <si>
    <t>NELSONJ MANDELA 4</t>
  </si>
  <si>
    <t>NELSON MANDELA 3</t>
  </si>
  <si>
    <t>SOÑADORES 1</t>
  </si>
  <si>
    <t>ADORABLES CHIQUITINES</t>
  </si>
  <si>
    <t>LOS EXPLORADORES</t>
  </si>
  <si>
    <t>SEMILLITAS DEL FUTURO</t>
  </si>
  <si>
    <t>MIS PEQUEÑOS SOÑADORES</t>
  </si>
  <si>
    <t>MI MUNDO DE COLORES</t>
  </si>
  <si>
    <t>CARRUSEL DE SUEÑOS</t>
  </si>
  <si>
    <t>AVENTUREROS GALICIA</t>
  </si>
  <si>
    <t>MANITOS DE AMOR</t>
  </si>
  <si>
    <t>ARCO IRIS LA URIBE</t>
  </si>
  <si>
    <t>AVENTUREROS CEILAN</t>
  </si>
  <si>
    <t>SEMILLAS DE AMOR EL OVERO</t>
  </si>
  <si>
    <t>APRENDO JUGANDO</t>
  </si>
  <si>
    <t>SEMILLAS DE AMOR SAN ISIDRO</t>
  </si>
  <si>
    <t>ARCO IRIS CHORRERAS</t>
  </si>
  <si>
    <t>TOMAS URIBE URIBE</t>
  </si>
  <si>
    <t>Préstamo Privado sin Arriendo</t>
  </si>
  <si>
    <t>HOGAR INFANTIL ADORABLES CHIQUITINES</t>
  </si>
  <si>
    <t>JUGUETELANDIA</t>
  </si>
  <si>
    <t>MIS BEBES</t>
  </si>
  <si>
    <t>OSITOS ENCANTADOS</t>
  </si>
  <si>
    <t>SOMOS FELICES</t>
  </si>
  <si>
    <t>SABIOS DEL MAÑANA</t>
  </si>
  <si>
    <t>SOL RADIANTE</t>
  </si>
  <si>
    <t>WINNIE THE POOH</t>
  </si>
  <si>
    <t>MI LINDO JARDIN</t>
  </si>
  <si>
    <t>CDI GOTICAS DE AMOR</t>
  </si>
  <si>
    <t>HUELLITAS DE AMOR 1</t>
  </si>
  <si>
    <t>PEQUEÑOS TRIUNFADORES</t>
  </si>
  <si>
    <t>ARCOIRIS DE AMOR</t>
  </si>
  <si>
    <t>BAMBY</t>
  </si>
  <si>
    <t>CDI MIS PRIMERAS AVENTURAS</t>
  </si>
  <si>
    <t>H.I TRAVESURAS</t>
  </si>
  <si>
    <t>H.I LA VILLA DEL BEBE</t>
  </si>
  <si>
    <t>Comodato</t>
  </si>
  <si>
    <t>SEMILLITAS DEL MAÑANA LA CRUZ</t>
  </si>
  <si>
    <t>CARRUSEL DE COLORES</t>
  </si>
  <si>
    <t>LOS NIÑOS DEL FUTURO NARANJAL</t>
  </si>
  <si>
    <t>MUNDO DE COLORES NARIÑO</t>
  </si>
  <si>
    <t>PIONEROS</t>
  </si>
  <si>
    <t>ARCOIRIS TRES ESQUINAS</t>
  </si>
  <si>
    <t>LOS SOÑADORES</t>
  </si>
  <si>
    <t>COCOMIEL</t>
  </si>
  <si>
    <t>MIS PEQUEÑOS GIGANTES BARRAGAN</t>
  </si>
  <si>
    <t>LOS PITUFINES</t>
  </si>
  <si>
    <t>TALENTOS CARACAS</t>
  </si>
  <si>
    <t>DACHIWARRANA</t>
  </si>
  <si>
    <t>TRIUNFADORES AGUACLARA</t>
  </si>
  <si>
    <t>CREATIVOS CAMPO ALEGRE</t>
  </si>
  <si>
    <t>MUNDO DE COLORES QUEBRADAGRANDE</t>
  </si>
  <si>
    <t>LOS COLORES DE LA MONTAÑA TOCHECITO</t>
  </si>
  <si>
    <t>MIS PEQUEÑOS GIGANTES SANTA LUCIA</t>
  </si>
  <si>
    <t>CONSTRUYENDO SUEÑOS SAN RAFAEL</t>
  </si>
  <si>
    <t>CONSTRUYENDO SUEÑOS PUERTO FRAZADAS</t>
  </si>
  <si>
    <t>PRIMAVERA MONTELORO</t>
  </si>
  <si>
    <t>LOS COLORES DE LA MONTAÑA AGUACLARA</t>
  </si>
  <si>
    <t>MIS PEQUEÑOS VISITANTES</t>
  </si>
  <si>
    <t>MIS PEQUEÑOS SALTARINES</t>
  </si>
  <si>
    <t>MARAVILLAS INFANTILES</t>
  </si>
  <si>
    <t>ASOCIACION DE NEGRITUDES NELSON MANDELA</t>
  </si>
  <si>
    <t>MANITAS TIERNAS</t>
  </si>
  <si>
    <t>SANOS Y FELICES</t>
  </si>
  <si>
    <t>LAS FRESITAS</t>
  </si>
  <si>
    <t>MI HOGAR</t>
  </si>
  <si>
    <t>AQUI JUGAMOS</t>
  </si>
  <si>
    <t>MI ABUELA</t>
  </si>
  <si>
    <t>MIS GORRIONES</t>
  </si>
  <si>
    <t>SNOOPY</t>
  </si>
  <si>
    <t>CHIQUITIN</t>
  </si>
  <si>
    <t>LA PRINCESITA</t>
  </si>
  <si>
    <t>MANOS CREATIVAS</t>
  </si>
  <si>
    <t>ESPERANZAS DEL MAÑANA</t>
  </si>
  <si>
    <t>LOS PEQUEÑOS SALTARINES</t>
  </si>
  <si>
    <t>MIS PEQUEÑOS BABYS</t>
  </si>
  <si>
    <t>MIS PEQUEÑOS MAGOS</t>
  </si>
  <si>
    <t>PAÑALES HUMEDOS</t>
  </si>
  <si>
    <t>LAS GARCITAS</t>
  </si>
  <si>
    <t>CASITA MIA</t>
  </si>
  <si>
    <t>HOGAR INFANTIL LIBARDO MADRID VALDERRAMA</t>
  </si>
  <si>
    <t>HOGAR INFANTIL SONRISITAS LA MARINA</t>
  </si>
  <si>
    <t>MIS ANGELITOS</t>
  </si>
  <si>
    <t>MI CASITA TRAVIESA</t>
  </si>
  <si>
    <t>EL RINCÓN DE MIS TRAVESURAS</t>
  </si>
  <si>
    <t>PEQUEÑOS ANGELITOS</t>
  </si>
  <si>
    <t>HOGAR LA ALEGRIA</t>
  </si>
  <si>
    <t>MIS PATICOS</t>
  </si>
  <si>
    <t>NIÑOS DEL MAÑANA</t>
  </si>
  <si>
    <t>FRESITAS</t>
  </si>
  <si>
    <t>ARCO IRIS DE COLORES</t>
  </si>
  <si>
    <t>MUNDO MARAVILLOSO</t>
  </si>
  <si>
    <t>ADORABLES ANGELITOS</t>
  </si>
  <si>
    <t>PEQUEÑOS AMIGOS</t>
  </si>
  <si>
    <t>MIS PEQUEÑOS TRIBILINES</t>
  </si>
  <si>
    <t>PILATUNAS</t>
  </si>
  <si>
    <t>AQUI APRENDEMOS</t>
  </si>
  <si>
    <t>LOS TREMENDOS</t>
  </si>
  <si>
    <t>LOS MENSAJERITOS</t>
  </si>
  <si>
    <t>MIS CIELITOS</t>
  </si>
  <si>
    <t>ANGELITOS</t>
  </si>
  <si>
    <t>MIS LINDOS ANGELITOS</t>
  </si>
  <si>
    <t>LOS NIÑOS DEL MAÑANA</t>
  </si>
  <si>
    <t>PILATUNAS GR</t>
  </si>
  <si>
    <t>UNA CUNA PA MIS NEGROS</t>
  </si>
  <si>
    <t>DAI NEU</t>
  </si>
  <si>
    <t>DAI WARRARA</t>
  </si>
  <si>
    <t>DACHI_WARRARA</t>
  </si>
  <si>
    <t>CZ ROLDANILLO</t>
  </si>
  <si>
    <t xml:space="preserve">Roldanillo </t>
  </si>
  <si>
    <t>AÚN NO CUENTA CON VISITA DE INFORME TÉCNICO DE GESTIÓN RIESGOS</t>
  </si>
  <si>
    <t>LA PANDILLA FELIZ</t>
  </si>
  <si>
    <t>MANANTIAL</t>
  </si>
  <si>
    <t>GORRONCITOS</t>
  </si>
  <si>
    <t>LOS NIÑOS DEL BOSQUE</t>
  </si>
  <si>
    <t>LOS PATOJITOS</t>
  </si>
  <si>
    <t>SOL SOLECITO</t>
  </si>
  <si>
    <t>NIÑOS FELICES</t>
  </si>
  <si>
    <t>ESPIGUITAS DEL FUTURO</t>
  </si>
  <si>
    <t xml:space="preserve">Zarzal </t>
  </si>
  <si>
    <t>HCB EL JARDIN</t>
  </si>
  <si>
    <t>Versalles</t>
  </si>
  <si>
    <t>FAMI LA CASITA DE CHOCOLATE</t>
  </si>
  <si>
    <t>HCB LOS PICAPIEDRAS</t>
  </si>
  <si>
    <t>SE EFECTUÓ LA VISITA EL 15 DE AGOSTO DEL 2026 POR PARTE DEL ENTE TERRITORIAL, DILIGENCIANDO EL REGISTRO UNIFAMILIAR DE EMERGENCIAS.</t>
  </si>
  <si>
    <t>PEQUEÑOS CAMINANTES</t>
  </si>
  <si>
    <t>PERSONITAS 2</t>
  </si>
  <si>
    <t>SE EFECTUÓ LA VISITA EL 14 DE AGOSTO DEL 2026 POR PARTE DEL ENTE TERRITORIAL, DILIGENCIANDO EL REGISTRO UNIFAMILIAR DE EMERGENCIAS.</t>
  </si>
  <si>
    <t>SABIDURIA POR PARTE DEL CREADOR</t>
  </si>
  <si>
    <t>ARDILLITAS RISUEÑAS</t>
  </si>
  <si>
    <t>PEQUEÑA MARAVILLA</t>
  </si>
  <si>
    <t>BELLO DESPERTAR</t>
  </si>
  <si>
    <t>EL PINGUINO</t>
  </si>
  <si>
    <t>HCB LOS OSITOS</t>
  </si>
  <si>
    <t xml:space="preserve">El Dovio </t>
  </si>
  <si>
    <t>LA UNIDAD DE GESTION DE RIESGO REALIZO LA VISITA PERO AUN NO SE CUENETA CON EL RESEPCTIVO DOCUMENTO</t>
  </si>
  <si>
    <t>HCB LOS BULLICIOSOS</t>
  </si>
  <si>
    <t>AUN NO SE CUENTA CON LA VISITA DE L AUNIDAD DE GESTION DE RIESGO, TENTATIVAMENTE LA REALIZAN EL DIA 25/08/2026</t>
  </si>
  <si>
    <t>HCB LOS PINGUINOS</t>
  </si>
  <si>
    <t>HCB LOS TRAVIESOS</t>
  </si>
  <si>
    <t>HCB PICACHU</t>
  </si>
  <si>
    <t>HCB TRAVESURAS</t>
  </si>
  <si>
    <t>FAMI EL BEBE</t>
  </si>
  <si>
    <t>FAMI HOGAR FELIZ</t>
  </si>
  <si>
    <t>FAMI LA CIGUEÑA</t>
  </si>
  <si>
    <t>FAMI MI PEQUEÑO MUNDO</t>
  </si>
  <si>
    <t>FAMI PICARDIAS</t>
  </si>
  <si>
    <t>H.I PICARDIAS</t>
  </si>
  <si>
    <t xml:space="preserve">Toro </t>
  </si>
  <si>
    <t>CON REVISION TECNICA POR PARTE DEL ENTE TERRITORIAL, DE ACUERDO CON LA INFORMACIÓN SUMINISTRADA POR EL INGENIERO CIVIL QUE EFECTUÓ LA INSPECCIÓN, DEJA ACTA DE CARÁCTER TEMPORAL Y DEJAN CONSTANCIA DE LA VISITA REALIZADA. NO OBSTANTE, EN ELLA NO SE EMITE UN CONCEPTO TÉCNICO RESPECTO A LA VIABILIDAD DE CONTINUAR CON LA PRESTACIÓN DEL SERVICIO EN LAS UNIDADES DE ATENCIÓN INSPECCIONADAS. CONCEPTOS EN GESTION</t>
  </si>
  <si>
    <t>TORO URBANO</t>
  </si>
  <si>
    <t>CON REVISION TECNICA POR PARTE DEL ENTE TERRITORIAL, DE ACUERDO CON LA INFORMACIÓN SUMINISTRADA POR EL INGENIERO CIVIL QUE EFECTUÓ LA INSPECCIÓN, DEJA ACTA DE CARÁCTER TEMPORAL Y DEJAN CONSTANCIA DE LA VISITA REALIZADA. NO OBSTANTE, EN ELLA NO SE EMITE UN CONCEPTO TÉCNICO RESPECTO A LA VIABILIDAD DE CONTINUAR CON LA PRESTACIÓN DEL SERVICIO EN LAS UNIDADES DE ATENCIÓN INSPECCIONADAS.</t>
  </si>
  <si>
    <t>TORO</t>
  </si>
  <si>
    <t>TORO BOLIVAR</t>
  </si>
  <si>
    <t>SIN REVISION</t>
  </si>
  <si>
    <t>NUESTRA SEÑORA DE FATIMA</t>
  </si>
  <si>
    <t>DE ACUERDO CON LO CONSIGNADO EN EL ACTA DE INSPECCION, EL ESPACIO DESTINADO A LA PRESTACIÓN DEL SERVICIO DE EIH SE ENCUENTRA EN CONDICIONES PARA CONTINUAR CON LA ATENCIÓN</t>
  </si>
  <si>
    <t>H.I SANTA CECILIA</t>
  </si>
  <si>
    <t>ZARZAL URBANO</t>
  </si>
  <si>
    <t>VALLEJUELO</t>
  </si>
  <si>
    <t>LIMONES</t>
  </si>
  <si>
    <t>QUEBRADA NUEVA</t>
  </si>
  <si>
    <t>ZARZAL GOTICAS</t>
  </si>
  <si>
    <t>LA PAILA</t>
  </si>
  <si>
    <t>CDI SUEÑOS Y FANTASIAS</t>
  </si>
  <si>
    <t>NO CUENTA CON VISITA TECNICA</t>
  </si>
  <si>
    <t>LA DORADA</t>
  </si>
  <si>
    <t>LA PRADERA</t>
  </si>
  <si>
    <t>BITACO</t>
  </si>
  <si>
    <t>CDI LOS PATITOS TRAVIESOS</t>
  </si>
  <si>
    <t>Bolivar</t>
  </si>
  <si>
    <t>No cuenta con visita tecnica</t>
  </si>
  <si>
    <t>SEDE SANTA ANA</t>
  </si>
  <si>
    <t>CUENTA CON VISITA TECNICA PERO SIN CERTIFICADO ENTREGADO</t>
  </si>
  <si>
    <t>DEPENDENCIA DEL SALON COMUNAL</t>
  </si>
  <si>
    <t>BIBLIOTECA PUBLICA</t>
  </si>
  <si>
    <t>ISABELA CATOLICA</t>
  </si>
  <si>
    <t>RICAURTE</t>
  </si>
  <si>
    <t>JOSE ACEVEDO GOMEZ</t>
  </si>
  <si>
    <t>CUENTA CON VISITA TECNICA, PERO SIN CERTIFICADO ENTREGADO</t>
  </si>
  <si>
    <t>ROSA ZARATE DE PEÑA</t>
  </si>
  <si>
    <t>PICAPIEDRAS</t>
  </si>
  <si>
    <t>SIMON BOLIVAR</t>
  </si>
  <si>
    <t>EL PRINCIPITO</t>
  </si>
  <si>
    <t xml:space="preserve">La Union </t>
  </si>
  <si>
    <t>No cuenta con informe tecnico de Gestion del Riesgo o ente Territorial. no le han realizado visita</t>
  </si>
  <si>
    <t>ESTRELLITAS TRAVIESAS</t>
  </si>
  <si>
    <t>LOS GRILLITOS</t>
  </si>
  <si>
    <t>LOS PEQUEÑOS MAGOS</t>
  </si>
  <si>
    <t>Se dio visita tecnica por parte de la administración municipal, no obstante no cuenta con informe tecnico de Gestion del Riesgo.</t>
  </si>
  <si>
    <t>TRAVIESOS 2</t>
  </si>
  <si>
    <t>ALEGRIA DE LOS NIÑOS</t>
  </si>
  <si>
    <t>CHIQUILLOS TRAVIESOS</t>
  </si>
  <si>
    <t>Cuenta con visita de ingeniero de la Gobernación, sin embargo No cuenta con informe tecnico de Gestion del Riesgo o ente Territorial.</t>
  </si>
  <si>
    <t>LA RONDA DE LOS ENANOS</t>
  </si>
  <si>
    <t>LAS FLORECITAS</t>
  </si>
  <si>
    <t>MI PARAISO</t>
  </si>
  <si>
    <t>PITUFINES 1</t>
  </si>
  <si>
    <t>LAS LOMITAS</t>
  </si>
  <si>
    <t>HUELLITAS</t>
  </si>
  <si>
    <t>CARIÑOSITOS</t>
  </si>
  <si>
    <t>PEKITAS</t>
  </si>
  <si>
    <t>LA CEIBITA</t>
  </si>
  <si>
    <t>PITUFINES</t>
  </si>
  <si>
    <t>HCB TRAVIESOS</t>
  </si>
  <si>
    <t>YA FUERON VISITADAS PERO NO HAN ENTRGADO EL INFORME FISICO</t>
  </si>
  <si>
    <t>HCB ALEGRIA INFANTIL</t>
  </si>
  <si>
    <t>HCB MIS PEQUEÑOS ANGELITOS</t>
  </si>
  <si>
    <t>HCB PEQUEÑOS GIGANTES</t>
  </si>
  <si>
    <t>HCB PULGARCITO</t>
  </si>
  <si>
    <t>HCB SANTA TERESITA</t>
  </si>
  <si>
    <t>HCB VILLA CONCHITA NO. 2</t>
  </si>
  <si>
    <t>HCB LA MARGARITA</t>
  </si>
  <si>
    <t>HCB LA MARTICA</t>
  </si>
  <si>
    <t>HCB LOS AMIGUITOS</t>
  </si>
  <si>
    <t>HCB MIS FLORECITAS</t>
  </si>
  <si>
    <t>HCB VILLA DEL BEBE</t>
  </si>
  <si>
    <t>HCB PIOLIN</t>
  </si>
  <si>
    <t>FAMI ALEGRIA INFANTIL</t>
  </si>
  <si>
    <t>FAMI LOS ANGELITOS</t>
  </si>
  <si>
    <t>FAMI SOL SOLECITO</t>
  </si>
  <si>
    <t>HCB LOS MUCHACHITOS</t>
  </si>
  <si>
    <t>HCB LOS PITUFOS</t>
  </si>
  <si>
    <t>HCB LUCESITAS</t>
  </si>
  <si>
    <t>FAMI LOS MELOSITOS</t>
  </si>
  <si>
    <t>CUENTA CON CERTIFICADO DE GESTION DEL RIESGO</t>
  </si>
  <si>
    <t>CARITAS INFANTILES</t>
  </si>
  <si>
    <t>CAPULLITOS DE ALELI</t>
  </si>
  <si>
    <t>SEMILLITAS DEL SABEER</t>
  </si>
  <si>
    <t>PATITOS TRAVIESOS</t>
  </si>
  <si>
    <t>LOS OSITOS MELOSOS</t>
  </si>
  <si>
    <t>LOS PICARITOS</t>
  </si>
  <si>
    <t>LOS MINICHICOS</t>
  </si>
  <si>
    <t>PEQUEÑOS NENITOS</t>
  </si>
  <si>
    <t>ROSITA PERFUMADA</t>
  </si>
  <si>
    <t>MELOSITOS</t>
  </si>
  <si>
    <t>LA CASA DE LOS NIÑOS</t>
  </si>
  <si>
    <t>AUGUST PEQUEÑIN</t>
  </si>
  <si>
    <t>LOS CHIQUITINEZ</t>
  </si>
  <si>
    <t>ALEGRIA DE VIVIR</t>
  </si>
  <si>
    <t>EL CLUB DE LOS BULLICIOSOS</t>
  </si>
  <si>
    <t>PICARDIAS I</t>
  </si>
  <si>
    <t>GENIECITOS FELICES</t>
  </si>
  <si>
    <t>SOLSOLECITO</t>
  </si>
  <si>
    <t>WMADAMIA</t>
  </si>
  <si>
    <t>NO CUENTA CON CERTIFICADO DE GESTION DE RIESGO</t>
  </si>
  <si>
    <t>SIAKORO</t>
  </si>
  <si>
    <t>DOJURU</t>
  </si>
  <si>
    <t>BAKOA</t>
  </si>
  <si>
    <t>IUMA</t>
  </si>
  <si>
    <t>ARRUMIA</t>
  </si>
  <si>
    <t>KESA KUITA CHOCAEDEBENA TAA UBA</t>
  </si>
  <si>
    <t>KESA KUITA CHOCAEDEBENA TAA UME</t>
  </si>
  <si>
    <t>ASENTAMIENTO JAIKERA WERA</t>
  </si>
  <si>
    <t>TAMBO JAJAUKE</t>
  </si>
  <si>
    <t>H.I SAN SEBASTIAN</t>
  </si>
  <si>
    <t>visita tecnica de la nacional y regional ICBF</t>
  </si>
  <si>
    <t>CDI PASITOS MAGICOS</t>
  </si>
  <si>
    <t>LA UNION URBANO</t>
  </si>
  <si>
    <t>SE RECIBE VISITA DE INSPECCION TECNICA DEL ENTE TERRITORIAL, NO SE CUENTA AUN CON ACTA, LOS TECNICOS MANIFIESTAN CONCEPTO FAVORABLE</t>
  </si>
  <si>
    <t>HOGAR INFANTIL ALEGRIA INFANTIL</t>
  </si>
  <si>
    <t>solo encuesta de gestión de riesgo alcadia y visita de la nacional y regional de ICBF.</t>
  </si>
  <si>
    <t>HOGAR INFANTIL EL JARDIN</t>
  </si>
  <si>
    <t>Si contamos con el informe de Gestión del Riesgo Municipal.</t>
  </si>
  <si>
    <t>HOGAR INFANTIL MI PEQUEÑO TALLER</t>
  </si>
  <si>
    <t>No. si tuvimos una visita por parte de la entidad territorial, pero no nos emitieron informe.</t>
  </si>
  <si>
    <t>CDI UN MUNDO MAGICO Y DE COLOR</t>
  </si>
  <si>
    <t>ROLDANILLO URBANO</t>
  </si>
  <si>
    <t>JOSE MARIA ERAZO EL PALMAR</t>
  </si>
  <si>
    <t>SANTA RITA</t>
  </si>
  <si>
    <t>EL RETIRO</t>
  </si>
  <si>
    <t>HIGUERON</t>
  </si>
  <si>
    <t>HUELLITAS DE AMOR EL PIE</t>
  </si>
  <si>
    <t>REMOLINO</t>
  </si>
  <si>
    <t>CASCARILLO</t>
  </si>
  <si>
    <t>SAN ISIDRO</t>
  </si>
  <si>
    <t>MARCO FIDEL SUAREZ TIERRA BLANCA</t>
  </si>
  <si>
    <t>LA FLORESTA</t>
  </si>
  <si>
    <t>DAI MISTA</t>
  </si>
  <si>
    <t>NO SE CUENTA CO N CERTIFICADO DE VISITA</t>
  </si>
  <si>
    <t>DAI JURA</t>
  </si>
  <si>
    <t>DAI KIMI</t>
  </si>
  <si>
    <t>DAI SIAKORO</t>
  </si>
  <si>
    <t>DAI KAPUR</t>
  </si>
  <si>
    <t>DAI CHIDRU</t>
  </si>
  <si>
    <t>DAI DOKUNA FONO</t>
  </si>
  <si>
    <t>DAI KUBARRE</t>
  </si>
  <si>
    <t>CZ SEVILLA</t>
  </si>
  <si>
    <t>LOS PICAPIEDRA DE CAICEDONIA</t>
  </si>
  <si>
    <t xml:space="preserve">Caicedonia </t>
  </si>
  <si>
    <t>MIS PEQUEÑOS REVOLTOSOS</t>
  </si>
  <si>
    <t>EL OASIS DE LOS NIÑOS</t>
  </si>
  <si>
    <t>ADORABLES BEIBYS</t>
  </si>
  <si>
    <t>LOS ALEGRES PINOCHITOS</t>
  </si>
  <si>
    <t>MIS SEGUNDO HOGAR</t>
  </si>
  <si>
    <t>EL PAYASO PLIM PLIM</t>
  </si>
  <si>
    <t>MI CASITA DE AZUCAR</t>
  </si>
  <si>
    <t>ADORABLES GNOMOS</t>
  </si>
  <si>
    <t>OSO MELOSO</t>
  </si>
  <si>
    <t>LOS SALTAMONTES</t>
  </si>
  <si>
    <t>ADORABLES BAMBINOS</t>
  </si>
  <si>
    <t>LOS YIYOS</t>
  </si>
  <si>
    <t>LOS GEMELOS</t>
  </si>
  <si>
    <t>FAMILIA UNIDA</t>
  </si>
  <si>
    <t>PINTO Y APRENDO</t>
  </si>
  <si>
    <t>LULU</t>
  </si>
  <si>
    <t>AMOROSITOS</t>
  </si>
  <si>
    <t>PONY</t>
  </si>
  <si>
    <t>MIS PEQUEÑAS ORQUIDEAS</t>
  </si>
  <si>
    <t>NUEVA GENERACION</t>
  </si>
  <si>
    <t>EL RINCON DE TERNURA</t>
  </si>
  <si>
    <t>CONDORITO</t>
  </si>
  <si>
    <t>BUENOS AMIGUITOS</t>
  </si>
  <si>
    <t>LAS GORDITAS</t>
  </si>
  <si>
    <t>YORDANO</t>
  </si>
  <si>
    <t>PEQUEÑAS SEMILLAS</t>
  </si>
  <si>
    <t>CAMINO A LA VIDA</t>
  </si>
  <si>
    <t>DONALD</t>
  </si>
  <si>
    <t>EL CARACOLITO</t>
  </si>
  <si>
    <t>CASITA HECHIZADA</t>
  </si>
  <si>
    <t>LOS PICARINES DE MI BARRIO</t>
  </si>
  <si>
    <t>MADRES FELICES</t>
  </si>
  <si>
    <t>LA FELICIDAD</t>
  </si>
  <si>
    <t>HUELLITAS INFANTILES</t>
  </si>
  <si>
    <t>AMOR Y SONRRISAS</t>
  </si>
  <si>
    <t>AMOROSITOS 3</t>
  </si>
  <si>
    <t>CASITA DE JUEGO</t>
  </si>
  <si>
    <t>AMOR Y SONRISAS 1</t>
  </si>
  <si>
    <t>AMOROSITOS 1</t>
  </si>
  <si>
    <t>AMOROSITOS 2</t>
  </si>
  <si>
    <t>CASITA DE JUEGO 1</t>
  </si>
  <si>
    <t>CASITA MAGICA 1</t>
  </si>
  <si>
    <t>CASITA MAGICA 2</t>
  </si>
  <si>
    <t>HUELLITAS INFANTILES 2</t>
  </si>
  <si>
    <t>RINCON MAGICO 1</t>
  </si>
  <si>
    <t>RINCON MAGICO 3</t>
  </si>
  <si>
    <t>CONEJITOS SALTARINES ESTACION</t>
  </si>
  <si>
    <t>UN MUNDO DE AVENTURAS PALOMINO</t>
  </si>
  <si>
    <t>EL DESPERTAR DE LOS CHIQUILLOS</t>
  </si>
  <si>
    <t>MI MUNDO MAGICO SAN ANTONIO</t>
  </si>
  <si>
    <t>MI CASTILLO DE COLORES CUCHILLA</t>
  </si>
  <si>
    <t>RISAS Y ALEGRIAS</t>
  </si>
  <si>
    <t>HORMIGAS VIAJERAS LAS BRISAS</t>
  </si>
  <si>
    <t>HORMIGAS VIAJERAS COLORADAS</t>
  </si>
  <si>
    <t>MI CASTILLO DE COLORES CEBOLLAL</t>
  </si>
  <si>
    <t>MI CASTILLO DE COLORES BUENOS AIRES</t>
  </si>
  <si>
    <t>MI MUNDO MAGICO LA IRLANDA</t>
  </si>
  <si>
    <t>UN MUNDO DE AVENTURAS COMINALES</t>
  </si>
  <si>
    <t>FRUTOS DEL MAÑANA 1</t>
  </si>
  <si>
    <t>REGANDO SEMILLA 1</t>
  </si>
  <si>
    <t>HOGAR INFANTIL CASA DE LA PROVIDENCIA</t>
  </si>
  <si>
    <t>HOGAR INFANTIL LOS PICARINES</t>
  </si>
  <si>
    <t>CZ SUR</t>
  </si>
  <si>
    <t>LOS PINOCHOS</t>
  </si>
  <si>
    <t>PEQUEÑOS TRAVIESOS</t>
  </si>
  <si>
    <t>SONRISAS</t>
  </si>
  <si>
    <t>EL MAGO DE OZ</t>
  </si>
  <si>
    <t>LA CASITA DE LOS SUEÑOS</t>
  </si>
  <si>
    <t>LAS ROSITAS</t>
  </si>
  <si>
    <t>MANITAS INQUIETAS 1</t>
  </si>
  <si>
    <t>MI LUCERITO</t>
  </si>
  <si>
    <t>NUEVO HORIZONTE DEL MAÑANA</t>
  </si>
  <si>
    <t>PALABRITAS</t>
  </si>
  <si>
    <t>LAS SEMILLITAS</t>
  </si>
  <si>
    <t>MI INFANCIA</t>
  </si>
  <si>
    <t>PIO PIO</t>
  </si>
  <si>
    <t>JESUS DE PRAGA</t>
  </si>
  <si>
    <t>LOS CAPRICHOSOS</t>
  </si>
  <si>
    <t>LOS PERIQUITOS</t>
  </si>
  <si>
    <t>LUNA NUEVA</t>
  </si>
  <si>
    <t>LOS GIGANTES DEL MAÑANA</t>
  </si>
  <si>
    <t>MIS ABEJITAS</t>
  </si>
  <si>
    <t>NIÑOS DEL FUTURO 1</t>
  </si>
  <si>
    <t>OSO CARIÑOSO</t>
  </si>
  <si>
    <t>ANGELES TRAVIESOS</t>
  </si>
  <si>
    <t>MI 1 UNIVERSIDAD</t>
  </si>
  <si>
    <t>PAPA NOEL</t>
  </si>
  <si>
    <t>EL OASIS 1</t>
  </si>
  <si>
    <t>ROSITA</t>
  </si>
  <si>
    <t>BELEN</t>
  </si>
  <si>
    <t>GOTITAS DE GENTE</t>
  </si>
  <si>
    <t>ROSITAS INFANTILES</t>
  </si>
  <si>
    <t>EL RINCON DE LOS SUENOS</t>
  </si>
  <si>
    <t>CASITA DE MIEL</t>
  </si>
  <si>
    <t>LOS CHIQUILINES</t>
  </si>
  <si>
    <t>LILI</t>
  </si>
  <si>
    <t>MI MUNDO MARAVILLOSO</t>
  </si>
  <si>
    <t>LOS OSOS MELOSOS</t>
  </si>
  <si>
    <t>OSITOS TRAVIESOS</t>
  </si>
  <si>
    <t>AMIGUITOS AMABLES</t>
  </si>
  <si>
    <t>LUNA DE PAPEL</t>
  </si>
  <si>
    <t>MIS AMIGUITOS ADORABLES</t>
  </si>
  <si>
    <t>CDI HUELLITAS AZULES</t>
  </si>
  <si>
    <t>MI MAGICA AVENTURA</t>
  </si>
  <si>
    <t>EXPLORADORES DEL UNIVERSO</t>
  </si>
  <si>
    <t>MI BARQUITO</t>
  </si>
  <si>
    <t>PAYASITO ALEGRE</t>
  </si>
  <si>
    <t>MIS AMORES</t>
  </si>
  <si>
    <t>CASITA DE BETANIA</t>
  </si>
  <si>
    <t>LA RANA RENE</t>
  </si>
  <si>
    <t>CASITA DE BELEN</t>
  </si>
  <si>
    <t>MIS QUERUBINES</t>
  </si>
  <si>
    <t>JUGUEMOS CON GERALDIN</t>
  </si>
  <si>
    <t>LOS PITUFOS 1</t>
  </si>
  <si>
    <t>EL OSO MELOSO</t>
  </si>
  <si>
    <t>CARICIAS</t>
  </si>
  <si>
    <t>LAS NUEVAS ESTRELLITAS</t>
  </si>
  <si>
    <t>AMOR Y PAZ</t>
  </si>
  <si>
    <t>EL BOSQUECITO</t>
  </si>
  <si>
    <t>LOS NOGMOS</t>
  </si>
  <si>
    <t>LAS TERNURAS</t>
  </si>
  <si>
    <t>TIA ARA</t>
  </si>
  <si>
    <t>MIS CAPULLITOS</t>
  </si>
  <si>
    <t>TERNURITAS</t>
  </si>
  <si>
    <t>JERRY</t>
  </si>
  <si>
    <t>INFANTILANDIA</t>
  </si>
  <si>
    <t>LA DICHA DE SER</t>
  </si>
  <si>
    <t>MUCHACHITOS</t>
  </si>
  <si>
    <t>OASIS</t>
  </si>
  <si>
    <t>MARIA AUXILIADORA</t>
  </si>
  <si>
    <t>TRAVESURA</t>
  </si>
  <si>
    <t>TOPOYIYO</t>
  </si>
  <si>
    <t>TIA NANCY</t>
  </si>
  <si>
    <t>TORTUGUITA</t>
  </si>
  <si>
    <t>LOS PRINCIPES 2</t>
  </si>
  <si>
    <t>MUNDO DE SUEÑOS MAGICOS</t>
  </si>
  <si>
    <t>EL ANGELITO</t>
  </si>
  <si>
    <t>AMIGUITOS DEL SABER</t>
  </si>
  <si>
    <t>MI MUNDO INCREIBLE</t>
  </si>
  <si>
    <t>LAS FLORES DE MI JARDIN</t>
  </si>
  <si>
    <t>DINAMICAS 2</t>
  </si>
  <si>
    <t>PASITOS DE AMOR</t>
  </si>
  <si>
    <t>LOS OSITOS 2</t>
  </si>
  <si>
    <t>LOS PEQUENOS TRAVIESOS</t>
  </si>
  <si>
    <t>CONCHITAS MARINAS</t>
  </si>
  <si>
    <t>OSITOS MELOSOS</t>
  </si>
  <si>
    <t>CAPERUSITA ROJA</t>
  </si>
  <si>
    <t>CONEJOS GOLOSOS</t>
  </si>
  <si>
    <t>PINGUINOS ALEGRES</t>
  </si>
  <si>
    <t>PEQUEÑAS ESTRELLAS</t>
  </si>
  <si>
    <t>LIZETH</t>
  </si>
  <si>
    <t>AVENTURAS EN PAÑALES 1</t>
  </si>
  <si>
    <t>UNA SONRISA</t>
  </si>
  <si>
    <t>CHIQUILINES</t>
  </si>
  <si>
    <t>CARITAS DE INFANCIA</t>
  </si>
  <si>
    <t>LA COLMENA</t>
  </si>
  <si>
    <t>PEQUITAS 2</t>
  </si>
  <si>
    <t>LOS PEQUEÑOS CISNES</t>
  </si>
  <si>
    <t>PINGUINOS 1</t>
  </si>
  <si>
    <t>LOS MARINERITOS</t>
  </si>
  <si>
    <t>ANGELITOS 1</t>
  </si>
  <si>
    <t>HOGAR FAMI MICKEY</t>
  </si>
  <si>
    <t>FLORES DEL MAÑANA</t>
  </si>
  <si>
    <t>HOGAR FAMI HADA MADRINA</t>
  </si>
  <si>
    <t>LA CASITA ENCANTADA</t>
  </si>
  <si>
    <t>ALONDRITAS</t>
  </si>
  <si>
    <t>ACUARELA</t>
  </si>
  <si>
    <t>NIÑOS SABIOS</t>
  </si>
  <si>
    <t>BURBUJITAS</t>
  </si>
  <si>
    <t>QUERUBINES</t>
  </si>
  <si>
    <t>BAMBI</t>
  </si>
  <si>
    <t>MADRES DINAMICAS</t>
  </si>
  <si>
    <t>CDI MISION PAZ</t>
  </si>
  <si>
    <t>LOS NINOS DEL FUTURO</t>
  </si>
  <si>
    <t>CDI EL HORMIGUERO</t>
  </si>
  <si>
    <t>CRECIENDO CON AMOR</t>
  </si>
  <si>
    <t>CARITA DEL SOL</t>
  </si>
  <si>
    <t>EL BOSQUE ENCANTADO</t>
  </si>
  <si>
    <t>CDI LOS LAGOS</t>
  </si>
  <si>
    <t>CDI LA DICHA DE SER NIÑOS Y NIÑAS ANTONIO NARIÑO C</t>
  </si>
  <si>
    <t>CECILIA CABALLERO DE LOPEZ</t>
  </si>
  <si>
    <t>EXPLORADORES FELICES</t>
  </si>
  <si>
    <t>MI BELLA EPOCA</t>
  </si>
  <si>
    <t>LUZ DE SOL</t>
  </si>
  <si>
    <t>EN NUESTRAS MANOS LA VIDA SE RECREA</t>
  </si>
  <si>
    <t>APRENDER JUGANDO</t>
  </si>
  <si>
    <t>FAMILIAS HACIA UN NUEVO AMANECER</t>
  </si>
  <si>
    <t>CRECIENDO CON ESPERANZA</t>
  </si>
  <si>
    <t>MI EDAD FELIZ</t>
  </si>
  <si>
    <t>GOTAS DE ALEGRIA</t>
  </si>
  <si>
    <t>LAZOS DE AMOR Y VIDA</t>
  </si>
  <si>
    <t>RENACER</t>
  </si>
  <si>
    <t>UNA ESPERANZA</t>
  </si>
  <si>
    <t>CDI FE Y ALEGRÍA MADRE ALBERTA</t>
  </si>
  <si>
    <t>CDI HOGAR INFANTIL ARANJUEZ</t>
  </si>
  <si>
    <t>HOGAR INFANTIL EL AMPARO DE LOS NIÑOS</t>
  </si>
  <si>
    <t>HOGAR INFANTIL RIN RIN RENACUAJO</t>
  </si>
  <si>
    <t>CZ SURORIENTAL</t>
  </si>
  <si>
    <t>CANDILEJAS</t>
  </si>
  <si>
    <t>DIANITA</t>
  </si>
  <si>
    <t>LOS SOBRINITOS</t>
  </si>
  <si>
    <t>CRECEREMOS</t>
  </si>
  <si>
    <t>NUVE LUZ</t>
  </si>
  <si>
    <t>MUJERES EMPRENDEDORAS</t>
  </si>
  <si>
    <t>MANECITAS</t>
  </si>
  <si>
    <t>HACIA UN MUNDO MEJOR</t>
  </si>
  <si>
    <t>MIS PRIMEROS GARABATOS</t>
  </si>
  <si>
    <t>LOS BEIBIS</t>
  </si>
  <si>
    <t>ESTRELLAS TRAVIESAS 1</t>
  </si>
  <si>
    <t>ESTRELLAS TRAVIESAS 2</t>
  </si>
  <si>
    <t>GOTITA DE AMOR</t>
  </si>
  <si>
    <t>PITUFITOS 2</t>
  </si>
  <si>
    <t>ARCO IRIS</t>
  </si>
  <si>
    <t>BELLAVISTA</t>
  </si>
  <si>
    <t>LUZ Y VIDA</t>
  </si>
  <si>
    <t>RAYOS DE LUZ</t>
  </si>
  <si>
    <t>MADRES CARIÑOSITAS</t>
  </si>
  <si>
    <t>MUJERES DIVINAS</t>
  </si>
  <si>
    <t>NUEVO HORIZONTE</t>
  </si>
  <si>
    <t>MADRES CREATIVAS</t>
  </si>
  <si>
    <t>MADRES DEL FUTURO</t>
  </si>
  <si>
    <t>MIS AVENTURAS</t>
  </si>
  <si>
    <t>EL PITUFO</t>
  </si>
  <si>
    <t>LOS NEGRITOS</t>
  </si>
  <si>
    <t>MIS OSITOS CARIÑOSITOS</t>
  </si>
  <si>
    <t>PEKIS</t>
  </si>
  <si>
    <t>RISAS ALEGRES</t>
  </si>
  <si>
    <t>ALEGRES MAÑANITAS</t>
  </si>
  <si>
    <t>AMIGOS POR SIEMPRE</t>
  </si>
  <si>
    <t>LINDO AMANECER</t>
  </si>
  <si>
    <t>LAS PROACTIVAS 2</t>
  </si>
  <si>
    <t>CDI SUEÑOS DE PAZ 2</t>
  </si>
  <si>
    <t>CDI MANANTIAL DE SABIDURIA</t>
  </si>
  <si>
    <t>MIS NENITOS</t>
  </si>
  <si>
    <t>LOS FUTUROS DEL MAÑANA 1</t>
  </si>
  <si>
    <t>LOS FUTUROS DEL MAÑANA 2</t>
  </si>
  <si>
    <t>MIS PRIMEROS AMIGUITOS</t>
  </si>
  <si>
    <t>ALF</t>
  </si>
  <si>
    <t>MIS PEQUEÑOS CHIQUITINES</t>
  </si>
  <si>
    <t>OKI DOKI</t>
  </si>
  <si>
    <t>PITUFITOS DEL PACIFICO SALON 2</t>
  </si>
  <si>
    <t>PITUFITOS DEL PACIFICO SALON 3</t>
  </si>
  <si>
    <t>MIS PEQUEÑOS ARCOIRIS</t>
  </si>
  <si>
    <t>MIS PEQUEÑOS LOS CHIQUILINES</t>
  </si>
  <si>
    <t>PILISIMO</t>
  </si>
  <si>
    <t>MIS PEQUEÑOS SABIOS</t>
  </si>
  <si>
    <t>RAYITO DE LUNA</t>
  </si>
  <si>
    <t>EL BIENESTAR</t>
  </si>
  <si>
    <t>ANGEL</t>
  </si>
  <si>
    <t>LA FINQUITA</t>
  </si>
  <si>
    <t>COMPARTIR</t>
  </si>
  <si>
    <t>GENIOS DEL FUTURO</t>
  </si>
  <si>
    <t>HOGAR GRUPAL MMI NUEVO HOGAR</t>
  </si>
  <si>
    <t>NUESTRA ALEGRIA</t>
  </si>
  <si>
    <t>RAICES DE VIDA</t>
  </si>
  <si>
    <t>BUSQUEMOS LA PAZ SE QUIEN SOY</t>
  </si>
  <si>
    <t>RAYITOS DE LUZ</t>
  </si>
  <si>
    <t>UNA NUEVA ESPERANZA</t>
  </si>
  <si>
    <t>LA TIA ISABELLA</t>
  </si>
  <si>
    <t>SEMILLERITOS</t>
  </si>
  <si>
    <t>LOS PICAPIEDRAS II</t>
  </si>
  <si>
    <t>PERSONITAS II</t>
  </si>
  <si>
    <t>PERSONITAS I</t>
  </si>
  <si>
    <t>CDI VALLADO B</t>
  </si>
  <si>
    <t>CDI SOL Y LUNA</t>
  </si>
  <si>
    <t>PEQUEÑOS PICAPIEDRAS</t>
  </si>
  <si>
    <t>ESTRELLITAS DE CRISTO</t>
  </si>
  <si>
    <t>MI PEQUEÑO UNIVERSO</t>
  </si>
  <si>
    <t>CONSERVANDO UNA AMISTAD</t>
  </si>
  <si>
    <t>UNA VENTANA HACIA EL AMOR</t>
  </si>
  <si>
    <t>EFICIENTES</t>
  </si>
  <si>
    <t>ESTRELLITAS TRAVIESAS 4</t>
  </si>
  <si>
    <t>ESTRELLITAS TRAVIESAS 3</t>
  </si>
  <si>
    <t>EL DERECHO DE NACER</t>
  </si>
  <si>
    <t>HOGAR SOLDADITOS DE CRISTO</t>
  </si>
  <si>
    <t>HOGAR ANGELITOS CON JESUS</t>
  </si>
  <si>
    <t>HOGAR CAMINANDO HACIA EL FUTURO</t>
  </si>
  <si>
    <t>CASITA DE MIEL 4</t>
  </si>
  <si>
    <t>SEMILLITAS DE JESUS</t>
  </si>
  <si>
    <t>MIS PRIMEROS AÑITOS</t>
  </si>
  <si>
    <t>LOS PECESITOS</t>
  </si>
  <si>
    <t>LA ESPIGA DEL FUTURO</t>
  </si>
  <si>
    <t>ANGEL DEL HOGAR</t>
  </si>
  <si>
    <t>LOS GATICOS</t>
  </si>
  <si>
    <t>MIS ANGELITOS 1</t>
  </si>
  <si>
    <t>ESPIGUITAS</t>
  </si>
  <si>
    <t>MIS TRAVESURAS</t>
  </si>
  <si>
    <t>RATONCITOS TRAVIESOS</t>
  </si>
  <si>
    <t>MIS ANGELITOS 2</t>
  </si>
  <si>
    <t>HOGAR INFANTIL PIO PIO</t>
  </si>
  <si>
    <t>H.I NIÑEZ Y ALEGRIA</t>
  </si>
  <si>
    <t>LOS AVENTUREROS</t>
  </si>
  <si>
    <t>CDI EXPRESIÓN DE AMOR SEDE VALLADO</t>
  </si>
  <si>
    <t>CDI SUEÑOS DE PAZ</t>
  </si>
  <si>
    <t>CDI JESUS DE NAZARET</t>
  </si>
  <si>
    <t>CASITA DE LA TERNURA</t>
  </si>
  <si>
    <t>CISNES BLANCOS</t>
  </si>
  <si>
    <t>LOS DIAMANTES</t>
  </si>
  <si>
    <t>LOS LORITOS TRAVIESOS</t>
  </si>
  <si>
    <t>MANITAS DEL FUTURO</t>
  </si>
  <si>
    <t>LOS GATICOS INQUIETOS</t>
  </si>
  <si>
    <t>PICAPIEDRAS 1</t>
  </si>
  <si>
    <t>MIS PRIMEROS PASOS 1</t>
  </si>
  <si>
    <t>CASITA ENCANTADA 1</t>
  </si>
  <si>
    <t>EL ARCOIRIS</t>
  </si>
  <si>
    <t>MIS GRANDES SONRISITAS</t>
  </si>
  <si>
    <t>CHIQUILLLADAS</t>
  </si>
  <si>
    <t>LAS AVISPITAS</t>
  </si>
  <si>
    <t>LUZ BRILLANTE</t>
  </si>
  <si>
    <t>PASTORCITOS FELICES</t>
  </si>
  <si>
    <t>HORMIGUITAS</t>
  </si>
  <si>
    <t>LAS SARDINITAS</t>
  </si>
  <si>
    <t>LOS JEFECITOS</t>
  </si>
  <si>
    <t>LOS HIJOS DEL REY</t>
  </si>
  <si>
    <t>LAS CARMELITAS</t>
  </si>
  <si>
    <t>TASITA DE LECHE</t>
  </si>
  <si>
    <t>CAMINO HACIA LA FELICIDAD</t>
  </si>
  <si>
    <t>DULCE HOGAR</t>
  </si>
  <si>
    <t>LOS CHEPITOS</t>
  </si>
  <si>
    <t>LAS CASITA DE BELEN</t>
  </si>
  <si>
    <t>LA DIVINA PROVIDENCIA</t>
  </si>
  <si>
    <t>LAS QUINCE PULGUITAS</t>
  </si>
  <si>
    <t>PEQUEÑOS PALENQUES</t>
  </si>
  <si>
    <t>CASITA DE MIEL 2</t>
  </si>
  <si>
    <t>LOS RETOÑOS</t>
  </si>
  <si>
    <t>LOS PRINCIPES</t>
  </si>
  <si>
    <t>MI NANA</t>
  </si>
  <si>
    <t>BURBUJITAS MAGICAS</t>
  </si>
  <si>
    <t>MUJERES VIRTUOSAS</t>
  </si>
  <si>
    <t>SUEÑOS POR UN MEJOR VIVIR</t>
  </si>
  <si>
    <t>ESTRELLITAS 2</t>
  </si>
  <si>
    <t>HOGAR CAMPANITA</t>
  </si>
  <si>
    <t>NUBE DE COLORES</t>
  </si>
  <si>
    <t>SAN JAVIER</t>
  </si>
  <si>
    <t>ANGELITOS CON JESUS</t>
  </si>
  <si>
    <t>VINCULO DE PAZ</t>
  </si>
  <si>
    <t>MI PEQUEÑO PONY</t>
  </si>
  <si>
    <t>LOS YOYITOS</t>
  </si>
  <si>
    <t>LOS CASTORCITOS</t>
  </si>
  <si>
    <t>LOS DUEÑOS DEL MAÑANA</t>
  </si>
  <si>
    <t>LAS ROSAS DEL FUTURO</t>
  </si>
  <si>
    <t>MIS PEQUEÑOS DORMILONES</t>
  </si>
  <si>
    <t>PULGARCITOS 1</t>
  </si>
  <si>
    <t>PULGARCITOS 2</t>
  </si>
  <si>
    <t>MIS BELLOS RECUERDOS</t>
  </si>
  <si>
    <t>PEQUEÑAS PERSONITAS</t>
  </si>
  <si>
    <t>MANITAS TRAVIESAS 2</t>
  </si>
  <si>
    <t>MI ALEGRIA</t>
  </si>
  <si>
    <t>CHISPITAS DEL SABER</t>
  </si>
  <si>
    <t>LAS CAMPANITAS</t>
  </si>
  <si>
    <t>LOS CALEÑITOS</t>
  </si>
  <si>
    <t>LAS ORQUIDIAS</t>
  </si>
  <si>
    <t>MIS CAMPANITAS TILIN TILIN</t>
  </si>
  <si>
    <t>HOGAR OSITOS DE LANA</t>
  </si>
  <si>
    <t>CASA DE BENDICION</t>
  </si>
  <si>
    <t>SAN MIGUEL</t>
  </si>
  <si>
    <t>MIEL</t>
  </si>
  <si>
    <t>LOS CORAZONCITOS</t>
  </si>
  <si>
    <t>LAS AMIGUITAS</t>
  </si>
  <si>
    <t>LAS AMIGUITAS CONCENTIDAS</t>
  </si>
  <si>
    <t>MELIDA</t>
  </si>
  <si>
    <t>OSITO GOLOSO</t>
  </si>
  <si>
    <t>CDI CORPORACION SEÑOR DE LOS MILAGROS SEDE NO. 1</t>
  </si>
  <si>
    <t>FE Y ALEGRIA HOGAR INFANTIL LAS PALMERAS</t>
  </si>
  <si>
    <t>FE Y ALEGRIA HOGAR INFANTL SANTA MONICA</t>
  </si>
  <si>
    <t>CDI FRANCISCO ELADIO RAMIREZ</t>
  </si>
  <si>
    <t>CDI SEMILLA DE MOSTAZA 1</t>
  </si>
  <si>
    <t>CZ YUMBO</t>
  </si>
  <si>
    <t>LOS CHAMITOS</t>
  </si>
  <si>
    <t>LOS CHAVITOS</t>
  </si>
  <si>
    <t>RUISEÑOR</t>
  </si>
  <si>
    <t>OSITO MUSICAL</t>
  </si>
  <si>
    <t>LOS CARIÑITOS</t>
  </si>
  <si>
    <t>MI CHOCITA</t>
  </si>
  <si>
    <t>MI FUTURO</t>
  </si>
  <si>
    <t>MIS QUINCE CORAZONES</t>
  </si>
  <si>
    <t>PEQUEÑAS PERSONITAS 2</t>
  </si>
  <si>
    <t>EL ENCANTO</t>
  </si>
  <si>
    <t>EL OSITO PANDA 2</t>
  </si>
  <si>
    <t>PEQUEÑAS PERSONITAS 1</t>
  </si>
  <si>
    <t>LEIDI</t>
  </si>
  <si>
    <t>GORRIONCITO</t>
  </si>
  <si>
    <t>TOBBY</t>
  </si>
  <si>
    <t>CAROLINA</t>
  </si>
  <si>
    <t>PUNTO DE ENCUENTRO</t>
  </si>
  <si>
    <t>CAMINO A LA PAZ</t>
  </si>
  <si>
    <t>MI PRIMERA COMPAÑÍA</t>
  </si>
  <si>
    <t>MIS PEQUEÑOS ARCO IRIS</t>
  </si>
  <si>
    <t>MF RINCON DAPA 1 Y 2</t>
  </si>
  <si>
    <t>MF LUDENS</t>
  </si>
  <si>
    <t>MF SAN MARCOS 1 Y 2</t>
  </si>
  <si>
    <t>MF CRUCES</t>
  </si>
  <si>
    <t>MF BELLAVISTA</t>
  </si>
  <si>
    <t>MF PUERTO ISAAC</t>
  </si>
  <si>
    <t>MF PANORAMA</t>
  </si>
  <si>
    <t>MF GUACANDA</t>
  </si>
  <si>
    <t>MF MULALO</t>
  </si>
  <si>
    <t>MF DIONISIO</t>
  </si>
  <si>
    <t>MF LAS AMERICAS</t>
  </si>
  <si>
    <t>MF BALTO PUENTE</t>
  </si>
  <si>
    <t>MF BENEFICIARIOS DEL FUTURO</t>
  </si>
  <si>
    <t>MF YUMBILLO</t>
  </si>
  <si>
    <t>MF ESTANCIA</t>
  </si>
  <si>
    <t>MF NUEVO HORIZONTE Y TRINIDAD</t>
  </si>
  <si>
    <t>MF MANGA VIEJA</t>
  </si>
  <si>
    <t>MF PILES</t>
  </si>
  <si>
    <t>MF MONTAÑITAS</t>
  </si>
  <si>
    <t>MF EL TABLAZO</t>
  </si>
  <si>
    <t>MI SEGUNDA MADRE</t>
  </si>
  <si>
    <t>PANDYS</t>
  </si>
  <si>
    <t>ROSITAS</t>
  </si>
  <si>
    <t>TERRON DE AZUCAR</t>
  </si>
  <si>
    <t>CARIÑOSITOS 1</t>
  </si>
  <si>
    <t>LOS PEQUEÑOS PICARINES</t>
  </si>
  <si>
    <t>Vijes</t>
  </si>
  <si>
    <t>MIS PICARDIAS</t>
  </si>
  <si>
    <t>MI CASITA NO. 7</t>
  </si>
  <si>
    <t>LA SEMILLITA</t>
  </si>
  <si>
    <t>TESORO DEL SABER</t>
  </si>
  <si>
    <t>PICARINES</t>
  </si>
  <si>
    <t>IUMA WARRARAS</t>
  </si>
  <si>
    <t>MI PEQUEÑO REFUGIO</t>
  </si>
  <si>
    <t>MI TRENCITO</t>
  </si>
  <si>
    <t>La Cumbre</t>
  </si>
  <si>
    <t>MI RANCHITO ALEGRE</t>
  </si>
  <si>
    <t>LOS ENANITOS TRAVIESOS</t>
  </si>
  <si>
    <t>FUTUROS DE COLOMBIA</t>
  </si>
  <si>
    <t>CASITA VECINAL</t>
  </si>
  <si>
    <t>MIS LINDAS PERSONITAS</t>
  </si>
  <si>
    <t>CAMPESINITOS ALEGRES</t>
  </si>
  <si>
    <t>MIS PEQUEÑOS DIAMANTES</t>
  </si>
  <si>
    <t>CARRUSEL DE LA ALEGRIA</t>
  </si>
  <si>
    <t>CARIÑOSITO</t>
  </si>
  <si>
    <t>CUMBRES DE AMOR</t>
  </si>
  <si>
    <t>LAS CONSENTIDAS</t>
  </si>
  <si>
    <t>MADRIGAL</t>
  </si>
  <si>
    <t>MI PRIMER BEBE</t>
  </si>
  <si>
    <t>LA CASITA DE BELEN</t>
  </si>
  <si>
    <t>OSOS MELOSOS</t>
  </si>
  <si>
    <t>TIMOTEO</t>
  </si>
  <si>
    <t>MIS PRIMEROS AÑOS</t>
  </si>
  <si>
    <t>PEQUEÑOS PITUFOS</t>
  </si>
  <si>
    <t>GOLONDRINAS</t>
  </si>
  <si>
    <t>PEQUEÑO BAMBAM</t>
  </si>
  <si>
    <t>BABY BABY</t>
  </si>
  <si>
    <t>MI NUEVA ESPERANZA</t>
  </si>
  <si>
    <t>MI NUEVO FUTURO</t>
  </si>
  <si>
    <t>LA HORMIGUITA ROSA</t>
  </si>
  <si>
    <t>LOS PONYS</t>
  </si>
  <si>
    <t>MIS PEQUEÑAS TRAVESURAS</t>
  </si>
  <si>
    <t>PRIMERO LOS NIÑOS</t>
  </si>
  <si>
    <t>MIS CHIQUILLOS</t>
  </si>
  <si>
    <t>HAGAMOS AMIGOS</t>
  </si>
  <si>
    <t>CDI EL CARACOLI</t>
  </si>
  <si>
    <t>CDI LOS PICAPIEDRAS</t>
  </si>
  <si>
    <t>CDI ALCARRAZAS DE COLORES</t>
  </si>
  <si>
    <t>CDI GOTITAS DE AMOR</t>
  </si>
  <si>
    <t>HOGAR INFANTIL INQUIETUDES INFANTILES</t>
  </si>
  <si>
    <t>HOGAR INFANTIL CHOCITA DE JACINTO</t>
  </si>
  <si>
    <t>RISARALDA</t>
  </si>
  <si>
    <t>CZ PEREIRA</t>
  </si>
  <si>
    <t>HOGAR INFANTIL RISARALDA</t>
  </si>
  <si>
    <t>"La Unidad de Servicio del Hogar Infantil Risaralda, ubicada en el centro de la ciudad de Pereira, presentó afectaciones en su infraestructura como consecuencia del evento sísmico del pasado 10 de agosto, razón por la cual recibió concepto de USO RESTRINGIDO por parte de la DIGER en visita realizada el 15 de agosto.
Actualmente, la unidad no reúne las condiciones de seguridad requeridas para el retorno a la atención presencial de los participantes. En consecuencia, la Entidad Administradora del Servicio (EAS) ha adelantado la búsqueda de una sede alterna que garantice las condiciones mínimas para la prestación del servicio; sin embargo, a la fecha no ha sido posible identificar una infraestructura que cumpla con los requisitos necesarios.
Por lo anterior, la atención continuará bajo la modalidad de flexibilización del servicio y atención remota, con posibilidad de alternancia de algunos participantes en la UDS Boston, de acuerdo con la capacidad instalada y las condiciones operativas disponibles.
Fecha probable de inicio: Pendiente de determinar, sujeta a la consecución de una infraestructura adecuada o a la definición de una alternativa que garantice las condiciones de seguridad para la atención presencial."</t>
  </si>
  <si>
    <t>BULLISIOSOS</t>
  </si>
  <si>
    <t xml:space="preserve">Se realizo flexibilizacion de los servicios para el mes de septiembre con entrega de RPP por los 21 dias del mes , mientras se adelantan las visitas de la DIGER para conocer el estado de las UDS y de su entorno. Se espera el inicio desde la realización de las adecuaciones requeridas por la DIGER. </t>
  </si>
  <si>
    <t>BURBUJAS</t>
  </si>
  <si>
    <t>CAPERUCITA</t>
  </si>
  <si>
    <t>fLEXIBLE</t>
  </si>
  <si>
    <t>CZ LA VIRGINIA</t>
  </si>
  <si>
    <t>CARRUSEL DE ALEGRIAS</t>
  </si>
  <si>
    <t>Pueblo Rico</t>
  </si>
  <si>
    <t>FANTASIA</t>
  </si>
  <si>
    <t>CZ BELEN DE UMBRIA</t>
  </si>
  <si>
    <t>Belen De Umbria</t>
  </si>
  <si>
    <t>MI PEQUEÑO RINCONCITO</t>
  </si>
  <si>
    <t xml:space="preserve">Quinchia </t>
  </si>
  <si>
    <t>La Virginia</t>
  </si>
  <si>
    <t>CZ DOS QUEBRADAS</t>
  </si>
  <si>
    <t xml:space="preserve">Dosquebradas </t>
  </si>
  <si>
    <t>TRAVESURAS 1</t>
  </si>
  <si>
    <t>CDI SAN JOSE</t>
  </si>
  <si>
    <t>TEJADO CON DAÑOS</t>
  </si>
  <si>
    <t>CDI SANJOSE 2</t>
  </si>
  <si>
    <t>COCINA.DESAGUE CON DAÑOS, UDS PROPIA</t>
  </si>
  <si>
    <t>APRENDIENDO CON AMOR 1</t>
  </si>
  <si>
    <t>7</t>
  </si>
  <si>
    <t>Guatica</t>
  </si>
  <si>
    <t>Pendiente la visita de planeación. La Secretaría de Infraestructura informa que las visitas se encuentran programadas; sin embargo, actualmente no se dispone del personal encargado para su realización, situación que ha impedido su ejecución a la fecha.</t>
  </si>
  <si>
    <t>APRENDIENDO CON AMOR 3</t>
  </si>
  <si>
    <t>APRENDIENDO EN FAMILIA 2</t>
  </si>
  <si>
    <t>24</t>
  </si>
  <si>
    <t>APRENDIENDO EN FAMILIA 3</t>
  </si>
  <si>
    <t>CARITAS FELICES 2</t>
  </si>
  <si>
    <t>15</t>
  </si>
  <si>
    <t>CRECIENDO CON AMOR 1</t>
  </si>
  <si>
    <t>FAMILIAS CON AMOR 2</t>
  </si>
  <si>
    <t>FAMILIAS CON AMOR 3</t>
  </si>
  <si>
    <t>25</t>
  </si>
  <si>
    <t>NIÑOS DEL FUTURO 2</t>
  </si>
  <si>
    <t>NIÑOS FELICES 1</t>
  </si>
  <si>
    <t>NIÑOS FELICES 2</t>
  </si>
  <si>
    <t>RAYITOS DEL SOL GUATICAMAE</t>
  </si>
  <si>
    <t>Comunidad</t>
  </si>
  <si>
    <t>Por decision de las comunidades indigenas se solicita cambio de UDS, la cual ya se encuentra activa al no haber presentado afectaciones por el sismo.</t>
  </si>
  <si>
    <t>CARITA FELICES 1</t>
  </si>
  <si>
    <t xml:space="preserve">Concepto de la Diger: USO RESTRINGIDO. Estado actual de la Uds: ajuste de techo y cambio de tejas. Acciones pendientes: recibir ayudas para poder realizar los ajustes necesarios. necesidades identificadas: tejas, operarios. Atención en flexibilización </t>
  </si>
  <si>
    <t>CARITAS FELICES 4</t>
  </si>
  <si>
    <t xml:space="preserve">
Concepto de la Diger: USO RESTRINGIDO. Estado actual de la Uds: mampostería, revisión estructural, reforzamiento estructural en grietas de partes en cemento. Acciones pendientes: recibir ayudas para poder realizar los ajustes necesarios. necesidades identificadas: revisión de profesional estructural, adecuación de grietas en espacios.Atención en flexibilización </t>
  </si>
  <si>
    <t>HOGAR INFANTIL VECINAL LA BADEA</t>
  </si>
  <si>
    <t xml:space="preserve">Se encuentra pendiente de la segunda visita de la DIGER. Atención en flexibilización Afectaciones en muros de la UDS. </t>
  </si>
  <si>
    <t>LOS BULLICIOSOS 1</t>
  </si>
  <si>
    <t xml:space="preserve">Concepto de la Diger: USO RESTRINGIDO. Estado actual de la Uds: recibir visita de un ingeniero estructural para determinar el riesgo del muro del patio - paso restringido. Acciones pendientes: La Unidad es adquirida en arrendamiento por la madre comunitaria, se informó al dueño de la vivienda para realizar los ajustes correspondientes quien refiere que no realizara arreglos en la vivienda. Necesidades identificadas: la madre comunitaria se encuentra en proceso de búsqueda de vivienda para solicitar el traslado de la UDS, teniendo en cuenta que por no ser propietaria no puede realizar los arreglos correspondientes.Atención en flexibilización </t>
  </si>
  <si>
    <t xml:space="preserve">Concepto de la Diger: USO RESTRINGIDO. Estado actual de la Uds: mantenimiento y reparación en zonas del baño - prohibido el ingreso al inmueble - hundimiento en la misma área, desplazamiento de tejas acciones pendientes recibir ayudas para poder realizar los ajustes necesarios Necesidades identificadas: revisión de profesional estructural, adecuación de espacios. Atención en flexibilización </t>
  </si>
  <si>
    <t>SUEÑOS CREATIVOS</t>
  </si>
  <si>
    <t xml:space="preserve">Concepto de la Diger: USO RESTRINGIDO. Estado actual de la Uds: evacuación inmediata, evaluación por demolición acciones pendientes se han realizo arreglos en el primer piso a una pared externa de la casa por riesgo de los habitantes del primer piso Necesidades identificadas: organizar vigas, bajar estructura pesada y levantar en estructura liviana, paredes agrietadas raspar a profundidad para revisar la fractura de esta.Atención en flexibilización </t>
  </si>
  <si>
    <t>MARTILLO SAN DIEGO</t>
  </si>
  <si>
    <t>SE ENCUENTRA PENDIENTE VISITA DE LA DIGER QUE PERMITA VERIFICAR Y/O CONFIRMAR VIABILIDAD PARA LA PRESTACIÓN DEL SERVICIO. LA INFRAESTRUCTURA CONTÓ CON IMPORTANTES AFECTACIONES DEBIDO AL TERREMOTO. SE ENCUENTRA PENDIENTE VISITA DE DIGER PARA VALIDACIÓN DE NUEVO ESPACIO.</t>
  </si>
  <si>
    <t>CZ SANTA ROSA DE CABAL</t>
  </si>
  <si>
    <t>UDS V. FERMIN LOPEZ</t>
  </si>
  <si>
    <t>Santa Rosa De Cabal</t>
  </si>
  <si>
    <t xml:space="preserve">Por las afectaciones en su infraestructura. </t>
  </si>
  <si>
    <t>HCBT KIPARA</t>
  </si>
  <si>
    <t xml:space="preserve">Marsella </t>
  </si>
  <si>
    <t>La falta de visita de DIGER que de garantía de que la infraestructura es segura.</t>
  </si>
  <si>
    <t>HCBT MI DULCE HOGAR</t>
  </si>
  <si>
    <t>10</t>
  </si>
  <si>
    <t>HCBT RESGUARDO INDIGENA 2 MARIPOSITAS</t>
  </si>
  <si>
    <t>9</t>
  </si>
  <si>
    <t>HCBT RESGUARDO INDIGENA 3 LA RANA RENE</t>
  </si>
  <si>
    <t>HCBT RESGUARDO INDIGENA 4 ESTRELLITAS</t>
  </si>
  <si>
    <t>5</t>
  </si>
  <si>
    <t>HCBT RESGUARDO INDIGENA 5 ANGELITOS</t>
  </si>
  <si>
    <t>BRISAS DEL SAN JUAN</t>
  </si>
  <si>
    <t xml:space="preserve">Atención remota hasta que se hagan las decuaciones a infraestructura </t>
  </si>
  <si>
    <t>8</t>
  </si>
  <si>
    <t>JESUS DE NAZARETH</t>
  </si>
  <si>
    <t>6</t>
  </si>
  <si>
    <t>LOS RUMBERITOS</t>
  </si>
  <si>
    <t>NUESTRA SEÑORA DEL CARMEN</t>
  </si>
  <si>
    <t>GERMINANDO ILUSIONES 1</t>
  </si>
  <si>
    <t xml:space="preserve">Hasta la fecha no se ha realizado visita del ingeniero de planeación, la secretaria menciona que por el momento se estan atendidendo las visitas por emergencia   </t>
  </si>
  <si>
    <t>SEMILLAS DE PAZ 1</t>
  </si>
  <si>
    <t>LA PALMA</t>
  </si>
  <si>
    <t>SE ENCUENTRA PENDIENTE VISITA DE LA DIGER QUE PERMITA VERIFICAR Y/O CONFIRMAR VIABILIDAD PARA LA PRESTACIÓN DEL SERVICIO. LA INFRAESTRUCTURA CONTÓ CON IMPORTANTES AFECTACIONES DEBIDO AL TERREMOTO. E ENCUENTRA PENDIENTE VISITA DE DIGER PARA VALIDACIÓN DE NUEVO ESPACIO.</t>
  </si>
  <si>
    <t>CDI LA AURORA</t>
  </si>
  <si>
    <t>LA INFRAESTRUCTURA CONTÓ CON VISITA DE LA DIGER EL DÍA 26-08-2026 GENERÁNDOSE CONCEPTO DE USO RESTRINGIDO, ACTUALMENTE SE ENCUENTRA CON ATENCIÓN MEDIANTE FLEXIBILIZACIÓN, LA CUAL, SE PROYECTO MANTENER HASTA FINALES DE SEPTIEMBRE CON COMPROMISO DE EVALUACIÓN Y NUEVA PROPUESTA DE FLEXIBILIZACIÓN PARA LOS MESES SIGUIENTES DADAS LAS IMPORTANTES AFECTACIONES Y ESTANDO A LA ESPERA DE RESPUESTA DE FONDO DE LA ENTIDAD MUNICIPAL PARA LAS INTERVENCIONES REQUERIDAS</t>
  </si>
  <si>
    <t>ESTANQUILLO</t>
  </si>
  <si>
    <t>GAITAN</t>
  </si>
  <si>
    <t>SE ENCUENTRA PENDIENTE VISITA DE LA DIGER QUE PERMITA VERIFICAR Y/O CONFIRMAR VIABILIDAD PARA LA PRESTACIÓN DEL SERVICIO.  LA INFRAESTRUCTURA EN LA QUE SE REALIZABA PRESTACIÓN DEL SERVICIO CONTÓ CON AFECTACIONES, ES UNA ESCUELA Y ACTUALMENTE EN EL HORARIO DEL SERVICIO SE VIENEN BRINDANDO CLASES DE EDUCACIÓN FORMAL. SE ENCUENTRA PENDIENTE VISITA DE DIGER PARA VALIDACIÓN DE NUEVO ESPACIO.</t>
  </si>
  <si>
    <t>MI PEQUEÑO TALLERCITO</t>
  </si>
  <si>
    <t xml:space="preserve">Concepto de la Diger: USO RESTRINGIDO. Estado actual de la Uds:  sustitución de cielo falso, revisión de techo y unidades en baño y cocina acciones pendientes   realizar cambio del techo en pbc, revoque de paredes del aula de los niños. Necesidades identificadas: tejas pbc, revisión de profesional estructural, materiales para realizar los ajustes correspondientes. La uds se encuentra cerrada por pensión de la madre comuniaria Atención en flexibilización </t>
  </si>
  <si>
    <t>SANTA ANA</t>
  </si>
  <si>
    <t>WAWITAS NATIVASETNO EDUCANDO CON AMOR</t>
  </si>
  <si>
    <t xml:space="preserve">en este cto no hay flexiblizacion, lo que se hizo fue cambiar de UCAS por que las anteriores estaban con afectaciones y la misma comunidad indigena busco un lugar. </t>
  </si>
  <si>
    <t>UDS MARISCAL SUCRE</t>
  </si>
  <si>
    <t xml:space="preserve">Se inicia la presencialidad en otra en otro espacio y se dio el 7 de septiembre 2026 </t>
  </si>
  <si>
    <t>ARCOIRIS 1</t>
  </si>
  <si>
    <t>La UDS debe ser demolida por daños estructurales, por el momento se esta buscando espacios alternos para prestar la atención del servicio. Se inicio el servicio desde el 31/08/2026</t>
  </si>
  <si>
    <t>CARITAS ALEGRES 3</t>
  </si>
  <si>
    <t>La UDS debe ser demolida por daños estructurales, por el momento se esta buscando espacios alternos para prestar la atención del servicio</t>
  </si>
  <si>
    <t>MI DULCE MUNDO 1</t>
  </si>
  <si>
    <t>SEMILLAS DE AMOR 2</t>
  </si>
  <si>
    <t xml:space="preserve">Apia </t>
  </si>
  <si>
    <t>CHOCÓ</t>
  </si>
  <si>
    <t>CZ QUIBDO</t>
  </si>
  <si>
    <t>HI NIÑO JESUS</t>
  </si>
  <si>
    <t xml:space="preserve">Quibdo </t>
  </si>
  <si>
    <t>se observan columnas agrietadas en piso 1 por columna corta, igualmente están afectados los muros de los baños con agrietamiento diagonal, en columnas interiores. NO se observan agrietamientos, solo dilataciones entre elementos estructurales y no estructurales.se sugiere intervenir las columnas de piso 1 que soportan aulas en pisos superiores. Clasificación fuerte.
Se identificó una afectación importante en la estructura de la edificación, específicamente en tres columnas que presentan resquebrajamiento. Si bien los muros no evidencian daños significativos, las columnas cumplen una función estructural fundamental, ya que soportan los pisos segundo y tercero. Por esta razón, se requiere una intervención prioritaria para garantizar la estabilidad y seguridad de la edificación.
Adicionalmente, se identificó una condición de riesgo en los baños adyacentes, debido a las afectaciones asociadas a la ruptura de las columnas, que podrían comprometer su estabilidad. En consecuencia, se considera inminente realizar una intervención técnica y adoptar las medidas preventivas necesarias mientras se determina el alcance de las obras requeridas.</t>
  </si>
  <si>
    <t>HI JARDIN</t>
  </si>
  <si>
    <t>No se observan afectaciones en aulas párvulos y prejardin. En columnas con altura mayor a 3 y presuntos daños en unión viga-columna en cumbrera en altura aprox. de 7 metros. Se observan afectaciones por desprendimiento de revoque , así mismo se observan agrietamientos en muro colindante aula de jardín en nivel 2 y baterías sanitarias infantiles.</t>
  </si>
  <si>
    <t>CZ ISTMINA</t>
  </si>
  <si>
    <t>CDI SAN JOSE DE ISTMINA</t>
  </si>
  <si>
    <t>Istmina</t>
  </si>
  <si>
    <t xml:space="preserve">Fisuras en muros no estructurales.
Falla en recubrimiento de columna de en pasillo de entrada y en dos comunas de pasarela por corrosión en acero, se requiere recalces. 
Falla de muro de cerramiento en el patio trasero, se requiere reconformar este muro nuevamente, la zona se encuentra aislada para los usuarios.
</t>
  </si>
  <si>
    <t>HI LA NIDIA EN ISTMINA</t>
  </si>
  <si>
    <t>Se evidenciaron algunas grietas en diferentes puntos de la infraestructura, las cuales, a simple vista, no aparentan ser de una consideración significativa ni permiten determinar por sí solas que exista un riesgo estructural.</t>
  </si>
  <si>
    <t>CDI SANTA ANA</t>
  </si>
  <si>
    <t>La infraestructura presenta afectaciones menores en muros divisorios - No se reporto como siniestro toda vez que la infraestructura presento afectaciones antes del sismo</t>
  </si>
  <si>
    <t xml:space="preserve">SAN JERONIMO </t>
  </si>
  <si>
    <t xml:space="preserve">Novita </t>
  </si>
  <si>
    <t xml:space="preserve">Envian Oficio informativo sobre el estado de la infraestructura y la prestación
del servicio de los Centros de Desarrollo Infantil (CDI) San Jerónimo del
municipio de Nóvita, con ocasión del evento sísmico ocurrido el 10 de agosto
de 2026. (A LA ESPERA DE REGISTRO FOTOGRAFICO YA QUE EL OFICIO NO VIENE SIN SOPORTE). </t>
  </si>
  <si>
    <t>CDI OBAPO</t>
  </si>
  <si>
    <t>CENTRO DE EDUCACIÓN INICIAL – INSTITUCIONAL</t>
  </si>
  <si>
    <t>Presenta grietas en parte del techo, el resto sin novedades.</t>
  </si>
  <si>
    <t>CDI SAMPER</t>
  </si>
  <si>
    <t>Colapso</t>
  </si>
  <si>
    <t>CDI CIUDADELA MIA</t>
  </si>
  <si>
    <t>Entidad Territorial</t>
  </si>
  <si>
    <t>Reportan afectación en la estructura, no es posible el ingreso por riesgos por lo que esperan poder evaluar. Tiene algunos muros externos caidos</t>
  </si>
  <si>
    <t>HOGAR LOS CORAZONES</t>
  </si>
  <si>
    <t>En conversación telefónica con el Ingeniero de la regional informan que en Itsmina en general no se evidenciaron afectaciones.  Especificamente de esta infraestructura no tiene reporte registrado.</t>
  </si>
  <si>
    <t>HOGAR LA ESPERANZA</t>
  </si>
  <si>
    <t>AGRUPADO YHOJAN ANDRES SANCHEZ</t>
  </si>
  <si>
    <t>Rio Iro</t>
  </si>
  <si>
    <t>CALDAS</t>
  </si>
  <si>
    <t>CZ ORIENTE</t>
  </si>
  <si>
    <t>HI OSITOS</t>
  </si>
  <si>
    <t>La Dorada</t>
  </si>
  <si>
    <t>Recibe concepto positivo UNGRD</t>
  </si>
  <si>
    <t>CZ DEL CAFE</t>
  </si>
  <si>
    <t>CDI CONSTRUYENDO SUEÑOS SAN JOSE</t>
  </si>
  <si>
    <t xml:space="preserve">San Jose </t>
  </si>
  <si>
    <t>Demolición UDS, proceso de flexibilización, búsqueda de otros escenarios municipales para retomar normalidad a partir del mes de octubre.</t>
  </si>
  <si>
    <t>CDI CONSTRUYENDO SUEÑOS BELALCAZAR 1</t>
  </si>
  <si>
    <t xml:space="preserve">Belalcazar </t>
  </si>
  <si>
    <t>CZ MANIZALES 1</t>
  </si>
  <si>
    <t>CDI ARANJUEZ</t>
  </si>
  <si>
    <t>Concepto de afectación parcial, solicitud de reinversión de recursos a DPI</t>
  </si>
  <si>
    <t>CDI HUELLITAS ARAUCA</t>
  </si>
  <si>
    <t>Palestina</t>
  </si>
  <si>
    <t>CDI HUELLITAS SANTAGUEDA</t>
  </si>
  <si>
    <t>CDI FERIAS</t>
  </si>
  <si>
    <t>Concepto de inhabitabilidad. Búsqueda de opciones a nivel territorial, opciones en arriendo, solicitud DPI para ampliación de presupuesto.</t>
  </si>
  <si>
    <t>CDI SANTA LUCIA</t>
  </si>
  <si>
    <t>CZ NORTE</t>
  </si>
  <si>
    <t>CDI ARMA</t>
  </si>
  <si>
    <t>Aguadas</t>
  </si>
  <si>
    <t>Reubicación de UDS en otro predio del corregimiento de Arma, adecuación, visitas de seguimiento e inicio de atención en normalidad</t>
  </si>
  <si>
    <t>CDI MAGDALENA</t>
  </si>
  <si>
    <t>CDI CENTRO</t>
  </si>
  <si>
    <t>CDI FORTUNA</t>
  </si>
  <si>
    <t>CDI CARACOLES DE COLORES</t>
  </si>
  <si>
    <t>Chinchina</t>
  </si>
  <si>
    <t>Usuarios reubicados en UDS del municipio con espacios adecuados para garantizar continuidad de la atención</t>
  </si>
  <si>
    <t>QUINDIO</t>
  </si>
  <si>
    <t>CZ ARMENIA NORTE</t>
  </si>
  <si>
    <t>HOGAR INFANTIL SANTANDER</t>
  </si>
  <si>
    <t xml:space="preserve">HOGAR INFANTIL ANGELITOS </t>
  </si>
  <si>
    <t>HOGAR INFANTIL CDV LA UNION</t>
  </si>
  <si>
    <t>HOGAR INFANTIL SARDINITOS</t>
  </si>
  <si>
    <t>HOGAR INFANTIL NIÑO JESUS OBRERO</t>
  </si>
  <si>
    <t>HOGAR INFANTIL LA MILAGROSA</t>
  </si>
  <si>
    <t>HOGAR INFANTIL BELEN</t>
  </si>
  <si>
    <t>ARMENIA CENTRO</t>
  </si>
  <si>
    <t>LA ISABELA</t>
  </si>
  <si>
    <t>SIMON BOLIVAR 2</t>
  </si>
  <si>
    <t>LOS ALAMOS</t>
  </si>
  <si>
    <t>ISABELA 2</t>
  </si>
  <si>
    <t>SALVADOR ALLENDE</t>
  </si>
  <si>
    <t>CDI VILLA DEL CAFE</t>
  </si>
  <si>
    <t>CDI ALBERTO PAVA</t>
  </si>
  <si>
    <t>URIBE 1</t>
  </si>
  <si>
    <t>POPULAR 1</t>
  </si>
  <si>
    <t>CAA DEL SUR</t>
  </si>
  <si>
    <t>CENTRO SOCIAL</t>
  </si>
  <si>
    <t>PATIO BONITO</t>
  </si>
  <si>
    <t>GUAYAQUIL</t>
  </si>
  <si>
    <t>GENESIS</t>
  </si>
  <si>
    <t>CDI LA NUEVA LIBERTAD</t>
  </si>
  <si>
    <t>EXPLORANDO  APRENDO</t>
  </si>
  <si>
    <t>CONSTRUCTORES DE PAZ</t>
  </si>
  <si>
    <t>MIS  PRIMEROS  PASOS</t>
  </si>
  <si>
    <t>LAS TRAVESURAS DE WINNIE POOH</t>
  </si>
  <si>
    <t>CARITAS  FELICES</t>
  </si>
  <si>
    <t>PARAISO DE MI INFANCIA</t>
  </si>
  <si>
    <t>CONSTRUYENDO FAMILIAS CON AMOR</t>
  </si>
  <si>
    <t>CZ CALARCA</t>
  </si>
  <si>
    <t>JARDIN INFANTIL NIÑO JESUS</t>
  </si>
  <si>
    <t>Calarca</t>
  </si>
  <si>
    <t>HOGAR INFANTIL AMAPOLAS</t>
  </si>
  <si>
    <t>HOGAR INFANTIL SONRISITAS</t>
  </si>
  <si>
    <t>BARCELONA CENTRO</t>
  </si>
  <si>
    <t>AVENIDA COLON</t>
  </si>
  <si>
    <t>CONSTRUYENDO FUTURO</t>
  </si>
  <si>
    <t>SAN VICENTE</t>
  </si>
  <si>
    <t>CDI PLAYA RICA</t>
  </si>
  <si>
    <t>LLANITOS</t>
  </si>
  <si>
    <t>PASITOS GIGANTES</t>
  </si>
  <si>
    <t>ARCO IRIS COLOR Y DIVERSION</t>
  </si>
  <si>
    <t>PRADERA BAJA</t>
  </si>
  <si>
    <t>HOGAR INFANTIL LAS ABEJITAS</t>
  </si>
  <si>
    <t xml:space="preserve">Circasia </t>
  </si>
  <si>
    <t>HOGAR INFANTIL LOS PEQUEÑINES</t>
  </si>
  <si>
    <t>Cordoba</t>
  </si>
  <si>
    <t>SAN ROQUE</t>
  </si>
  <si>
    <t>DEJANDO HUELLA</t>
  </si>
  <si>
    <t xml:space="preserve">Genova </t>
  </si>
  <si>
    <t>HOGAR INFANTIL LA ISLA</t>
  </si>
  <si>
    <t>LOS PAISITAS</t>
  </si>
  <si>
    <t>HOGAR INFANTIL PERSONITAS</t>
  </si>
  <si>
    <t>Pijao</t>
  </si>
  <si>
    <t>HOGAR INFANTIL NIÑO DE PRAGA</t>
  </si>
  <si>
    <t xml:space="preserve">Filandia </t>
  </si>
  <si>
    <t xml:space="preserve">Montenegro </t>
  </si>
  <si>
    <t>HOGAR INFANTIL PILATUNAS</t>
  </si>
  <si>
    <t>PEQUEÑAS AVENTURAS</t>
  </si>
  <si>
    <t xml:space="preserve">Quimbaya </t>
  </si>
  <si>
    <t>QUIMBAYA SOCIAL</t>
  </si>
  <si>
    <t>LUZ DEL SOL</t>
  </si>
  <si>
    <t>QUIMBAYA</t>
  </si>
  <si>
    <t>SEMILLITAS DE ESPERANZA</t>
  </si>
  <si>
    <t>CIRCASIA MI PRIMER GARABATICO</t>
  </si>
  <si>
    <t>CIRCASIA SONRISITAS</t>
  </si>
  <si>
    <t>CIRCASIA MIS HUELLITAS</t>
  </si>
  <si>
    <t>CIRCASIA MIS DOCE ANGELITOS</t>
  </si>
  <si>
    <t>CIRCASIA MI CASITA</t>
  </si>
  <si>
    <t>CIRCASIA MIS ANGELITOS</t>
  </si>
  <si>
    <t>HCB FAMI RAYITOS DE LUNA</t>
  </si>
  <si>
    <t>MONTENEGRO LOS PULLUELOS</t>
  </si>
  <si>
    <t>MONTENEGRO MI PEQUEÑO CHIQUILLIN</t>
  </si>
  <si>
    <t>MONTENEGRO PEQUEÑAS ESTRELLAS</t>
  </si>
  <si>
    <t>MONTENEGRO MIS ANGELITOS</t>
  </si>
  <si>
    <t>MONTENEGRO ESTRELLITAS DEL MAÑAN</t>
  </si>
  <si>
    <t>MONTENEGRO PEQUEÑOS EXPLORADORES</t>
  </si>
  <si>
    <t>MONTENEGRO GOTITAS DE AMOR</t>
  </si>
  <si>
    <t>MONTENEGRO LOS QUINDIANITOS</t>
  </si>
  <si>
    <t>MONTENEGRO LOS PEQUEÑINES</t>
  </si>
  <si>
    <t>MONTENEGRO COMUNERITOS</t>
  </si>
  <si>
    <t>HCB FAMI APRENDIENDO CON MAMA</t>
  </si>
  <si>
    <t>HCB FAMI RENACER</t>
  </si>
  <si>
    <t>HCB FAMI WINNIE POOH</t>
  </si>
  <si>
    <t>QUIMBAYA LOS MIMADITOS</t>
  </si>
  <si>
    <t>QUIMBAYA PROSPERANDO</t>
  </si>
  <si>
    <t>QUIMBAYA LOS GENIESITOS</t>
  </si>
  <si>
    <t>QUIMBAYA LOS NIÑOS ALEGRES</t>
  </si>
  <si>
    <t>HCB FAMI CENTRO DE ESTIMULACION CARRUSEL</t>
  </si>
  <si>
    <t>HCB FAMI GENIOS DEL MAÑANA</t>
  </si>
  <si>
    <t>HCB FAMI CENTRO DE ESTIMULACION GOTICAS DE AMOR</t>
  </si>
  <si>
    <t>TEBAIDA MI ESCUELITA</t>
  </si>
  <si>
    <t xml:space="preserve">La Tebaida </t>
  </si>
  <si>
    <t>TEBAIDA LOS OSITOS</t>
  </si>
  <si>
    <t>TEBAIDA DIAS FELICES</t>
  </si>
  <si>
    <t>TEBAIDA MIS PEQUEÑOS GENIOS</t>
  </si>
  <si>
    <t>TEBAIDA LLEGO LA ALEGRIA</t>
  </si>
  <si>
    <t>TEBAIDA ARCO IRIS</t>
  </si>
  <si>
    <t>TEBAIDA CARITAS FELICES</t>
  </si>
  <si>
    <t>TEBAIDA MUÑEQUITOS FELICES</t>
  </si>
  <si>
    <t>TEBAIDA LAS ESTRELLITAS</t>
  </si>
  <si>
    <t>TEBAIDA TRAVESURAS 1</t>
  </si>
  <si>
    <t>TEBAIDA LOS CONEJITOS</t>
  </si>
  <si>
    <t>TEBAIDA LOS PICAPIEDRAS</t>
  </si>
  <si>
    <t>TEBAIDA MIS PEQUEÑAS ESTRELLITAS</t>
  </si>
  <si>
    <t>TEBAIDA LOS PINGUINOS</t>
  </si>
  <si>
    <t>TEBAIDA COPETINES</t>
  </si>
  <si>
    <t>HCB FAMI PALABRITAS DE MAMA</t>
  </si>
  <si>
    <t>TEBAIDA SONRISITAS</t>
  </si>
  <si>
    <t>TEBAIDA MUNDO MAGICO</t>
  </si>
  <si>
    <t>TEBAIDA CASITA ENCANTADA</t>
  </si>
  <si>
    <t>TEBAIDA MIS PEQUEÑOS ANGELITOS</t>
  </si>
  <si>
    <t>MARIA AMPARO GUTIERREZ</t>
  </si>
  <si>
    <t>MARIA RUBIELA BECERRA RENTERIA</t>
  </si>
  <si>
    <t>NAYIVE OREJUELA</t>
  </si>
  <si>
    <t>SOBEIDA NUZAR RENGIFO</t>
  </si>
  <si>
    <t>SONIA ESTHER MORENO BERRIO</t>
  </si>
  <si>
    <t>HOGAR LA Y</t>
  </si>
  <si>
    <t>NIEVES ARMENCIA CAICEDO MENA</t>
  </si>
  <si>
    <t>ADELA MARTINEZ SALAZAR</t>
  </si>
  <si>
    <t>FERMINA SANCHEZ MENA</t>
  </si>
  <si>
    <t>NIVE ANDRADE CORDOBA</t>
  </si>
  <si>
    <t>MARIA ANTONIA MARTINEZ MENA</t>
  </si>
  <si>
    <t>BETTY BERMUDEZ VALENCIA</t>
  </si>
  <si>
    <t>HOGAR INFANTIL ALAMEDA REYES</t>
  </si>
  <si>
    <t>HOGAR INFANTIL TOMAS PEREZ</t>
  </si>
  <si>
    <t>HOGAR INFANTIL LA ESMERALDA</t>
  </si>
  <si>
    <t>MARIA CAROLINA RIOS CUESTA</t>
  </si>
  <si>
    <t>ELODIA ESPERANZA ARROYO MORENO</t>
  </si>
  <si>
    <t>MARIA ISABEL CORDOBA PALACIOS</t>
  </si>
  <si>
    <t>SOLIA CRUZ SANCHEZ</t>
  </si>
  <si>
    <t>MAYERLIN RENTERIA CORDOBA</t>
  </si>
  <si>
    <t>LUZ OMAIRA MARTINEZ</t>
  </si>
  <si>
    <t>CLAUDIA MILENA HINESTROZA</t>
  </si>
  <si>
    <t>ROSA CRUZ MENA GAMBOA</t>
  </si>
  <si>
    <t>KELLY JHOANA CORDOBA CHAVERRA</t>
  </si>
  <si>
    <t>YINETH PATRICIA LOZANO CORDOBA</t>
  </si>
  <si>
    <t>IDELIZA ROMAÑA CUESTA</t>
  </si>
  <si>
    <t>MARCELINA MORENO PINO</t>
  </si>
  <si>
    <t>MARTHA LUCIA MARTINEZ</t>
  </si>
  <si>
    <t>ALEJANDRINA BEJARANO SERNA</t>
  </si>
  <si>
    <t>MARIELA  MARTINEZ MENA</t>
  </si>
  <si>
    <t>MIRIAM DEL CARMEN RIVAS</t>
  </si>
  <si>
    <t>LEONOR MORENO RENTERIA</t>
  </si>
  <si>
    <t>MARIA LUZMILA PEREA MOSQUERA</t>
  </si>
  <si>
    <t>MARIA YADIRIS CORDOBA MARTINEZ</t>
  </si>
  <si>
    <t>LUZ ZENAIDA MORENO CACERES</t>
  </si>
  <si>
    <t>ROSA EMILIA HINESTROZA</t>
  </si>
  <si>
    <t>LUCY LORENA RODRIGUEZ MARTINEZ</t>
  </si>
  <si>
    <t>YESSICA MORENO PINO</t>
  </si>
  <si>
    <t>CLARA LUZ MOSQUERA MOSQUERA</t>
  </si>
  <si>
    <t>HOGAR INFANTIL SAN VICENTE LAS  MARGARITAS</t>
  </si>
  <si>
    <t>COCOROBE TUTUNENDO</t>
  </si>
  <si>
    <t>HC CIELO AMPARO RIOS ARAGON</t>
  </si>
  <si>
    <t>JOSEFINA MORENO</t>
  </si>
  <si>
    <t>MARIA REBECA ANDRADES MATURANA</t>
  </si>
  <si>
    <t>SANDRA MILENA PALACIOS</t>
  </si>
  <si>
    <t>ERIKA YOHANA MORENO MOSQUERA</t>
  </si>
  <si>
    <t>ITILIA MARTINEZ PALACIOS</t>
  </si>
  <si>
    <t>LUDYS CRISTINA MOYA SANCHEZ</t>
  </si>
  <si>
    <t>OVIDIA ANTONIA PEREA RENTERIA</t>
  </si>
  <si>
    <t>SULLI DEL CARMEN MORENO PALACIOS</t>
  </si>
  <si>
    <t>YESSENIA  MORENO BECERRA</t>
  </si>
  <si>
    <t>EVERLEDIS VIERAS SALAS</t>
  </si>
  <si>
    <t>CDI REPOSO</t>
  </si>
  <si>
    <t>MARIA NIMIA VALENCIA CAICEDO</t>
  </si>
  <si>
    <t>MIRIAM ABADIA DIAZ</t>
  </si>
  <si>
    <t>MARIA YAIR CORDOBA IBARGUEN</t>
  </si>
  <si>
    <t>YUSY YUSNEY CORDOBA MAYORAL</t>
  </si>
  <si>
    <t>MI COCOROBE ZONA MINERA</t>
  </si>
  <si>
    <t>LA HELICONIAS</t>
  </si>
  <si>
    <t>IRIS DEL CARMEN MENA MENA</t>
  </si>
  <si>
    <t>JOSEFINA ASPRILLA</t>
  </si>
  <si>
    <t>MARIA VICTORIA RENTERIA CORDOBA</t>
  </si>
  <si>
    <t>SOMOS EL FUTURO</t>
  </si>
  <si>
    <t>LUCY MARIELA FLORES CUESTA</t>
  </si>
  <si>
    <t>LUYIS ELENA TORRES CUESTA</t>
  </si>
  <si>
    <t>MARIA DEL ROSARIO MATURANA</t>
  </si>
  <si>
    <t>NIVE MARIA MOSQUERA</t>
  </si>
  <si>
    <t>YERNIS HERNOY LOPEZ MARTINEZ</t>
  </si>
  <si>
    <t>FLORALBA BANGUERA RENTERIA</t>
  </si>
  <si>
    <t>ELAINE MOSQUERA PALACIOS</t>
  </si>
  <si>
    <t>ARGENIS MOSQUERA MOSQUERA</t>
  </si>
  <si>
    <t>ANA YISNEY  PARRA MORENO</t>
  </si>
  <si>
    <t>JUANA MARIA MURILLO MENA</t>
  </si>
  <si>
    <t>LEIBNIZ VALENCIA PALOMEQUE</t>
  </si>
  <si>
    <t>LUZ PLACIDES VALENCIA</t>
  </si>
  <si>
    <t>ROSA AMPARO BEJARANO</t>
  </si>
  <si>
    <t>CRUZ MARIA ORTIZ GAMBOA</t>
  </si>
  <si>
    <t>RUBIELA ASPRILLA ASPRILLA</t>
  </si>
  <si>
    <t>MARIA LEOCADIA MOSQUERA</t>
  </si>
  <si>
    <t>MARIA VIRGINIA PINO CONRADO</t>
  </si>
  <si>
    <t>ROSA HERMINIA VALOYES CUESTA</t>
  </si>
  <si>
    <t>HOGAR INFANTIL KENNEDY</t>
  </si>
  <si>
    <t>LUZ DEL CARMEN MENA CHAVERRA</t>
  </si>
  <si>
    <t>YASMINA  CORDOBA VALENCIA</t>
  </si>
  <si>
    <t>MARIA OSIRIS PALACIOS BECERRA</t>
  </si>
  <si>
    <t>MARTINA BEJARANO MOSQUERA</t>
  </si>
  <si>
    <t xml:space="preserve">ROSA MARIA ROBLEDO </t>
  </si>
  <si>
    <t>ROSANI VALENCIA CUESTA</t>
  </si>
  <si>
    <t>MARIA RAMOS PEREA MOSQUERA</t>
  </si>
  <si>
    <t>LUZ YINETH CUESTA BALDOSEA</t>
  </si>
  <si>
    <t>YURLENY PALACIOS CUESTA</t>
  </si>
  <si>
    <t>DORIS MARIA RODRIGUEZ CORDOBA</t>
  </si>
  <si>
    <t>LUCI MARGOTH ASPRILLA</t>
  </si>
  <si>
    <t>LA CAMPANITA</t>
  </si>
  <si>
    <t>NUBIA  ESTEVEZ VITUCAY</t>
  </si>
  <si>
    <t>JUANA PAULA MORENO ZAPATA</t>
  </si>
  <si>
    <t>YARI XIOMARA RENTERIA CORDOBA</t>
  </si>
  <si>
    <t>BETTSY CORDOBA</t>
  </si>
  <si>
    <t>LINA MARIA CORDOBA MARTINEZ</t>
  </si>
  <si>
    <t>MI SEGUNDO HOGAR ROSALES</t>
  </si>
  <si>
    <t>YANSY MURILLO HINESTROZA</t>
  </si>
  <si>
    <t>ROCIO RENTERIA TAPIAS</t>
  </si>
  <si>
    <t>MARTHA CECILIA PALACIOS IBARGUEN</t>
  </si>
  <si>
    <t>ALBA CECILIA ASPRILLA HURTADO</t>
  </si>
  <si>
    <t>ADRIANA PALOMEQUE PALACIOS</t>
  </si>
  <si>
    <t>Agente Educativo</t>
  </si>
  <si>
    <t>FRANCIA JULIA GUTIERREZ PALACIOS</t>
  </si>
  <si>
    <t>MARIA MELIDA BORJA CORREA</t>
  </si>
  <si>
    <t>NURY DEL CARMEN PALACIOS CUESTA</t>
  </si>
  <si>
    <t>SULIMA STELLA PALACIOS LORA</t>
  </si>
  <si>
    <t>CARMEN SORAYA PALACIOS MOSQUERA</t>
  </si>
  <si>
    <t>YENNI JHOANA CHAVERRA HINESTROZA</t>
  </si>
  <si>
    <t xml:space="preserve"> DOMINGA PEREA CUESTA</t>
  </si>
  <si>
    <t>JUANA ROMAÑA VALOYES</t>
  </si>
  <si>
    <t>ANA MERCEDES MOSQUERA MOSQUERA</t>
  </si>
  <si>
    <t>CLARA INES PLAZA PASTRANA</t>
  </si>
  <si>
    <t>BERTHA EMILIA ASPRILLA MOSQUERA</t>
  </si>
  <si>
    <t xml:space="preserve"> MARY CRUZ RENTERIA CORDOBA</t>
  </si>
  <si>
    <t xml:space="preserve"> MARITZA MORENO PALACIOS</t>
  </si>
  <si>
    <t>MARIA ROCIO CLARETTE</t>
  </si>
  <si>
    <t>FLOREZ DE JARDIN</t>
  </si>
  <si>
    <t>ANA TERESA BEJARANO CORDOBA</t>
  </si>
  <si>
    <t>MARIA ANTONIA SERNA MOSQUERA</t>
  </si>
  <si>
    <t>CANDELARIA CORDOBA CORDOBA</t>
  </si>
  <si>
    <t>DOLLY DEL CARMEN PALMA</t>
  </si>
  <si>
    <t>MARIA CELINA MOSQUERA HINESTROZA</t>
  </si>
  <si>
    <t>ANA FELIPA MENA CORDOBA</t>
  </si>
  <si>
    <t>DAMARIS RAGA HURTADO</t>
  </si>
  <si>
    <t>DIRLA RODRIGUEZ CORDOBA</t>
  </si>
  <si>
    <t>EVAN SETHER PADILLA VALOYES</t>
  </si>
  <si>
    <t>SOL MARIA CORDOBA CAICEDO</t>
  </si>
  <si>
    <t>MICHELEE CHAPARRO MENA</t>
  </si>
  <si>
    <t>MARITZA RODRIGUEZ PALACIOS</t>
  </si>
  <si>
    <t>SANDRA MILENA PERLAZA URRUTIA</t>
  </si>
  <si>
    <t>MARIA FABIOLA GUERRERO HINESTROZA</t>
  </si>
  <si>
    <t>YAMILETH ORTIZ RODRIGUEZ</t>
  </si>
  <si>
    <t>LUZ YENEDITH DIAZ ESCOBAR</t>
  </si>
  <si>
    <t>ROCIBEL MOSQUERA PEREA</t>
  </si>
  <si>
    <t>AURA MANUELA MOSQUERA CORDOBA</t>
  </si>
  <si>
    <t>YESSIKA CUESTA RENTERIA</t>
  </si>
  <si>
    <t>GLORIA LEYDA  MOSQUERA MOSQUERA</t>
  </si>
  <si>
    <t>APARICIA CORDOBA RAGA</t>
  </si>
  <si>
    <t xml:space="preserve"> MARTHA CECILIA PADILLA MENA</t>
  </si>
  <si>
    <t>SIRIS LEONOR CUESTA RENTERIA</t>
  </si>
  <si>
    <t xml:space="preserve">GLORIA CRISTINA CEBALLOS </t>
  </si>
  <si>
    <t>CLAUDIA PATRICIA RAMOS MENA</t>
  </si>
  <si>
    <t>FANNY MILENA CUESTA MENA</t>
  </si>
  <si>
    <t>EMERIS  PALACIOS MENA</t>
  </si>
  <si>
    <t>ANA YARLEY LENIS BERRIO</t>
  </si>
  <si>
    <t>FRANCISCA YANETH PARRA</t>
  </si>
  <si>
    <t>TRINIDAD PALACIOS ORTIZ</t>
  </si>
  <si>
    <t>MIGUELINA MORENO</t>
  </si>
  <si>
    <t>HOGAR INFANTIL NICOLAS MEDRANO</t>
  </si>
  <si>
    <t>SANDRA CRISTINA CORDOBA CORDOBA</t>
  </si>
  <si>
    <t>MARIA ISABEL QUEJADA MENA</t>
  </si>
  <si>
    <t>YERLYN SOLIS MORENO</t>
  </si>
  <si>
    <t>DOMINGA GARCIA MENA</t>
  </si>
  <si>
    <t>ROSA MERCEDES MENA RENTERÍA</t>
  </si>
  <si>
    <t>LUZ MILA MENA PALACIOS</t>
  </si>
  <si>
    <t>ANA BERCELIA ROMAÑA</t>
  </si>
  <si>
    <t xml:space="preserve"> ROSA EMILIA VITUCAY</t>
  </si>
  <si>
    <t xml:space="preserve"> FLORA DEL CARMEN PANESSO DIAZ</t>
  </si>
  <si>
    <t>FANNY  RENTERIA ARROYO</t>
  </si>
  <si>
    <t>ELIZABETH RODRIGUEZ PALACIOS</t>
  </si>
  <si>
    <t>MARIA SILVIA LOPEZ</t>
  </si>
  <si>
    <t>LUCELIA ARCE BOROCUARA</t>
  </si>
  <si>
    <t>YANISETH  PALACIOS GAMBOA</t>
  </si>
  <si>
    <t>MARIA GLADIS MARMOLEJO MOSQUERA</t>
  </si>
  <si>
    <t>VICENTA CORDOBA MURILLO</t>
  </si>
  <si>
    <t>NUBIA MARIA MORENO PALOMEQUE</t>
  </si>
  <si>
    <t>CERVELINA CORDOBA CUESTA</t>
  </si>
  <si>
    <t>MARIA NORFELINA ZUÑIGA MOSQUERA</t>
  </si>
  <si>
    <t>FRANCISCA CHALA MORENO</t>
  </si>
  <si>
    <t>HOGAR INFANTIL HUAPANGO</t>
  </si>
  <si>
    <t>DEPARTAMENTO</t>
  </si>
  <si>
    <t>MISIONAL</t>
  </si>
  <si>
    <t>TIPOLOGÍA</t>
  </si>
  <si>
    <t>NOMBRE DE LA INFRAESTRUCTURA</t>
  </si>
  <si>
    <t>INDIQUE SI INFRAESTRUCTURA ES O NO ES PROPIA</t>
  </si>
  <si>
    <t>TIPO DE AFECTACIÓN</t>
  </si>
  <si>
    <t>ESTADO</t>
  </si>
  <si>
    <t>GRADO DE AFECTACIÓN</t>
  </si>
  <si>
    <t>OBSERVACIÓN</t>
  </si>
  <si>
    <t xml:space="preserve">Valle del Cauca </t>
  </si>
  <si>
    <t>Jamundí</t>
  </si>
  <si>
    <t>INFANCIAS Y ADOLESCENCIAS</t>
  </si>
  <si>
    <t>A</t>
  </si>
  <si>
    <t>Casa Atrapasueños Jamundí</t>
  </si>
  <si>
    <t xml:space="preserve">No </t>
  </si>
  <si>
    <t>Se identificaron afectaciones en la infraestructura como consecuencia del movimiento sísmico, principalmente en elementos de mampostería, cielorrasos, luminarias, cerramientos y ventanales.</t>
  </si>
  <si>
    <t>En el marco de la visita técnica estructural realizada al inmueble, se emitió concepto técnico favorable respecto a sus condiciones de habitabilidad y a la evaluación de los riesgos asociados a la infraestructura.</t>
  </si>
  <si>
    <t>En el marco de la visita técnica estructural realizada al inmueble, se emitió concepto técnico favorable, determinando que este presenta condiciones adecuadas de seguridad, estabilidad estructural y habitabilidad para el retorno a la presencialidad; en consecuencia, el grado de afectación general de la infraestructura se considera medio.</t>
  </si>
  <si>
    <t>Realizar la revisión y el mantenimiento preventivo y/o correctivo de los elementos de mampostería, cielorrasos, cerramientos y ventanales, con el fin de atender las afectaciones identificadas y contribuir a la conservación de las condiciones adecuadas de seguridad y habitabilidad del inmueble.</t>
  </si>
  <si>
    <t xml:space="preserve">Guadalajara de Buga </t>
  </si>
  <si>
    <t xml:space="preserve">Casa Atrapasueños Guadalajara de Buga </t>
  </si>
  <si>
    <t>Si</t>
  </si>
  <si>
    <t>Se identificaron afectaciones en la infraestructura como consecuencia del movimiento sísmico, principalmente en elementos de mampostería por grietas en columnas.</t>
  </si>
  <si>
    <t>Se cuenta con concepto técnico favorable de habitabilidad del inmueble, sujeto al cumplimiento de las recomendaciones de mantenimiento establecidas, orientadas a conservar condiciones adecuadas de seguridad y funcionalidad de la infraestructura.</t>
  </si>
  <si>
    <t>Se requiere realizar mantenimiento preventivo de la infraestructura, como la reparación, resane, tratamiento y acabado de las grietas y fisuras identificadas en muros y superficies provocadas por el movimiento telurico, de acuerdo con las recomendaciones técnicas establecidas, con el fin de prevenir el avance del deterioro y mantener condiciones adecuadas de seguridad y conservación para la prestación del servicio.</t>
  </si>
  <si>
    <t xml:space="preserve">Casa Atrapasueños Candelaria Sofia </t>
  </si>
  <si>
    <t>La afectación ocasionada por el movimiento sísmico se clasifica como no estructural, evidenciándose principalmente en elementos y acabados de la infraestructura, sin comprometer su estabilidad estructural.</t>
  </si>
  <si>
    <t>La afectación ocasionada por el movimiento sísmico se clasifica como no estructural y de grado bajo, sin comprometer las condiciones de estabilidad, seguridad y habitabilidad del inmueble.</t>
  </si>
  <si>
    <t>Como consecuencia del sismo del 10 de agosto, se identificaron afectaciones no estructurales en el salón de encuentros familiares (Salón Jungla), consistentes en fisuras en el cielo raso con desprendimiento de material granular, así como apertura de perfiles y desajuste de los vidrios en las puertas-ventanas; por lo anterior, se requiere realizar la revisión, resane y reparación de las zonas afectadas, además del ajuste de la ventanería, con el fin de prevenir desprendimientos y garantizar condiciones adecuadas de seguridad para la prestación del servicio.</t>
  </si>
  <si>
    <t>B</t>
  </si>
  <si>
    <t>Casa Atrapasueños  Cali</t>
  </si>
  <si>
    <t>Se evidencian fisuras y grietas en diferentes elementos de la infraestructura, las cuales requieren revisión, seguimiento y mantenimiento para prevenir su progresión y conservar las condiciones adecuadas de seguridad y habitabilidad del inmueble.</t>
  </si>
  <si>
    <t>Durante el recorrido se identificó una fisura pasante en la mampostería del cuarto técnico. Tras su evaluación, se determina que corresponde a una dilatación por interacción de materiales tras el evento sísmico y no a una falla del sistema portante.</t>
  </si>
  <si>
    <t>La fisura identificada corresponde a una afectación no estructural que requiere tratamiento y resane mediante inyección o aplicación de masilla elastomérica, sin comprometer la estabilidad global de la estructura; por lo anterior, se cuenta con concepto favorable para el retorno a la normalidad operativa de las instalaciones.</t>
  </si>
  <si>
    <t>REGIONAL </t>
  </si>
  <si>
    <t>AREA </t>
  </si>
  <si>
    <t>AFECTACIÓN</t>
  </si>
  <si>
    <t>¿ESTA EN OPERACIÓN LA INFRAESTRUCTURA? (SI/NO)</t>
  </si>
  <si>
    <t>¿QUE ACCIONES SE IMPLEMENTARON ANTE LA NO OPERACIÓN?</t>
  </si>
  <si>
    <t>FUE VISITADA POR EL GII/INGENIERO (FECHA)</t>
  </si>
  <si>
    <t>CONCEPTO GII CON INFORMES DE REGIONALES</t>
  </si>
  <si>
    <t> VALOR INICIAL ESTIMADO DE INTERVENCIÓN  </t>
  </si>
  <si>
    <t>YA SE REPORTO EL SINIESTRO? (SI/NO/NA)</t>
  </si>
  <si>
    <t>SE HIZO VISITA AJUSTADOR? (SI/NO/N.A)</t>
  </si>
  <si>
    <t>FECHA DE VISITA REALIZADA O POR REALIZAR DEL AJUSTADOR</t>
  </si>
  <si>
    <t> ESTADO DE LA COTIZACIÓN</t>
  </si>
  <si>
    <t> FECHA DE RADICACIÓN  DE COTIZACIÓN A ASEGURADORA</t>
  </si>
  <si>
    <t>VALOR COTIZACIÓN REPORTADA A ASEGURADORA</t>
  </si>
  <si>
    <t>FECHA DE RESPUESTA DE VALIDACIÓN DE ASEGURADORA</t>
  </si>
  <si>
    <t>CUANTÍA AVALADA POR LA ASEGURADORA</t>
  </si>
  <si>
    <t>SE PUEDE INGRESAR A TEMAS DOCUMENTALES? SI/NO</t>
  </si>
  <si>
    <t>SE PUEDE INGRESAR A LA INFRAESTRUCTURA A HACER ASEO, RECOGER EQUIPOS EN EL PISO, ENTRE OTROS? SI/NO/NA</t>
  </si>
  <si>
    <t>FUNCIONA ENERGIA</t>
  </si>
  <si>
    <t>FUNCIONA AGUA</t>
  </si>
  <si>
    <t>FUNCIONA GAS</t>
  </si>
  <si>
    <t>CONTACTO PARA ASEGURADORA</t>
  </si>
  <si>
    <t>TIPO DE INTERVENCIÓN </t>
  </si>
  <si>
    <t>SEGURO</t>
  </si>
  <si>
    <t>DIRECCIÓN</t>
  </si>
  <si>
    <t>CÓDIGO DE LA UDS</t>
  </si>
  <si>
    <t>NOMBRE DE LA UDS</t>
  </si>
  <si>
    <t> SERVICIO </t>
  </si>
  <si>
    <t> ESTÁ PRESTANDO SERVICIO </t>
  </si>
  <si>
    <t> PARTICIPANTES ACTIVOS </t>
  </si>
  <si>
    <t> </t>
  </si>
  <si>
    <t>MEDELLÍN</t>
  </si>
  <si>
    <t>SEDES ADMINISTRATIVAS</t>
  </si>
  <si>
    <t>REGIONAL</t>
  </si>
  <si>
    <t>SEDE REGIONAL</t>
  </si>
  <si>
    <t>PROPIA</t>
  </si>
  <si>
    <t>Aumento de fisuras a grietas</t>
  </si>
  <si>
    <t>Durante la visita técnica realizada por el arquitecto Juan Castillo y el ajustador de AVACO, se evidenciaron fisuras y grietas en la escalera, el cielo falso del aula múltiple y diversos muros de la edificación. En consecuencia, se requieren las siguientes intervenciones:
Reparación de la junta de dilatación entre muros (h = 3,50 m).
Reparación de grietas en muros, con resane y acabado.
Reparación de grietas en la escalera de concreto (5 puntos).
Construcción de columna de confinamiento para soporte de muro exterior (h = 8,00 m).
Reparación de afectaciones locativas derivadas del movimiento sísmico.
Reparación o reemplazo del elemento superior de concreto de la ventana oficina de control y calidad
Se identificaron grietas y dilataciones en muros, afectaciones en la escalera de concreto, cielorraso del aula múltiple, muro exterior y elemento superior de la ventana de la oficina de Aseguramiento a la Calidad. La infraestructura permanece operativa.</t>
  </si>
  <si>
    <t>SI</t>
  </si>
  <si>
    <t>N/A</t>
  </si>
  <si>
    <t>JUAN CASTILLO - 19/08/2026
VALENTINA - 19/08/2026</t>
  </si>
  <si>
    <t xml:space="preserve">SI </t>
  </si>
  <si>
    <t>RADICADO A LA ASEGURADORA</t>
  </si>
  <si>
    <t xml:space="preserve">Coordinador Administrativo:
María Jimena Gil Rendon  
3117680609
57(604) 409 34 40  Ext. 400231    
Maria.Gil@icbf.gov.co   
Arquitecto y/o Ingeniero Regional
Carlos José Cruz García 
CarlosJ.Cruz@icbf.gov.co
Ferley.Castillo@icbf.gov.co
3204106263 – 3207204923
</t>
  </si>
  <si>
    <t xml:space="preserve">ADECUACIONES Y MANTENIMIENTO </t>
  </si>
  <si>
    <t>Asegurado</t>
  </si>
  <si>
    <t>C 45 79 141-49</t>
  </si>
  <si>
    <t>BELLO</t>
  </si>
  <si>
    <t>CZ</t>
  </si>
  <si>
    <t xml:space="preserve">CENTRO ZONAL ABURRA NORTE </t>
  </si>
  <si>
    <t>Daños menores</t>
  </si>
  <si>
    <t xml:space="preserve">FISURAS EN MUROS, LAS ADECUACIONES SERAN ATENDIDAS POR LOS TODEROS DE LA REGIONAL </t>
  </si>
  <si>
    <t xml:space="preserve"> </t>
  </si>
  <si>
    <t xml:space="preserve">NO APLICA </t>
  </si>
  <si>
    <t xml:space="preserve">AV 42B 53 05 </t>
  </si>
  <si>
    <t>ITAGÜI</t>
  </si>
  <si>
    <t>CENTRO ZONAL ABURRA SUR</t>
  </si>
  <si>
    <t xml:space="preserve">ARRIENDO </t>
  </si>
  <si>
    <t>FISURAS EN MUROS ADECUACIÓN POR PARTE DEL PROPIETARIO</t>
  </si>
  <si>
    <t>CENTRO ZONAL LA FLORESTA</t>
  </si>
  <si>
    <t xml:space="preserve">FISURAS CIELOS RASOS Y MUROS </t>
  </si>
  <si>
    <t>JUAN CASTILLO - 20/08/2026</t>
  </si>
  <si>
    <t>Sede 1: Carrera 83 # 47 A - 47</t>
  </si>
  <si>
    <t>CESPA FLORESTA</t>
  </si>
  <si>
    <t>NO PROPIA</t>
  </si>
  <si>
    <t>Fisiuras en juntas entre columnas y muros, fisuras en cielorasos.</t>
  </si>
  <si>
    <t>JUAN CASTILLO - 19/08/2026</t>
  </si>
  <si>
    <t>DESISTIDO</t>
  </si>
  <si>
    <t>URRAO</t>
  </si>
  <si>
    <t>CENTRO ZONAL PENDERISCO</t>
  </si>
  <si>
    <t>FISURAS EN PAREDES</t>
  </si>
  <si>
    <t xml:space="preserve">NO </t>
  </si>
  <si>
    <t>Calle 29 # 29 - 43</t>
  </si>
  <si>
    <t>CENTRO ZONAL NOROCCIDENTAL</t>
  </si>
  <si>
    <t>Durante la visita técnica realizada por el arquitecto Juan Castillo y el ajustador de AVACO, se evidenciaron fisuras en la escalera, el cielo falso del aula múltiple y otros elementos de la edificación. Como resultado de la inspección, se requieren las siguientes intervenciones:
Reparación de juntas entre vigas por separación debido al movimiento sísmico.
Reparación de filtración en viga canal.
Reparación de juntas perimetrales en puertas de acceso.
Reparación de grietas en muros.
Suministro e instalación de vidrios de 3,00 × 3,00 m.
Retiro y reposición de baldosas cerámicas deterioradas.</t>
  </si>
  <si>
    <t xml:space="preserve"> Juan Castillo - 19/08/2026</t>
  </si>
  <si>
    <t xml:space="preserve">Calle 45 # 79 - 141 </t>
  </si>
  <si>
    <t>MEDELLIN</t>
  </si>
  <si>
    <t>CENTRO ZONAL NORORIENTAL (CENTRO)</t>
  </si>
  <si>
    <t>Fisuras menores (no estructural); </t>
  </si>
  <si>
    <t>DABEIBA</t>
  </si>
  <si>
    <t>CENTRO ZONAL OCCIDENTE MEDIO</t>
  </si>
  <si>
    <t xml:space="preserve">FISURAS SOBRE MUROS </t>
  </si>
  <si>
    <t>ANDES</t>
  </si>
  <si>
    <t>CENTRO ZONAL SUROESTE</t>
  </si>
  <si>
    <t>COMODATO ASEGURABLE</t>
  </si>
  <si>
    <t xml:space="preserve">FISURAS SOBRE MUROS Y CIELO RASO </t>
  </si>
  <si>
    <t>C 49 49A 39 P 1</t>
  </si>
  <si>
    <t>BOGOTÁ</t>
  </si>
  <si>
    <t>DG</t>
  </si>
  <si>
    <t>DIRECCIÓN GENERAL</t>
  </si>
  <si>
    <t>Daño en redes de agua/alcantarillado; </t>
  </si>
  <si>
    <t xml:space="preserve">VERIFICADO </t>
  </si>
  <si>
    <t xml:space="preserve">Daño en tuberia de suministro de 3" de la SDG. </t>
  </si>
  <si>
    <t>EN ELABORACIÓN CUADRO DE CANTIDADES</t>
  </si>
  <si>
    <t>Hector Ortega 
3187947369
Daniel Gomez
3115139859</t>
  </si>
  <si>
    <t>Reparacion de Tuberia Hidraulica.</t>
  </si>
  <si>
    <t>CENTRO ZONAL SUBA</t>
  </si>
  <si>
    <t xml:space="preserve">FISURA EN MURO PRIMER PISO </t>
  </si>
  <si>
    <t>Coordinador Administrativo:
Doralice Pinzón Aguirre
3112637066 
 57(601) 3241900 Ext.106040
Doralice.Pinzon@icbf.gov.co
Arquitecto y/o Ingeniero Regional
Juan Manuel Calderón Torres 
Juan.Calderon@icbf.gov.co 
3174827867       
Mario Fernando Alba Arcila
Mario.Alba@icbf.gov.co</t>
  </si>
  <si>
    <t>MANIZALES</t>
  </si>
  <si>
    <t>Estructural (  grietas -  colapso parcial); </t>
  </si>
  <si>
    <t>La edificación presenta afectaciones severas, evidenciadas en el desprendimiento y colapso parcial de elementos no estructurales, aunque no se registró el colapso total, se observaron fallas importantes, incluyendo el colapso parcial de muros en el punto fijo, desprendimiento de cielorrasos, grietas en la fachada y deterioro de elementos de mampostería, lo que refleja un nivel significativo de afectación en la infraestructura. No habitable. Ingreso para rescate de equipos y documentación solo bomberos. 11/08/2026
El dia 19/08/2026 se realizó visita a inmueble tipo coworking unbicado en la Calle 50 entre carreras 23 y 24 No. 23-47 para validar condiciones para el traslado temporal de Sede Regional y CZ Manizales 1. Se habilitaran 103 puestos de trabajo. 
Ya se envío concepto favorable a Regional para tomar en arriendo el inmueble. 
Regional se encuentra a la espera de definicion de como suscribir contrato de arrendamiento.
Elementos Estructurales que hacen parte del sistema resistente:
- Grietas en columnas y nudos (conexión entre vigas - columnas) en Pisos 2, 3 y 4.
- Pérdida de sección en vigas y columnas por desprendimiento de recubrimiento.
Elementos estructurales que no hacen parte del sistema resistente:
Escaleras: Grietas severas en la viga de apoyo en los niveles 2, 3 y 4 y en el muro de cerramiento de este punto fijo. Circulación restringida.
Elementos no estructurales y Acabados:
- Falla en un alto porcentaje de muros en mampostería con colapso parcial en algunos de estos. 
- Fisuraciones leves en muros divisorios en drywall.
- Quiebre de puertas y ventanas en vidrio
- Descuelgue de paneles de cielo raso y luminarias
- Desprendimiento de Guardaescobas
- Desprendimiento de enchapes en baños y cocinas.
- 09/09/2026 Se encuentra en aprobación del inmueble propuesto</t>
  </si>
  <si>
    <t>El dia 19/08/2026 se realizó visita a inmueble tipo coworking unbicado en la Calle 50 entre carreras 23 y 24 No. 23-47 para validar condiciones para el traslado temporal de Sede Regional y CZ Manizales 1. Se habilitaran 103 puestos de trabajo. 
Ya se envío concepto favorable a Regional para tomar en arriendo el inmueble. 
Regional se encuentra a la espera de definicion de como suscribir contrato de arrendamiento.</t>
  </si>
  <si>
    <t>VULNERABILIDAD</t>
  </si>
  <si>
    <t>Coordinador Administrativo:
Gloria del Pilar Martinez Muñoz
3116212492
Gloria.Martinez@icbf.gov.co
Arquitecto y/o Ingeniero Regional
Juan Manuel Carvajal
Juan.CarvajalL@icbf.gov.co
3013363254</t>
  </si>
  <si>
    <t>OBRA NUEVA</t>
  </si>
  <si>
    <t>K 23 39 60</t>
  </si>
  <si>
    <t xml:space="preserve">CENTRO ZONAL MANIZALES 2 </t>
  </si>
  <si>
    <t>Funciona en el mismo predio de la Regional . La edificación presenta afectaciones severas, evidenciadas en el desprendimiento y colapso parcial de elementos no estructurales, aunque no se registró el colapso total, se observaron fallas importantes, incluyendo el colapso parcial de muros en el punto fijo, desprendimiento de cielorrasos, grietas en la fachada y deterioro de elementos de mampostería, lo que refleja un nivel significativo de afectación en la infraestructura. No habitable. Ingreso para rescate de equipos y documentación solo bomberos. 11/08/2026
La opción de traslado definitivo de sede se tiene en una infraestructura en cosntrucción que termina en dos meses, mientras se tiene teletrabajo, puestos en sede el triangulo y en posible coworking. El día 19/08/2026 se visito inmueble en contrucción, se evidencia que se encuentra en fase de cimentación. 
El dia 19/08/2026 se realizó visita a inmueble tipo coworking unbicado en la Calle 50 entre carreras 23 y 24 No. 23-47 para validar condiciones para el traslado temporal de Sede Regional y CZ Manizales 1. Se habilitaran 103 puestos de trabajo. 
Ya se envío concepto favorable a Regional para tomar en arriendo el inmueble. 
Regional se encuentra a la espera de definicion de como suscribir contrato de arrendamiento.
Esta sede funciona en el  mismo inmueble de la Sede Regional
Elementos Estructurales que hacen parte del sistema resistente:
- Grietas en columnas y nudos (conexión entre vigas - columnas) en Pisos 2, 3 y 4.
- Pérdida de sección en vigas y columnas por desprendimiento de recubrimiento.
Elementos estructurales que no hacen parte del sistema resistente:
Escaleras: Grietas severas en la viga de apoyo en los niveles 2, 3 y 4 y en el muro de cerramiento de este punto fijo. Circulación restringida.
Elementos no estructurales y Acabados:
- Falla en un alto porcentaje de muros en mampostería con colapso parcial en algunos de estos. 
- Fisuraciones leves en muros divisorios en drywall.
- Quiebre de puertas y ventanas en vidrio
- Descuelgue de paneles de cielo raso y luminarias
- Desprendimiento de Guardaescobas
- Desprendimiento de enchapes en baños y cocinas.</t>
  </si>
  <si>
    <t>CENTRO ZONAL MANIZALES 1</t>
  </si>
  <si>
    <r>
      <rPr>
        <sz val="11"/>
        <color rgb="FF000000"/>
        <rFont val="Aptos Narrow"/>
        <scheme val="minor"/>
      </rPr>
      <t>Aunque la edificación no presentó colapso total, se registró el colapso de un muro ubicado en el segundo piso sobre la fachada, adicionalmente, se observan grietas considerables en la fachada principal, evidenciando daños relevantes. </t>
    </r>
    <r>
      <rPr>
        <b/>
        <sz val="11"/>
        <color rgb="FF000000"/>
        <rFont val="Aptos Narrow"/>
        <scheme val="minor"/>
      </rPr>
      <t>No habitable</t>
    </r>
    <r>
      <rPr>
        <sz val="11"/>
        <color rgb="FF000000"/>
        <rFont val="Aptos Narrow"/>
        <scheme val="minor"/>
      </rPr>
      <t xml:space="preserve">. Ingreso para rescate de equipos y documentación solo bomberos. 11/08/2026
El dia 19/08/2026 se realizó visita a inmueble tipo coworking unbicado en la Calle 50 entre carreras 23 y 24 No. 23-47 para validar condiciones para el traslado temporal de Sede Regional y CZ Manizales 1. Ya se envío concepto favorable a Regional para tomar en arriendo el inmueble. 
Regional se encuentra a la espera de definicion de como suscribir contrato de arrendamiento.
Esta sede no tiene permiso de ingreso en el momento de la visita. Operaba en el Piso 1 de un edificio de 4 niveles. Lo que se evidencia desde el exterior de la edificación es: 
Elementos no estructurales y Acabados:
- Falla en un alto porcentaje de muros en mampostería con colapso parcial en algunos de estos. 
- Descuelgue de paneles de cielo raso y luminarias
- 09/09/2026 Ya se encuentra operando en sede temporal </t>
    </r>
  </si>
  <si>
    <t xml:space="preserve">El dia 19/08/2026 se realizó visita a inmueble tipo coworking unbicado en la Calle 50 entre carreras 23 y 24 No. 23-47 para validar condiciones para el traslado temporal de Sede Regional y CZ Manizales 1. Ya se envío concepto favorable a Regional para tomar en arriendo el inmueble. 
</t>
  </si>
  <si>
    <t xml:space="preserve">OBRA NUEVA </t>
  </si>
  <si>
    <t>SALAMINA</t>
  </si>
  <si>
    <t>CENTRO ZONAL NORTE</t>
  </si>
  <si>
    <t xml:space="preserve">FUNCIONAMIENTO </t>
  </si>
  <si>
    <t xml:space="preserve">No hubo colapso de estructuras, se vendencian grietas de menor magnitud - desprendimiento de cielo raso y laminas de tejas.
El 21/08/2026, el Arq. Javier Mora realiza la visita con el ajustador </t>
  </si>
  <si>
    <t>JAVIER MORA - 21/08/2026</t>
  </si>
  <si>
    <t>K 6 6 36 40</t>
  </si>
  <si>
    <t>CHINCHINÁ</t>
  </si>
  <si>
    <t>CENTRO ZONAL DEL CAFE ANTIGUO PRECOOSALUDCOOP</t>
  </si>
  <si>
    <t xml:space="preserve">
14/08/2026 El centro zonal se encuentra operando con normalidad</t>
  </si>
  <si>
    <t>C 14 2 30</t>
  </si>
  <si>
    <t>CENTRO ZONAL ORIENTE</t>
  </si>
  <si>
    <t>FUNCIONAMIENTO</t>
  </si>
  <si>
    <t xml:space="preserve">Se evidenciaron fisuras sobre muros </t>
  </si>
  <si>
    <t>C 5 4 56</t>
  </si>
  <si>
    <t>MANZANARES</t>
  </si>
  <si>
    <t>CENTRO ZONAL SUR ORIENTE</t>
  </si>
  <si>
    <t xml:space="preserve">SE EVIDENCIARON FISURAS MENORES </t>
  </si>
  <si>
    <t>K 5 7 02 06 L 1 - K 5 7 12 L 2 - C 7 4 86 Ap 2 P 2</t>
  </si>
  <si>
    <t>CENTRO ZONAL SURORIENTE 1</t>
  </si>
  <si>
    <t xml:space="preserve">MANIZALES </t>
  </si>
  <si>
    <t>CESPA MANIZALES</t>
  </si>
  <si>
    <t xml:space="preserve">NO APLICA EVACUACION </t>
  </si>
  <si>
    <t xml:space="preserve"> -Área administrativa – oficina: se evidencia una grieta en la pared. 
-Espacio pedagógicos salón caminadores y jardín : se evidencian grietas en la pared.
Unidades sanitarias de adultos: se evidencian grietas en las paredes.</t>
  </si>
  <si>
    <t>K 18 27 23</t>
  </si>
  <si>
    <t>NO APARECE</t>
  </si>
  <si>
    <t>POPAYÁN</t>
  </si>
  <si>
    <t>Desprendimiento de cielorraso, y luminarias 
La visita con el ajustador se encuentra pendiente ya que el aeropuerto se encuentra cerrado por emergencia a raiz del volcán. 
La cotizacion la remiten  el 10 de septiembre de 2026</t>
  </si>
  <si>
    <t>COTIZACIÓN RECIBIDA EN REVISION POR PARTE DEL GII</t>
  </si>
  <si>
    <t>Coordinador Administrativo:
Claudia Giovanna Munoz Muñoz
3175085361- 3155897611
ClaudiaG.Munoz@icbf.gov.co
Arquitecto y/o Ingeniero Regional
Marvin Darwin Martinez Bermúdez
Marvin.Martinez@icbf.gov.co
3015490839</t>
  </si>
  <si>
    <t>K 26 5 120</t>
  </si>
  <si>
    <t xml:space="preserve">BOLIVAR </t>
  </si>
  <si>
    <t xml:space="preserve">CENTRO ZONAL MACIZO COLOMBIANO </t>
  </si>
  <si>
    <t xml:space="preserve">Grietas y fisuras en muros internos, asi mismo en escaleras
Por condiciones de orden publico no se ha podido  realizar la cotización, pero el traslado ha sido imposible.
La visita con el ajustador se encuentra pendiente ya que el aeropuerto se encuentra cerrado por emergencia a raiz del volcán </t>
  </si>
  <si>
    <t>K 5 9 43 45</t>
  </si>
  <si>
    <t>AGUSTÍN CODAZZI</t>
  </si>
  <si>
    <t>CENTRO ZONAL CODAZZI</t>
  </si>
  <si>
    <t>Las afectaciones identificadas corresponden a fisuras leves en elementos constructivos no estructurales. A la fecha, no se evidencian daños que comprometan la estabilidad o el adecuado funcionamiento estructural de la edificación, ni condiciones que representen riesgo para la continuidad de la operación de la sede.
Teniendo en cuenta el bajo nivel de afectación observado, las actividades requeridas para la corrección de dichas fisuras podrán ser atendidas mediante el contrato de ferretería y toderos vigente, toda vez que corresponden a intervenciones menores cuyos costos son reducidos y no requieren la ejecución de obras especializadas.</t>
  </si>
  <si>
    <t xml:space="preserve"> $                        150.000.000,00</t>
  </si>
  <si>
    <t>Coordinador Administrativo:
Marco Tulio Moreno Raudales
3505559000
Marco.Moreno@icbf.gov.co
Arquitecto y/o Ingeniero Regional
Sebastian Olivella Acosta
Sebastian.Olivella@icbf.gov.co
3152447255</t>
  </si>
  <si>
    <t>C 22 15 57</t>
  </si>
  <si>
    <t>MELUK</t>
  </si>
  <si>
    <t>CENTRO ZONAL BAUDO</t>
  </si>
  <si>
    <t>CONVENIO</t>
  </si>
  <si>
    <t>DESPLOME DE MURO DE CERRAMIENTO , AGRIETAMIENTO EN UNION DE MUROS</t>
  </si>
  <si>
    <t>Coordinador Administrativo:
Yefferson Valencia Mosquera
3116474241
Yefferson.Valencia@icbf.gov.co
Arquitecto y/o Ingeniero Regional
Danny Enrique Delgado Albornoz
Danny.Delgado@icbf.gov.co
3218158999</t>
  </si>
  <si>
    <t>La obligación es delmunicipio</t>
  </si>
  <si>
    <t>QUIBDÓ</t>
  </si>
  <si>
    <t>*La infraestructura no evidencio durante su recorrido afectaciones en sus elementos
estructurales (Vigas, Columnas, losas de entrepiso) Por lo que no se observaron factores que puedan representar un riesgo de colapso parcial o total de la edificación.
*Las afectaciones evidenciadas en muros en los tres niveles de la edificación obedecen a la aparición de juntas de dilatación entre elementos estructurales y no estructurales que componen la edificación, estas dilataciones, predominantemente verticales se producen con ocasión al desplazamiento relativo entre elementos separados entre sí, y no implican un riesgo de colapso de elementos estructurales y no estructurales. 
*Respecto de elementos no estructurales, también se observaron fisuras verticales y
diagonales. Aunque su espesor no representa un riesgo inminente de colapso de estos elementos, se debe realizar la intervención de estos elementos mediante la escarificación del acabado para evaluar el estado de las unidades de mampostería afectadas por estas fisuras, y proceder su intervención locativa según el hallazgo que corresponda de este ejercicio.
*Se deberá a su vez realizar la inspección de los elementos de cielo raso, y marcos de vidrios, así como las divisiones livianas con el equipo de toderos y arquitectos de la regional, en aras de proceder con su pronta intervención.
*Toda vez que se han reportado múltiples replicas con posterioridad al evento sísmico, se sugiere realizar el seguimiento de la infraestructura y alertar de manera ágil si se detecta cualquier nueva patología o desplazamiento de algún elemento de la edificación, para proceder con su revisión y evaluación.</t>
  </si>
  <si>
    <t>INTERMITENTE</t>
  </si>
  <si>
    <t xml:space="preserve">C 26 7 07 </t>
  </si>
  <si>
    <t>CENTRO ZONAL  QUIBDÓ</t>
  </si>
  <si>
    <t xml:space="preserve">Se identificaron afectaciones leves en la edificación, principalmente fisuras y agrietamientos en uno de los muros de mampostería de concreto. Sin embargo, no se observaron fisuras en la base del muro, por lo que, de acuerdo con la inspección realizada, no se evidencia riesgo de colapso.
En términos generales, no se evidencian afectaciones significativas en la infraestructura física del Centro Zonal. Las condiciones observadas corresponden a daños leves que deberán ser objeto de seguimiento y revisión para determinar las acciones de mantenimiento que sean necesarias.
14 08 2026- Se informe que ya inició operación desde la fecha </t>
  </si>
  <si>
    <t>ADECUACIONES Y MANTENIMIENTO</t>
  </si>
  <si>
    <t>SOACHA</t>
  </si>
  <si>
    <t xml:space="preserve">CENTRO ZONAL SOACHA TERREROS </t>
  </si>
  <si>
    <t xml:space="preserve">Se deja en este estado teniendo en cuenta que el centro zonal ya tenia patologia en su estructura las cuales una vez revisado el recorrido, se evidencia una afectacion en el área de archivo ubicado en el auditorio. </t>
  </si>
  <si>
    <t>Coordinador Administrativo:
Eliana Katherine Garzón Garzon-     
3183892487
Eliana.Garzon@icbf.gov.co    
Arquitecto y/o Ingeniero Regional
Diego Alejandro Velasquez Roldan
Diegoa.Velasquez@icbf.gov.co
3118503735</t>
  </si>
  <si>
    <t>DG 33 15-20</t>
  </si>
  <si>
    <t>FACATATIVÁ</t>
  </si>
  <si>
    <t>CENTRO ZONAL FACATATIVÁ</t>
  </si>
  <si>
    <t>K 6 3 28</t>
  </si>
  <si>
    <t>En Facatativa hay un HCB y un HI con el nombre. No se reportan CDI</t>
  </si>
  <si>
    <t>Huila</t>
  </si>
  <si>
    <t>GARZÓN</t>
  </si>
  <si>
    <t>CENTRO ZONAL GARZÓN</t>
  </si>
  <si>
    <t xml:space="preserve">DAÑO EN PAÑETE Y PINTURA </t>
  </si>
  <si>
    <t>Oscar Waltero - Coordinador Administrarivo. ( 3163577271)</t>
  </si>
  <si>
    <t xml:space="preserve">LA PLATA </t>
  </si>
  <si>
    <t>CENTRO ZONAL LA PLATA</t>
  </si>
  <si>
    <t>ARMENIA</t>
  </si>
  <si>
    <t xml:space="preserve">CENTRO ZONAL NORTE </t>
  </si>
  <si>
    <t>Afectaciones en Fachada</t>
  </si>
  <si>
    <t>OPERACIÓN PARCIAL</t>
  </si>
  <si>
    <t>FUERTE</t>
  </si>
  <si>
    <r>
      <rPr>
        <sz val="11"/>
        <color rgb="FF000000"/>
        <rFont val="Aptos Narrow"/>
        <scheme val="minor"/>
      </rPr>
      <t xml:space="preserve">En el reporte enviado por parte de la Regional el dia 13-08-2026 , emitido por la profesional de la Regional, manifiesta  que en el centro zonal, se presentaron afectaciones importantes en cuanto a movimiento de fachada lateral, así como de su pañete, por otro lado el cielo raso en drywall se desprendió en gran parte de la edificación, luminarias y dilataciones en gran parte del cielo raso.
 En el reporte no se identifican o evidencian grietas , solo fisuras. 
El día 14/08/2026, se realiza visita por parte de la especialista estructural del GII. </t>
    </r>
    <r>
      <rPr>
        <b/>
        <sz val="11"/>
        <color rgb="FF000000"/>
        <rFont val="Aptos Narrow"/>
        <scheme val="minor"/>
      </rPr>
      <t xml:space="preserve">Se da viabilidad de operación parcial y se solicita al propietario el plan de trabajo para la ejecución de la repación de las adectaciones. Hacer seguimiento.
</t>
    </r>
    <r>
      <rPr>
        <sz val="11"/>
        <color rgb="FF000000"/>
        <rFont val="Aptos Narrow"/>
        <scheme val="minor"/>
      </rPr>
      <t xml:space="preserve"> * Se encuentra en operacion parcial  de 8:00 a 2:00 pm, posterior a ese horario el  propiertario inica los trabajos de reparaciones , este proceso continuara aproximadamente dos meses , ya que se tiene que demoler la fachada de manera parcial  y recuperar elementos interiores. </t>
    </r>
  </si>
  <si>
    <t xml:space="preserve">Coordinador Administrativo:
Maria Alejandra Díaz
3017432597
MariaA.Diaz@icbf.gov.co     
Arquitecto y/o Ingeniero Regional
Lady Johana Henao Orozco
Lady.Henao@icbf.gov.co
3105297342
</t>
  </si>
  <si>
    <t xml:space="preserve">NO  </t>
  </si>
  <si>
    <t>CENTRO ZONAL ARMENIA SUR</t>
  </si>
  <si>
    <t>OPERACION COMPLETA</t>
  </si>
  <si>
    <r>
      <rPr>
        <sz val="11"/>
        <color rgb="FF000000"/>
        <rFont val="Aptos Narrow"/>
        <scheme val="minor"/>
      </rPr>
      <t xml:space="preserve">El día 14-08-2026, se realiza visita por parte de la especialista estructural del GII. Al momento del reporte se esta realizando tareas de limpieza en la sede. 
Se reanuda servicio en la sede el día 18/08/2026.
</t>
    </r>
    <r>
      <rPr>
        <b/>
        <u/>
        <sz val="11"/>
        <color rgb="FF000000"/>
        <rFont val="Aptos Narrow"/>
        <scheme val="minor"/>
      </rPr>
      <t>El 21 de agosto de 2026 se realizó visita técnica conjunta con el ajustador de la asegurado</t>
    </r>
    <r>
      <rPr>
        <sz val="11"/>
        <color rgb="FF000000"/>
        <rFont val="Aptos Narrow"/>
        <scheme val="minor"/>
      </rPr>
      <t>ra, efectuando un recorrido integral por la edificación, que comprendió la cubierta, los tres (3) niveles y el sótano, con el propósito de identificar y verificar las afectaciones observadas en el inmueble.
Como resultado del recorrido, se identificaron afectaciones en diferentes componentes de la edificación, principalmente en muros de mampostería, elementos en Superboard ubicados tanto en espacios interiores como en fachadas, ventanas y enchapes de pared en baños, entre otros elementos de acabado.
Adicionalmente, en las columnas de sección circular se observaron fisuras localizadas en su parte superior, las cuales se extienden alrededor de su perímetro. Asimismo, se evidenciaron fisuras y/o fracturas en elementos de amarre de la edificación. Dada la naturaleza de estos hallazgos y considerando que mediante inspección visual no es posible determinar su profundidad, causa ni eventual incidencia sobre el comportamiento estructural de la edificación, se recomienda realizar una evaluación por parte de un profesional especializado en estructuras, quien deberá determinar el diagnóstico, alcance y, de considerarlo necesario, los estudios técnicos y medidas de intervención correspondientes.
Durante la visita se realizó, de manera conjunta con el ajustador, la identificación de las afectaciones y el levantamiento de las cantidades de obra asociadas a los elementos no estructurales y acabados, como insumo para la elaboración de las respectivas cotizaciones y la continuidad del trámite ante la aseguradora. Las posibles afectaciones de carácter estructural quedarán sujetas al concepto y alcance que determine el profesional especializado
GRITEAS, DESPRENDIMIENTO DE PAÑETE Y PINTURA.  NO SE TIENE DAÑOS EN ELEMENTOS ESTRUCTURALES, ACABADOS CON DAÑOS MITIGABLES. Segun el reporte de la regional remitido el dia 12-08-2026 una edificación de cuatro pisos en concreto reforzado se encuentra en estado operativo general, aunque requiere una revisión estructural especializada para descartar afectaciones. Se evidencian dos vidrios templados rotos y elementos cubiertos que impiden verificar completamente algunas partes de la estructura. Los pisos presentan desprendimiento de enchapes que han generado daños en algunos sanitarios y requieren retiro inmediato. Los cielorrasos y luminarias se encuentran operativos, pero necesitan ajustes. Las fachadas requieren una inspección más detallada, mientras que la ventanería exterior se encuentra en buen estado. No se evidencian novedades en la red hidrosanitaria ni en los tanques de reserva, el estructural del GII , realizara el recorrido el dia 14-08-2026 con el fin de tener otro concepto.   
14 08 2026- De acuerdo con visita de la estructural durante esta semana realizaron limpieza y organización - se reanuda operación el proximo martes 18 de agosto    
14 08 2026- De acuerdo con visita de la estructural.</t>
    </r>
  </si>
  <si>
    <t>14/08/2026
21-08-2026</t>
  </si>
  <si>
    <t>DEVUELTO A LA REGIONAL PARA AJUSTES</t>
  </si>
  <si>
    <t xml:space="preserve">Maria Alejandra Diaz - Coordinadora  Qundio 
3017432597 . Coordinador Administrativo:
Mariaa.Diaz@icbf.gov.co
</t>
  </si>
  <si>
    <t>C 3 4 K 22 23</t>
  </si>
  <si>
    <t xml:space="preserve">CALARCA </t>
  </si>
  <si>
    <t xml:space="preserve">CENTRO ZONAL CALARCA </t>
  </si>
  <si>
    <t>Estructural (grietas- colapso parcial); </t>
  </si>
  <si>
    <t xml:space="preserve">OPERANDO </t>
  </si>
  <si>
    <t>Se evidencia daño moderado en muro divisorio del eje central, grieta horizaontal a tercio de altura en los tres niveles, desprendimiento de pintura y pañete. 
*Se realizo la primera semana teletrabajo del 10 al 14 de agosto , posterior a esta fecha se inició el trabajo de manera presencial , luego de realizar limpieza y ajuste de elementos  removidos por el sismo , así mismo las reparaciones se realizaran por medio de la póliza aseguradora  
*Durante la inspección al Centro Zonal Calarcá se identificó que las fachadas, balcones y voladizos se encuentran en buen estado; sin embargo, se evidenció una falla en una columna y grietas en muros internos, posiblemente asociadas a un asentamiento de la estructura. Por esta razón, se recomienda una evaluación especializada para determinar el alcance de la afectación y las medidas requeridas. Actualmente, la sede continúa operando con normalidad y las reparaciones serán gestionadas mediante la póliza de seguros. A la fecha, se encuentra pendiente la visita del ajustador de la aseguradora para verificar los daños, cuantificar las afectaciones y continuar con el trámite correspondiente.</t>
  </si>
  <si>
    <t>Coordinador Administrativo:
Maria Nidia Henao Castaño
3137574907
Maria.Henao@icbf.gov.co      
Arquitecto y/o Ingeniero Regional
Lady Johana Henao Orozco
Lady.Henao@icbf.gov.co
3105297342</t>
  </si>
  <si>
    <t>K 25 38 52 L 301 ED BANCO CAFETERO</t>
  </si>
  <si>
    <t>CIPRES</t>
  </si>
  <si>
    <r>
      <rPr>
        <sz val="11"/>
        <color rgb="FF000000"/>
        <rFont val="Aptos Narrow"/>
        <scheme val="minor"/>
      </rPr>
      <t xml:space="preserve">El día 14-08-2026, se realiza visita por parte de la especialista estructural del GII. Al momento del reporte se esta realizando tareas de limpieza en la sede. 
Se reanuda servicio en la sede el día 18/08/2026.
</t>
    </r>
    <r>
      <rPr>
        <b/>
        <u/>
        <sz val="11"/>
        <color rgb="FF000000"/>
        <rFont val="Aptos Narrow"/>
        <scheme val="minor"/>
      </rPr>
      <t>El 19 de agosto de 2026 se realizó visita técnica</t>
    </r>
    <r>
      <rPr>
        <sz val="11"/>
        <color rgb="FF000000"/>
        <rFont val="Aptos Narrow"/>
        <scheme val="minor"/>
      </rPr>
      <t xml:space="preserve"> conjunta con el ajustador de la aseguradora, efectuando un recorrido integral por la edificación, que comprendió la cubierta, los tres (3) niveles y el sótano, con el propósito de identificar y verificar las afectaciones presentadas.
Como resultado del recorrido, se evidenciaron afectaciones en diferentes componentes de la edificación, principalmente en muros de mampostería, elementos en Superboard ubicados tanto en espacios interiores como en fachadas, ventanas y enchapes de pared en baños.
En el área del auditorio se identificó una afectación de mayor consideración en el muro ubicado en la zona de la tarima, donde se evidencia desprendimiento de material y riesgo de caída. En consecuencia, se requiere realizar el desmonte/demolición controlada del elemento afectado y su posterior reconstrucción y acabado, garantizando condiciones adecuadas de estabilidad y seguridad.
En los pisos 1, 2 y 3, así como en el sótano, se identificaron fisuras en muros de mampostería, las cuales requieren actividades de reparación y restitución de los acabados afectados.
Durante la visita se realizó, de manera conjunta con el ajustador, la identificación de las afectaciones y el levantamiento de las cantidades de obra requeridas para su atención, como insumo para la elaboración de las respectivas cotizaciones y la continuidad del trámite ante la aseguradora.
*DESPRENDIMIENTO DE ENCHAPE Y PAÑETE, NO PRESENTA AFECTACIONES EN  ELEMENTOS ESTRUCTURALES, PRESENTA DAÑOS EN FACHADA. 
* En el reporte enviado por parte de la Regional , emitido por la profesional de la Regional, manifiesta el desprendimiento de cielo raso en drywall, luminarias, rupturas de láminas de draywall, caída de estantería, movimiento de cubierta en teja de fibrocemento, desprendimiento de carpintería metálica, enchape y fisuras focalizadas en la sede no se presentan grietas considerables , asi las cosas se deja este reporte hasta que el equipo estructural del GII revise la sede , esta inspección se realizara el día 14-08-2026. Al momento del reporte se esta realizando tareas de limpieza en la sede.</t>
    </r>
  </si>
  <si>
    <t>14/08/2026
19-08-2026</t>
  </si>
  <si>
    <t>Maria Alejandra Diaz - Coordinadora  Qundio 
3017432597 . Coordinador Administrativo:
Maria Alejandra Diaz Giraldo
3017432597
Mariaa.Diaz@icbf.gov.co
Arquitecto y/o Ingeniero Regional
Santiago Zuluaga Arenas
Santiago.Zuluaga@icbf.gov.co
3176357277</t>
  </si>
  <si>
    <t>LA BANDERA</t>
  </si>
  <si>
    <t>RAÍZ Y RETOÑO PUEBLO PIJAO ARIT - AISO</t>
  </si>
  <si>
    <t>PEREIRA</t>
  </si>
  <si>
    <t xml:space="preserve">
DE ACUERDO CON  VISITA Y CONCEPTO DE BOMBEROS SE INDICA: OBLIGATORIO DESMONTAR CIELO RASOS MUROS AFECTADOS, Y RETIRAR BANDEJAS CON REDES COLGANTE POR RIESGO DE CAIDA , SE RECOMIENDA DESIGNAR UN EQUIPO CON EXPERIENCIA EN DESMOMTE Y FRETIRO DE ESCOMBROS ANTES DE ASIGANR UN EQUIPO DEL ICBF PARA EL ALMACENAMIENTO DE LOS EQUIPOS Y LA INFORMACIÓN QUE VAYAN A  TRADLADAR 
El 13/08/26, se realiza visita de estructura: Afectacioens severas en elementos estrcuturales y no estructurales. No habitable. Se requeire de Estudio de Vulnerbailidad sismica.
El 18/08/2026 se realizó vista a inmueble propuesto para el traslado tempral de la Regional y Centro Zonal ubicado en la Carrera Septima con Calle 39 de la Ciudad de Pereira, propietario no volvio a responder llamadas ni menajes, por lo cual se descarta inmueble.
Como segunda opccion se cuenta con espacio ofrecido por propietario donde se realizará traslado del Centro Zonal Dosquebradas, en esta alternetiva se trasladará de manera temporal la Regional, se habilitaran 60 puesto de trabajo para los colaboradores.  Propietario envio propuesta economica el 25/08/2026, el 26/08/2026 se envio correo respecto a concepto tecnico favorable a Regional.
Regional continua en la busqueda de inmuebles para el traslado del Centro Zonal, Regional envia inmueble visitado el 25/08/2026, en revisión de GII.
El 20/08/2026, la ing. Andrea Aguja realiza visita con ajustador. 
Elementos Estructurales que hacen parte del sistema resistente:
- Grietas en columnas y en nudos (conexión entre vigas - columnas) en Pisos 2 y 3.
- Pérdida de sección en vigas y columnas por desprendimiento de recubrimiento.
Elementos estructurales que no hacen parte del sistema resistente:
Escaleras: Grietas severas en la viga de apoyo en los niveles 2 y 3 y en el muro de cerramiento de este punto fijo. Circulación restringida.
Elementos no estructurales y Acabados:
- Falla en un alto porcentaje de muros en mampostería con colapso parcial en algunos de estos. 
- Caída de paneles de fachada en Graniplast.
- Desplome de ventanas en fachada.
- Descuelgue de paneles de cielo raso y luminarias
- Desprendimiento de Guardaescobas.
- Desprendimiento de aparatos sanitarios.
- Desprendimiento de enchapes en baños y cocinas.
- Desprendimiento de cableado eléctrico.</t>
  </si>
  <si>
    <t>El 18/08/2026 se realizó vista a inmueble propuesto para el traslado tempral de la Regional y Centro Zonal ubicado en la Carrera Septima con Calle 39 de la Ciudad de Pereira, propietario no volvio a responder llamadas ni menajes, por lo cual se descarta inmueble.
Como segunda opccion se cuenta con espacio ofrecido por propietario donde se realizará traslado del Centro Zonal Dosquebradas, en esta alternetiva se trasladará de manera temporal la Regional, se habilitaran 60 puesto de trabajo para los colaboradores.  Propietario envio propuesta economica el 25/08/2026, el 26/08/2026 se envio correo respecto a concepto tecnico favorable a Regional.
Regional continua en la busqueda de inmuebles para el traslado del Centro Zonal, Regional envia inmueble visitado el 25/08/2026, en revisión de GII.</t>
  </si>
  <si>
    <t xml:space="preserve">Coordinador Administrativo:
Maria Nidia Henao Castaño
3137574907
Maria.Henao@icbf.gov.co      
Arquitecto y/o Ingeniero Regional
Lady Johana Henao Orozco
Lady.Henao@icbf.gov.co
3105297342
</t>
  </si>
  <si>
    <t>C 35 8 48 K 9 K 8 C 36</t>
  </si>
  <si>
    <t>CENTRO ZONAL PEREIRA</t>
  </si>
  <si>
    <t xml:space="preserve">
DE ACUERDO CON  VISITA Y CONCEPTO DE BOMBEROS SE INDICA: OBLIGATORIO DESMONTAR CIELO RASOS MUROS AFECTADOS, Y RETIRAR BANDEJAS CON REDES COLGANTE POR RIESGO DE CAIDA , SE RECOMIENDA DESIGNAR UN EQUIPO CON EXPERIENCIA EN DESMOMTE Y FRETIRO DE ESCOMBROS ANTES DE ASIGANR UN EQUIPO DEL ICBF PARA EL ALMACENAMIENTO DE LOS EQUIPOS Y LA INFROMACIÓN QUE VAYAN A  TRADLADAR .
El 13/08/26, se realiza visita de estructura: Afectacioens severas en elementos estrcuturales y no estructurales. No habitable. Se requeire de Estudio de Vulnerbailidad sismica.
El 18/08/2026 se realizó vista a inmueble propuesto para el traslado tempral de la Regional y Centro Zonal ubicado en la Carrera Septima con Calle 39 de la Ciudad de Pereira, propietario no volvio a responder llamadas ni menajes, por lo cual se descarta inmueble.
Como segunda opccion se cuenta con espacio ofrecido por propietario donde se realizará traslado del Centro Zonal Dosquebradas, en esta alternetiva se trasladará de manera temporal la Regional, se habilitaran 60 puesto de trabajo para los colaboradores.  Propietario envio propuesta economica el 25/08/2026, el 26/08/2026 se envio correo respecto a concepto tecnico favorable a Regional.
Regional continua en la busqueda de inmuebles para el traslado del Centro Zonal, Regional envia inmueble visitado el 25/08/2026, en revisión de GII.
El 20/08/2026, la ing. Andrea Aguja realiza visita con ajustador. 
Esta Sede funciona en el mismo inmueble de la Sede Regional.
Elementos Estructurales que hacen parte del sistema resistente:
- Grietas en columnas y en nudos (conexión entre vigas - columnas) en Pisos 2 y 3.
- Pérdida de sección en vigas y columnas por desprendimiento de recubrimiento.
Elementos estructurales que no hacen parte del sistema resistente:
Escaleras: Grietas severas en la viga de apoyo en los niveles 2 y 3 y en el muro de cerramiento de este punto fijo. Circulación restringida.
Elementos no estructurales y Acabados:
- Falla en un alto porcentaje de muros en mampostería con colapso parcial en algunos de estos. 
- Caída de paneles de fachada en Graniplast.
- Desplome de ventanas en fachada.
- Descuelgue de paneles de cielo raso y luminarias
- Desprendimiento de Guardaescobas.
- Desprendimiento de aparatos sanitarios.
- Desprendimiento de enchapes en baños y cocinas.
- Desprendimiento de cableado eléctrico.</t>
  </si>
  <si>
    <t>El 18/08/2026 se realizó vista a inmueble propuesto para el traslado tempral de la Regional y Centro Zonal ubicado en la Carrera Septima con Calle 39 de la Ciudad de Pereira, propietario no volvio a responder llamadas ni menajes, por lo cual se descarta inmueble.
Regional continua en la busqueda de inmuebles para el traslado del Centro Zonal, Regional envia inmueble visitado el 25/08/2026, en revisión de GII.</t>
  </si>
  <si>
    <t>DOSQUEBRADAS</t>
  </si>
  <si>
    <t>CENTRO ZONAL DOSQUEBRADAS</t>
  </si>
  <si>
    <t xml:space="preserve"> 
EL CZ OPERARA BAJO ESTRATEGIA DE ALTERNANCIA Y TELETRABAJO, SE HABILITARA PISO UNO Y DOS DEL INMUEBLE ACTUAL ENTRE TANTO EL PROPIETARIO REALIZA ARREGLOS EN PISO TRES Y CUATRO.
Elementos Estructurales que no hacen parte del sistema de resistencia:
Desprendimiento de recubrimiento en secciones de vigas.
Elementos Estructurales que no hacen parte del sistema de resistencia:
 AGRIETAMIENTO DE MUROS Y ESTRUCTURA DE ESCALERAS
Elementos No Estructurales  y Acabados:
DESPRENDIMIENTO DE ELEMENTOS DE FACHADA, GUARDAESCOBAS, ENCHAPES EN MUROS, CIELOS RASOS, CABLEADO ELECTRICO Y MARCOS DE PUERTAS. GRIETAS DIAGONALES Y HORIZONTALES EN MUROS DE FACHADA.</t>
  </si>
  <si>
    <t>EL CZ OPERARA BAJO ESTRATEGIA DE ALTERNANCIA Y TELETRABAJO, SE HABILITARA PISO UNO Y DOS DEL INMUEBLE ACTUAL ENTRE TANTO EL PROPIETARIO REALIZA ARREGLOS EN PISO TRES Y CUATRO.</t>
  </si>
  <si>
    <t>SANTA ROSA DE CABAL</t>
  </si>
  <si>
    <t>CENTRO ZONAL SANTA ROSA DE CABAL</t>
  </si>
  <si>
    <t>El propietario está ejecutando en este momento las reparaciones en las afectaciones.</t>
  </si>
  <si>
    <t>LA VIRGINIA</t>
  </si>
  <si>
    <t>CENTRO ZONAL LA VIRGINIA</t>
  </si>
  <si>
    <t>NINGUNA</t>
  </si>
  <si>
    <t>Asegurado-  Propio</t>
  </si>
  <si>
    <t>Carrera 6 # 10 - 38</t>
  </si>
  <si>
    <t>BELÉN DE UMBRÍA</t>
  </si>
  <si>
    <t>CENTRO ZONAL BELÉN DE UMBRÍA</t>
  </si>
  <si>
    <r>
      <rPr>
        <sz val="11"/>
        <color rgb="FF000000"/>
        <rFont val="Aptos Narrow"/>
        <scheme val="minor"/>
      </rPr>
      <t xml:space="preserve">Esta operando en 90%. En el primer y segundo piso se pueden continuar utilizando la mayoría de los espacios, toda vez que no se evidencian daños estructurales que comprometan la estabilidad general del inmueble, con restricción de los espacios con elementos afectados.
</t>
    </r>
    <r>
      <rPr>
        <b/>
        <sz val="11"/>
        <color rgb="FF000000"/>
        <rFont val="Aptos Narrow"/>
        <scheme val="minor"/>
      </rPr>
      <t>Se debe requerir al propietario para la valoración integral del inmueble por parte de un especialista estructural y el plan de trabajo para las intervenciones requeridas.
Elementos No Estructurales:
La oficina de Coordinación presenta grietas en un muro de mampostería. se restringe el uso en este espacio.
Elementos Estrucutrales que hacen parte del sistema resistente:
En el primer piso se identificó una fisura en una viga respecto de la cual existe duda sobre su posible compromiso estructural. En consecuencia, se restringe uso de este espacio.</t>
    </r>
  </si>
  <si>
    <t>IBAGUÉ</t>
  </si>
  <si>
    <t>CENTRO ZONAL IBAGUÉ</t>
  </si>
  <si>
    <t xml:space="preserve">Presenta fisuras en pañete superficiales,. </t>
  </si>
  <si>
    <t>Coordinador Administrativo:
Diana Catalina Gutiérrez Ballen
3024348804
 Diana.GutierrezB@icbf.gov.co
Arquitecto y/o Ingeniero Regional
Paula Alejandra Modesto Cubillos
Paula.Modesto@icbf.gov.co
3166835902</t>
  </si>
  <si>
    <t>K 7 S #16-156 C 17A</t>
  </si>
  <si>
    <t xml:space="preserve">Se limita el acceso a la zona de almacén de la regional y se solicita al GII, la visita por parte de un especialista estructural </t>
  </si>
  <si>
    <t xml:space="preserve">Grietas en  paredes, en elementos estructurales, daño en pañetes. </t>
  </si>
  <si>
    <t>DIAGNOSTICOS POR PARTE DE CONTRATISTA</t>
  </si>
  <si>
    <t xml:space="preserve">Coordinador Administrativo:
Diana Catalina Gutiérrez Ballen
3024348804
 Diana.GutierrezB@icbf.gov.co
Arquitecto y/o Ingeniero Regional
Paula Alejandra Modesto Cubillos
Paula.Modesto@icbf.gov.co
3166835902
</t>
  </si>
  <si>
    <t>C 5 43 23</t>
  </si>
  <si>
    <t>CENTRO ZONAL JORDÁN</t>
  </si>
  <si>
    <t>EL PROPIETARIO REALIZARA REPARACIONES, SIN EMBARGO LA INFRAESTRUCTURA OPERARÁ NORMAL</t>
  </si>
  <si>
    <t>*Presenta fisuras superficiales en pañete. El Centro Zonal Jordán permaneció fuera de operación entre el 10 y el 19 de agosto de 2026, mientras se adelantaba la evaluación estructural solicitada por la Regional al propietario, realizada los días 12 y 13 de agosto. Posteriormente, el ICBF Tolima solicitó al Grupo de Infraestructura Inmobiliaria (GII) concepto sobre la viabilidad de continuar con la operación. El concepto fue emitido el 19 de agosto de 2026, permitiendo la reanudación de actividades.
*Las reparaciones en el piso 7 serán ejecutadas por el propietario los días 10, 11 y 12, de manera sectorizada, con el fin de no afectar la operación del Centro Zon</t>
  </si>
  <si>
    <t>CENTRO ZONAL GALÁN</t>
  </si>
  <si>
    <t>OPERANDO</t>
  </si>
  <si>
    <t xml:space="preserve">Presenta fisuras en pañete y pintura - No estan funvcionando por que la Regoional solicito un concepto estrcututral por parte del propietario, esta visita ya se realizó pero la regional insiste que debe ser un concepto formal </t>
  </si>
  <si>
    <t>SANTIAGO DE CALI</t>
  </si>
  <si>
    <t>CENTRO ZONAL SUR</t>
  </si>
  <si>
    <t>Estructural (grietas- colapso parcial)</t>
  </si>
  <si>
    <r>
      <rPr>
        <sz val="11"/>
        <color rgb="FF000000"/>
        <rFont val="Aptos Narrow"/>
        <scheme val="minor"/>
      </rPr>
      <t xml:space="preserve">SE REQUIERE TRASLADO
RESOLUCIÓN No. 0701 DEL 11 DE AGOSTO DE 2026 - “Por la cual se habilita de forma temporal la prestación del servicio bajo la modalidad de trabajo casa para los servidores públicos de la Regional Valle del
Cauca (...)"
</t>
    </r>
    <r>
      <rPr>
        <b/>
        <u/>
        <sz val="11"/>
        <color rgb="FF000000"/>
        <rFont val="Aptos Narrow"/>
        <scheme val="minor"/>
      </rPr>
      <t xml:space="preserve">Visita realizada el 12 de agosto de 2026 por el Ing. Rafael Leonardo Vargas, </t>
    </r>
    <r>
      <rPr>
        <sz val="11"/>
        <color rgb="FF000000"/>
        <rFont val="Aptos Narrow"/>
        <scheme val="minor"/>
      </rPr>
      <t xml:space="preserve">del Grupo de Infraestructura Inmobiliaria de la Dirección Administrativa. Se evidenciaron afectaciones severas en la mampostería, con grietas verticales que atraviesan los muros de placa a placa en distintos sectores y en la fachada, además de desprendimientos de acabados en muros interiores. Dada la magnitud de las afectaciones y su condición actual de no operación, se requiere avanzar en las gestiones para la reubicación del Centro Zonal en un inmueble que garantice condiciones adecuadas de seguridad y habitabilidad. </t>
    </r>
  </si>
  <si>
    <t xml:space="preserve">
RESOLUCIÓN No. 0701 DE 11 DE AGOSTO DE 2026 - Trabajo en casa
El 27/08/2026 Regional visitó inmueble localizado en la Calle 10 # 5 - 77 en el Centro de la ciudad. lo anterior, con el fin de ubicar temporalmente Centro Zonal. Pendiente por confirmar area de influencia y envio de propuesta economica de canon de arrendamiento.</t>
  </si>
  <si>
    <t>Coordinador Administrativo:
Milton Posso
3216445736
Milton.Posso@icbf.gov.co
Arquitecto y/o Ingeniero Regional
Jorge Eduardo Martínez Vélez
Jorge.MartinezV@icbf.gov.co
3235807864
Bryan Stiven Lozano 
Brayan.Lozano@icbf.gov.co
3012148462</t>
  </si>
  <si>
    <t>NO. Temas urgentes en CZ Ladera</t>
  </si>
  <si>
    <t>CENTRO ZONAL ESPECIALIZADO RESTAURAR</t>
  </si>
  <si>
    <t xml:space="preserve">El 10 de agosto de 2026. LA COORDINACIÓN DE LA REGIONAL SOLICITÓ EL DESALOJO 
Se identificaron fisuras en encuentros entre muros de estructura liviana y elementos de mampostería, localizadas en muros interiores; en la fachada no se evidenciaron afectaciones. La sede permanece fuera de operación, a la espera del concepto del profesional especializado designado por el propietario. Una vez se cuente con dicho concepto, deberán adelantarse las acciones que correspondan conforme a sus resultados y a las obligaciones del propietario. Visita realizada por el Ing. Jorge Martínez, Regional Valle del Cauca.
El 11 de agosto de 2026, mediante Resolución No. 0701, modificada por la Resolución No. 0706 del 12 de agosto de 2026: “se habilitó de forma temporal la prestación del servicio bajo la modalidad de trabajo en casa para los servidores públicos de la Regional Valle del Cauca, </t>
  </si>
  <si>
    <t xml:space="preserve">
RESOLUCIÓN No. 0701 DE 11 DE AGOSTO DE 2026  - Trabajo en casa
El 27/08/2026 Regional visitó inmueble localizado en la Calle 10 # 5 - 77 en el Centro de la ciudad. lo anterior, con el fin de ubicar temporalmente Centro Zonal. Pendiente por confirmar area de influencia y envio de propuesta economica de canon de arrendamiento.</t>
  </si>
  <si>
    <t>Coordinador Administrativo:
Darwin Lozano Lozano
3105935047
Darwin.Lozano@icbf.gov.co
Arquitecto y/o Ingeniero Regional
Jorge Eduardo Martínez Vélez
Jorge.MartinezV@icbf.gov.co
3235807864
Bryan Stiven Lozano  
Brayan.Lozano@icbf.gov.co
3012148462</t>
  </si>
  <si>
    <r>
      <rPr>
        <sz val="11"/>
        <color rgb="FF000000"/>
        <rFont val="Aptos Narrow"/>
        <scheme val="minor"/>
      </rPr>
      <t xml:space="preserve">Culatas desprendidas de la estructura con riesgo de volcamiento. Grietas reparables en muros internos.
El 11 de agosto de 2026, mediante Resolución No. 0701, “se habilitó de forma temporal la prestación del servicio bajo la modalidad de trabajo en casa para los servidores públicos de la Regional Valle del Cauca, 
</t>
    </r>
    <r>
      <rPr>
        <b/>
        <sz val="11"/>
        <color rgb="FF000000"/>
        <rFont val="Aptos Narrow"/>
        <scheme val="minor"/>
      </rPr>
      <t xml:space="preserve"> Visita inicial realizada el 12 de agosto de 2026</t>
    </r>
    <r>
      <rPr>
        <sz val="11"/>
        <color rgb="FF000000"/>
        <rFont val="Aptos Narrow"/>
        <scheme val="minor"/>
      </rPr>
      <t xml:space="preserve"> por el Ing. Rafael Leonardo Vargas, del Grupo de Infraestructura Inmobiliaria de la Dirección Administrativa. 
En la edificación se evidencian fisuras de gran extensión en muros interiores, con trazos verticales y diagonales que atraviesan de placa a placa, así como grietas visibles en la fachada. La magnitud y continuidad de estas afectaciones sugieren posibles movimientos diferenciales o esfuerzos significativos en la mampostería, lo cual requiere verificación especializada para descartar compromiso en elementos portantes. El 4 piso de la edificación se encuentra con acceso restringido. Aunque no se observa desprendimiento generalizado de acabados ni riesgo de colapso inmediato.
</t>
    </r>
    <r>
      <rPr>
        <b/>
        <u/>
        <sz val="11"/>
        <color rgb="FF000000"/>
        <rFont val="Aptos Narrow"/>
        <scheme val="minor"/>
      </rPr>
      <t xml:space="preserve">El 20 de agosto de 2026. Visita con ajustador de la aseguradora el Ing. Jorge Guerrero, la Ing. Diana Guerrero, Dirección Administrativa GII y Ing. Jorge Martinez, Regional Valle del Cauca </t>
    </r>
  </si>
  <si>
    <t>SI PARCIAL</t>
  </si>
  <si>
    <t xml:space="preserve">
RESOLUCIÓN No. 0701 DE 11 DE AGOSTO DE 2026  - Trabajo en casa
RESOLUCIÓN No. 0707 DE 12 DE AGOSTO DE 2026  - Retorno trabajo presencial 1-3 PISO. 4 PISO CERRADO</t>
  </si>
  <si>
    <t xml:space="preserve">AV 2AN 33AN 45 </t>
  </si>
  <si>
    <t>SI con restricción</t>
  </si>
  <si>
    <t>CENTRO ZONAL SURORIENTAL</t>
  </si>
  <si>
    <t>10 de agosto de 2026. LA COORDINACIÓN DE LA REGIONAL SOLICITÓ EL DESALOJO-DESPLAZAMIENTO DE MUROS GRIETA 5 CM 
12 de agosto de 2026. Se registraron fisuras en muros y en elementos como dinteles y alfajías ubicadas bajo las ventanas. Estas afectaciones ya habían sido reportadas con anterioridad al sismo; no obstante, se considera necesario realizar seguimiento a la grieta localizada en el muro exterior, conforme a los registros enviados por la Regional. Visitado por el Ing. Jorge Martinez, Regional Valle del Cauca.
RESOLUCIÓN No. 0707 DE 12 DE AGOSTO DE 2026. “Por la cual se dispone el retorno a la presencialidad en algunos Centros Zonales de la Regional Valle del Cauca del Instituto Colombiano de Bienestar Familiar – ICBF, tras verificarse condiciones seguras para su ocupación”</t>
  </si>
  <si>
    <t xml:space="preserve">
RESOLUCIÓN No. 0701 DE 11 DE AGOSTO DE 2026  - Trabajo en casa
RESOLUCIÓN No. 0707 DE 12 DE AGOSTO DE 2026  - Retorno trabajo presencial, área oriental norte por riesgo</t>
  </si>
  <si>
    <t xml:space="preserve">C 73 8A 35 </t>
  </si>
  <si>
    <t>CENTRO ZONAL NORORIENTAL</t>
  </si>
  <si>
    <r>
      <rPr>
        <sz val="11"/>
        <color rgb="FF000000"/>
        <rFont val="Aptos Narrow"/>
        <family val="2"/>
        <scheme val="minor"/>
      </rPr>
      <t xml:space="preserve"> 10 de agosto de 2026. DESPLOME DE ENCHAPE SOBRE FACHADA. Dueño implementara estructura al ingreso para protección de los usuarios y está en consecución de cotizaciones para demoler fachada.
El 11 de agosto de 2026, mediante Resolución No. 0701, modificada por la Resolución No. 0706 del 12 de agosto de 2026: “se habilitó de forma temporal la prestación del servicio bajo la modalidad de trabajo en casa para los servidores públicos de la Regional Valle del Cauca,"
</t>
    </r>
    <r>
      <rPr>
        <b/>
        <sz val="11"/>
        <color rgb="FF000000"/>
        <rFont val="Aptos Narrow"/>
        <family val="2"/>
        <scheme val="minor"/>
      </rPr>
      <t xml:space="preserve">Visita realizada el 12 de agosto de 2026 </t>
    </r>
    <r>
      <rPr>
        <sz val="11"/>
        <color rgb="FF000000"/>
        <rFont val="Aptos Narrow"/>
        <family val="2"/>
        <scheme val="minor"/>
      </rPr>
      <t xml:space="preserve">por el Ing. Rafael Leonardo Vargas, del Grupo de Infraestructura Inmobiliaria de la Dirección Administrativa. Se presentó desprendimiento del enchape de fachada. El propietario informó la implementación de una estructura de protección en el acceso principal para salvaguardar a los usuarios, con un tiempo estimado de aproximadamente un mes. De acuerdo con la información disponible, el enchape de la fachada ya fue desmontado.
</t>
    </r>
  </si>
  <si>
    <t xml:space="preserve">
RESOLUCIÓN No. 0701 DE 11 DE AGOSTO DE 2026 - Trabajo en Casa
Temas urgentes en CZ Ladera</t>
  </si>
  <si>
    <t>TULUÁ</t>
  </si>
  <si>
    <t>CENTRO ZONAL TULUÁ</t>
  </si>
  <si>
    <t>10 de agosto de 2026. Grietas y/o fisuras observadas corresponden a afectaciones de carácter superficial. Informe generado por el propietario.
De acuerdo con la inspección realizada por el propietario el 11 de agosto de 2026, las grietas y/o fisuras observadas corresponden a afectaciones superficiales, sin evidencias visibles que permitan asociarlas con daños estructurales. Las manifestaciones se presentan principalmente en acabados, revoques, estuco, pintura, juntas y otros componentes superficiales. 
El 11 de agosto de 2026, mediante Resolución No. 0701 “se habilitó de forma temporal la prestación del servicio bajo la modalidad de trabajo en casa para los servidores públicos de la Regional Valle del Cauca,"
RESOLUCIÓN No. 0721 DE 14 DE AGOSTO DE 2026. “Por la cual se dispone el retorno a la presencialidad en algunos Centros Zonales de la Regional Valle del Cauca del Instituto Colombiano de Bienestar Familiar – ICBF, tras verificarse condiciones seguras para su ocupación”</t>
  </si>
  <si>
    <t>RESOLUCIÓN No. 0701 DE 11 DE AGOSTO DE 2026 - Trabajo en casa
RESOLUCIÓN No. 0721 DE 14 DE AGOSTO DE 2026 - Trabajo presencial</t>
  </si>
  <si>
    <t>CENTRO ZONAL CALI CENTRO</t>
  </si>
  <si>
    <r>
      <rPr>
        <sz val="11"/>
        <color rgb="FF000000"/>
        <rFont val="Aptos Narrow"/>
        <scheme val="minor"/>
      </rPr>
      <t>10 de agosto de 2026. ALGUNAS FISURAS EN MAMPOSTERIA NO ESTRUCTURAL 
El 11 de agosto de 2026, mediante Resolución No. 0701 “se habilitó de forma temporal la prestación del servicio bajo la modalidad de trabajo en casa para los servidores públicos de la Regional Valle del Cauca,"
*Se evidenciaron fisuras verticales en muros interiores, algunas localizadas en esquinas y zonas próximas al encuentro con el cielo raso, así como en sectores donde se instalan elementos como interruptores. La continuidad y extensión de las grietas sugiere posibles esfuerzos diferenciales en la mampostería. Visita realizada el</t>
    </r>
    <r>
      <rPr>
        <b/>
        <u/>
        <sz val="11"/>
        <color rgb="FF000000"/>
        <rFont val="Aptos Narrow"/>
        <scheme val="minor"/>
      </rPr>
      <t xml:space="preserve"> 12 de agosto de 2026 por el Ing. Rafael Leonardo Vargas</t>
    </r>
    <r>
      <rPr>
        <sz val="11"/>
        <color rgb="FF000000"/>
        <rFont val="Aptos Narrow"/>
        <scheme val="minor"/>
      </rPr>
      <t>, del Grupo de Infraestructura Inmobiliaria de la Dirección Administrativa.
RESOLUCIÓN No. 0708 DE 13 DE AGOSTO DE 2026. “Por la cual se dispone el retorno a la presencialidad en algunos Centros Zonales de la Regional Valle del Cauca del Instituto Colombiano de Bienestar Familiar – ICBF, tras verificarse condiciones seguras para su ocupación”</t>
    </r>
  </si>
  <si>
    <t>RESOLUCIÓN No. 0701 DE 11 DE AGOSTO DE 2026 - Trabajo en casa
RESOLUCIÓN No. 0708 DE 13 DE AGOSTO DE 2026 - Trabajo presencial</t>
  </si>
  <si>
    <t>A 1N 7 37 41</t>
  </si>
  <si>
    <t>GUADALAJARA DE BUGA</t>
  </si>
  <si>
    <t xml:space="preserve">CENTRO ZONAL BUGA </t>
  </si>
  <si>
    <t>*En la infraestructura se observaron únicamente afectaciones leves en algunos sectores, sin evidenciarse daños de consideración. No obstante, se registró agrietamiento y desprendimiento de pañete sobre algunos muros, así como fracturas en las tejas de barro, las cuales representan riesgo de desprendimiento
Agrietamiento y desprendimiento de pañete en algunos muros y fracturas en tejas de barro con riesgo de desprendimiento. La Resolución No. 0706 indicó necesidad de valoración técnica especializada. Visita del 13/08/2026.</t>
  </si>
  <si>
    <t>La Resolución No. 0721 del 14 de agosto de 2026 - Trabajo presencial</t>
  </si>
  <si>
    <t>Asegurado- Propio</t>
  </si>
  <si>
    <t>Carrera 8 Carretera Central</t>
  </si>
  <si>
    <t xml:space="preserve">CASA HERNANDO OSPINA </t>
  </si>
  <si>
    <t>Vanos de puertas se deben asegurar con polines y sellar los espacios para continuar con operación.</t>
  </si>
  <si>
    <t>No se han realizado acciones, dado que no estaba en uso</t>
  </si>
  <si>
    <t>GII-ANDREA AGUJA - 27/08/2026</t>
  </si>
  <si>
    <t>CENTRO ZONAL PALMIRA</t>
  </si>
  <si>
    <r>
      <rPr>
        <sz val="11"/>
        <color rgb="FF000000"/>
        <rFont val="Aptos Narrow"/>
        <scheme val="minor"/>
      </rPr>
      <t xml:space="preserve">
18-08-2026 Se reaunadan actividades en el Centro Zonal 
* Se presentó desprendimiento del enchape de fachada. El propietario informó la implementación de una estructura de protección en el acceso principal para salvaguardar a los usuarios, con un tiempo estimado de aproximadamente un mes. De acuerdo con la información disponible, el enchape de la fachada ya fue desmontado. </t>
    </r>
    <r>
      <rPr>
        <b/>
        <u/>
        <sz val="11"/>
        <color rgb="FF000000"/>
        <rFont val="Aptos Narrow"/>
        <scheme val="minor"/>
      </rPr>
      <t>Visita realizada el 12 de agosto de 2026 por el Ing. Rafael Leonardo Vargas</t>
    </r>
    <r>
      <rPr>
        <sz val="11"/>
        <color rgb="FF000000"/>
        <rFont val="Aptos Narrow"/>
        <scheme val="minor"/>
      </rPr>
      <t>, del Grupo de Infraestructura Inmobiliaria de la Dirección Administrativa.</t>
    </r>
  </si>
  <si>
    <t>La Resolución No. 0727 del 18 de agosto de 2026 - Trabajo presencial</t>
  </si>
  <si>
    <t>BUEVAVENTURA</t>
  </si>
  <si>
    <t>CENTRO ZONAL BUENAVENTURA</t>
  </si>
  <si>
    <t>VERIFICADO SIN PROBLEMAS PARA OPERAR</t>
  </si>
  <si>
    <t>De a cuerdo con reporte de la Regional se enciontro fisura sobre muro de ascensor 
*A la fecha, el Grupo de Infraestructura Inmobiliaria de la Dirección Administrativa no ha recibido el informe técnico que sustente las afectaciones asociadas a la no operación de esta sede</t>
  </si>
  <si>
    <t>La Resolución No. 0706 establece la necesidad de valoración especializada. Se requiere que la Regional remita el informe elaborado por su profesional de ingeniería.</t>
  </si>
  <si>
    <t xml:space="preserve">C 6 52 71      </t>
  </si>
  <si>
    <t>SI en casa</t>
  </si>
  <si>
    <t>SEVILLA</t>
  </si>
  <si>
    <t>CENTRO ZONAL SEVILLA (VALLE)</t>
  </si>
  <si>
    <t>FISURAS MENORES LOCALIZADAS EN INTERFASE ENTRE SISTEMA ESTRUCTURAL Y MUROS DIVISIORIOS.</t>
  </si>
  <si>
    <t>La Resolución No. 0706 del 11 de agosto de 2026, trabajo en casa  y establece la necesidad de valoración especializada. Se requiere que la Regional remita el informe elaborado por su profesional de ingeniería.</t>
  </si>
  <si>
    <t>C 49 48 42</t>
  </si>
  <si>
    <t>JAMUNDÍ</t>
  </si>
  <si>
    <t>CENTRO ZONAL JAMUNDÍ</t>
  </si>
  <si>
    <t xml:space="preserve">Se evidenciaron Fisuras finas visibles en el cielo raso cerca de la instalación del equipo de A.A. pero no se representa nigun riesgo que crompometa elementos estrcuturales, se debe realizar seguimiento con la regional para las reparaciones menores reportadas por medio del informe del apoyo técnico de la Regional. </t>
  </si>
  <si>
    <t>La Resolución No. 0707 del 12 de agosto de 2026 - trabajo presencial</t>
  </si>
  <si>
    <t>YUMBO</t>
  </si>
  <si>
    <t>CENTRO ZONAL YUMBO</t>
  </si>
  <si>
    <t>CORREO DE RECOMENDACIONES DONDE LA REGIONAL DICE QUE LA ALCLADÍA DEJO:
1. No utilizar la oficina de la doctora Henza por grietas que posiblemente son productos de asentamiento de la infraestructura, se debe revisar de profundidad para evidenciar la magnitud del daño estructural.
2. Demoliciones de los muros de archivo ventana redonda y de la pared contigua a la oficina de coordinación, la estructura cedió en la vigueta de la puerta .
3. La oficina del primer piso ocupadas por la doctora Dialimer y Leticia por fisuras en columna y vigas, se debe revisar de profundidad para evidenciar la magnitud del daño estructural.
4. El espacio derecho en la escalera NO se debe utilizar.
Ésas son las recomendaciones dejadas por los funcionarios de la alcaldía municipal de Yumbo.</t>
  </si>
  <si>
    <t>La Resolución No. 0707 del 12 de agosto de 2026 -  trabajo presencial</t>
  </si>
  <si>
    <t>BODEGA ARCHIVO CENTRAL</t>
  </si>
  <si>
    <t xml:space="preserve"> 
*A la fecha, el Grupo de Infraestructura Inmobiliaria de la Dirección Administrativa no ha recibido el informe técnico que sustente las afectaciones asociadas a la no operación de esta sede</t>
  </si>
  <si>
    <t>Verificar</t>
  </si>
  <si>
    <t>SANTA ROSALÍA</t>
  </si>
  <si>
    <t>UNIDAD LOCAL</t>
  </si>
  <si>
    <t>UNIDAD LOCAL SANTA ROSALÍA</t>
  </si>
  <si>
    <t xml:space="preserve">La Regional informa que no presenta ninguna afectación </t>
  </si>
  <si>
    <t>BODEGA ARCHIVO</t>
  </si>
  <si>
    <t>No aplica</t>
  </si>
  <si>
    <t>CARTAGO</t>
  </si>
  <si>
    <t>NUTRICIÓN</t>
  </si>
  <si>
    <t>PLANTA DE BIENESTARINA</t>
  </si>
  <si>
    <t>La planta esta compuesta de 2 edificaciones, la planta producción y zona de oficinas (labotarorios y logistica). 
La edificación de logística: presenta afectaciones severas. No habitable. Se reubicaron funcionarios en área administrativa de la planta de producción. Se requiere priorizar estudio de vulnerabilidad sísmica. 13/08/2026</t>
  </si>
  <si>
    <t>Asegurado- Ingredión</t>
  </si>
  <si>
    <t>Planta Cartago</t>
  </si>
  <si>
    <t>MATRIZ GENERAL DE COSTEO – EMPI Y BINAS ATENCIÓN EMERGENCIA</t>
  </si>
  <si>
    <t>Los costos de personal y transporte son mensuales. Los materiales corresponden a una adquisición inicial calculada con 1 kit por cada uno de los 17 equipos móviles.</t>
  </si>
  <si>
    <t>Parámetro</t>
  </si>
  <si>
    <t>Valor</t>
  </si>
  <si>
    <t>Concepto</t>
  </si>
  <si>
    <t>Valor mensual / único</t>
  </si>
  <si>
    <t>Observación</t>
  </si>
  <si>
    <t>No. equipos EMPI</t>
  </si>
  <si>
    <t>Personal</t>
  </si>
  <si>
    <t>Costo mensual</t>
  </si>
  <si>
    <t>No. equipos BINAS</t>
  </si>
  <si>
    <t>Transporte</t>
  </si>
  <si>
    <t>Total equipos móviles</t>
  </si>
  <si>
    <t>Materiales</t>
  </si>
  <si>
    <t>Costo único inicial</t>
  </si>
  <si>
    <t>Meses de operación</t>
  </si>
  <si>
    <t>TOTAL PRIMER MES</t>
  </si>
  <si>
    <t>Personal + transporte + materiales</t>
  </si>
  <si>
    <t>Proyección total</t>
  </si>
  <si>
    <t>Fórmula</t>
  </si>
  <si>
    <t>Costos recurrentes del periodo</t>
  </si>
  <si>
    <t>(Personal + transporte) × meses</t>
  </si>
  <si>
    <t>COSTO TOTAL DEL PERIODO</t>
  </si>
  <si>
    <t>Recurrentes + materiales</t>
  </si>
  <si>
    <t>COSTEO MENSUAL DE PERSONAL</t>
  </si>
  <si>
    <t>Honorarios mensuales por profesional: $4119779. Total proyectado: 64 profesionales de equipos + 5 coordinadores = 69 profesionales.</t>
  </si>
  <si>
    <t>Honorarios mensuales por profesional</t>
  </si>
  <si>
    <t xml:space="preserve">Honorarios mensuales por coordinador </t>
  </si>
  <si>
    <t>Profesionales de equipos</t>
  </si>
  <si>
    <t>No. EQUIPOS EMPI</t>
  </si>
  <si>
    <t>Profesionales de BINAS</t>
  </si>
  <si>
    <t>Honorario mensual unitario</t>
  </si>
  <si>
    <t>Coordinadores</t>
  </si>
  <si>
    <t>Total profesionales</t>
  </si>
  <si>
    <t>Costo mensual de personal</t>
  </si>
  <si>
    <t>Costo vigencia 2026 (OCT - DIC)</t>
  </si>
  <si>
    <t>-</t>
  </si>
  <si>
    <t>TOTAL</t>
  </si>
  <si>
    <t>COSTEO MENSUAL DE TRANSPORTE</t>
  </si>
  <si>
    <t>La tarifa corresponde al valor mensual por camioneta. El total regional se calcula multiplicando la tarifa mensual por la cantidad de vehículos.</t>
  </si>
  <si>
    <t>Departamento</t>
  </si>
  <si>
    <t>Tipología - Tracción</t>
  </si>
  <si>
    <t>Horas requeridas</t>
  </si>
  <si>
    <t>Días requeridos</t>
  </si>
  <si>
    <t>Zona</t>
  </si>
  <si>
    <t>Cantidad vehículos</t>
  </si>
  <si>
    <t>Tarifa mensual por vehículo</t>
  </si>
  <si>
    <t>Total mensual</t>
  </si>
  <si>
    <t>Total vigencia 2026 (oct-dic)</t>
  </si>
  <si>
    <t>Pick up doble cabina 4*4</t>
  </si>
  <si>
    <t>14 horas diarias</t>
  </si>
  <si>
    <t>Lunes a viernes</t>
  </si>
  <si>
    <t>Intermedio</t>
  </si>
  <si>
    <t>Protección</t>
  </si>
  <si>
    <t>COSTEO TOTAL DE MATERIALES – 1 KIT POR CADA EMPI O BINA</t>
  </si>
  <si>
    <t>Cada cantidad indicada corresponde a la composición de 1 kit. Se requiere 1 kit por cada uno de los 17 equipos móviles (15 EMPI + 2 BINAS).</t>
  </si>
  <si>
    <t>Excepción: chalecos y carnés se calculan a razón de 1 unidad por profesional. Total profesionales: 69; por tanto, se requieren 69 chalecos y 69 carnés.</t>
  </si>
  <si>
    <t>Ítem</t>
  </si>
  <si>
    <t>Bien o servicio requerido</t>
  </si>
  <si>
    <t>Cantidad por kit</t>
  </si>
  <si>
    <t>Unidad de medida</t>
  </si>
  <si>
    <t>Kits por equipo</t>
  </si>
  <si>
    <t>Total kits requeridos</t>
  </si>
  <si>
    <t>Cantidad total requerida</t>
  </si>
  <si>
    <t>Precio unitario IVA incluido</t>
  </si>
  <si>
    <t>Costo total</t>
  </si>
  <si>
    <t>Resma Oficio (75 g/m², resma 500 hojas)</t>
  </si>
  <si>
    <t>Unidad</t>
  </si>
  <si>
    <t>Resma carta (500 hojas)</t>
  </si>
  <si>
    <t>Esferos (negro o azul) x 12 unidades</t>
  </si>
  <si>
    <t>1 paquete x 12 unidades</t>
  </si>
  <si>
    <t>Lápiz No. 2, caja x 12 unidades</t>
  </si>
  <si>
    <t>1 caja x 12 unidades</t>
  </si>
  <si>
    <t>Papel periódico (pliego 100 cm x 70 cm)</t>
  </si>
  <si>
    <t>Marcador borrable (individual)</t>
  </si>
  <si>
    <t>Chaleco</t>
  </si>
  <si>
    <t>Carné</t>
  </si>
  <si>
    <t>Balones de fútbol</t>
  </si>
  <si>
    <t>Balones de baloncesto</t>
  </si>
  <si>
    <t>Balón de voleibol</t>
  </si>
  <si>
    <t>Toallas de papel</t>
  </si>
  <si>
    <t>Borradores</t>
  </si>
  <si>
    <t>1 caja x 24 unidades</t>
  </si>
  <si>
    <t>Cartulina</t>
  </si>
  <si>
    <t>Cinta transparente</t>
  </si>
  <si>
    <t>Cinta de enmascarar</t>
  </si>
  <si>
    <t>Fichas bibliográficas</t>
  </si>
  <si>
    <t>Lana</t>
  </si>
  <si>
    <t>1 set x 12 ovillos</t>
  </si>
  <si>
    <t>Lápices de colores</t>
  </si>
  <si>
    <t>Marcadores permanentes</t>
  </si>
  <si>
    <t>Nota adhesiva</t>
  </si>
  <si>
    <t>Palos de paleta</t>
  </si>
  <si>
    <t>Papel iris</t>
  </si>
  <si>
    <t>Papel Kraft</t>
  </si>
  <si>
    <t>Pegante en barra</t>
  </si>
  <si>
    <t>1 caja x 6 unidades</t>
  </si>
  <si>
    <t>Pinceles</t>
  </si>
  <si>
    <t>Set de plumones</t>
  </si>
  <si>
    <t>Tajalápiz</t>
  </si>
  <si>
    <t>Pinturas/témperas/vinilos</t>
  </si>
  <si>
    <t>Tijeras punta roma</t>
  </si>
  <si>
    <t>TOTAL MATERIALES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</si>
</sst>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dd/mm/yyyy"/>
    <numFmt numFmtId="165" formatCode="_-[$$-409]* #,##0.00_ ;_-[$$-409]* \-#,##0.00\ ;_-[$$-409]* &quot;-&quot;??_ ;_-@_ "/>
    <numFmt numFmtId="166" formatCode="\$\ #,##0.00"/>
    <numFmt numFmtId="167" formatCode="\$\ #,##0"/>
    <numFmt numFmtId="168" formatCode="_-* #,##0_-;\-* #,##0_-;_-* &quot;-&quot;??_-;_-@_-"/>
  </numFmts>
  <fonts count="33">
    <font>
      <sz val="11"/>
      <color theme="1"/>
      <name val="Aptos Narrow"/>
      <family val="2"/>
      <scheme val="minor"/>
    </font>
    <font>
      <b/>
      <sz val="11"/>
      <color theme="1"/>
      <name val="Aptos Narrow"/>
      <family val="2"/>
      <scheme val="minor"/>
    </font>
    <font>
      <sz val="11"/>
      <color theme="0"/>
      <name val="Aptos Narrow"/>
      <family val="2"/>
      <scheme val="minor"/>
    </font>
    <font>
      <sz val="11"/>
      <name val="Carlito"/>
    </font>
    <font>
      <b/>
      <sz val="15"/>
      <color rgb="FFFFFFFF"/>
      <name val="Carlito"/>
    </font>
    <font>
      <i/>
      <sz val="10"/>
      <color rgb="FF1F1F1F"/>
      <name val="Carlito"/>
    </font>
    <font>
      <b/>
      <sz val="10"/>
      <color rgb="FFFFFFFF"/>
      <name val="Carlito"/>
    </font>
    <font>
      <b/>
      <sz val="9"/>
      <color rgb="FFFFFFFF"/>
      <name val="Carlito"/>
    </font>
    <font>
      <sz val="9"/>
      <name val="Carlito"/>
    </font>
    <font>
      <b/>
      <sz val="11"/>
      <name val="Aptos Narrow"/>
      <family val="2"/>
      <scheme val="minor"/>
    </font>
    <font>
      <sz val="8"/>
      <color rgb="FF000000"/>
      <name val="Verdana"/>
      <family val="2"/>
    </font>
    <font>
      <sz val="11"/>
      <color rgb="FF000000"/>
      <name val="Aptos Narrow"/>
      <family val="2"/>
      <scheme val="minor"/>
    </font>
    <font>
      <b/>
      <sz val="11"/>
      <color rgb="FF000000"/>
      <name val="Aptos Narrow"/>
      <family val="2"/>
      <scheme val="minor"/>
    </font>
    <font>
      <b/>
      <sz val="10"/>
      <name val="Aptos Narrow"/>
      <family val="2"/>
      <charset val="1"/>
    </font>
    <font>
      <b/>
      <sz val="10"/>
      <color rgb="FF000000"/>
      <name val="Aptos Narrow"/>
      <family val="2"/>
      <charset val="1"/>
    </font>
    <font>
      <sz val="11"/>
      <color rgb="FF000000"/>
      <name val="Aptos Narrow"/>
    </font>
    <font>
      <sz val="11"/>
      <color rgb="FF242424"/>
      <name val="Aptos Narrow"/>
      <family val="2"/>
      <scheme val="minor"/>
    </font>
    <font>
      <sz val="12"/>
      <color rgb="FF000000"/>
      <name val="Calibri"/>
      <family val="2"/>
    </font>
    <font>
      <sz val="11"/>
      <name val="Aptos Narrow"/>
      <family val="2"/>
      <scheme val="minor"/>
    </font>
    <font>
      <sz val="11"/>
      <color rgb="FF000000"/>
      <name val="Aptos Narrow"/>
      <scheme val="minor"/>
    </font>
    <font>
      <b/>
      <sz val="11"/>
      <color rgb="FF000000"/>
      <name val="Aptos Narrow"/>
      <scheme val="minor"/>
    </font>
    <font>
      <sz val="10"/>
      <color rgb="FF000000"/>
      <name val="Aptos Narrow"/>
      <family val="2"/>
      <scheme val="minor"/>
    </font>
    <font>
      <b/>
      <u/>
      <sz val="11"/>
      <color rgb="FF000000"/>
      <name val="Aptos Narrow"/>
      <scheme val="minor"/>
    </font>
    <font>
      <b/>
      <sz val="14"/>
      <color rgb="FFFFFFFF"/>
      <name val="ADLaM Display"/>
    </font>
    <font>
      <i/>
      <sz val="11"/>
      <name val="Carlito"/>
    </font>
    <font>
      <b/>
      <sz val="11"/>
      <color rgb="FFFFFFFF"/>
      <name val="ADLaM Display"/>
    </font>
    <font>
      <b/>
      <sz val="11"/>
      <color theme="0"/>
      <name val="ADLaM Display"/>
    </font>
    <font>
      <b/>
      <sz val="11"/>
      <name val="ADLaM Display"/>
    </font>
    <font>
      <sz val="11"/>
      <name val="ADLaM Display"/>
    </font>
    <font>
      <b/>
      <sz val="11"/>
      <name val="Carlito"/>
    </font>
    <font>
      <b/>
      <u/>
      <sz val="11"/>
      <name val="Carlito"/>
    </font>
    <font>
      <b/>
      <u/>
      <sz val="11"/>
      <color theme="0"/>
      <name val="ADLaM Display"/>
    </font>
    <font>
      <i/>
      <sz val="11"/>
      <color rgb="FF843C0C"/>
      <name val="Carlito"/>
    </font>
  </fonts>
  <fills count="24">
    <fill>
      <patternFill patternType="none"/>
    </fill>
    <fill>
      <patternFill patternType="gray125"/>
    </fill>
    <fill>
      <patternFill patternType="solid">
        <fgColor rgb="FFA5A5A5"/>
      </patternFill>
    </fill>
    <fill>
      <patternFill patternType="solid">
        <fgColor rgb="FF1F4E78"/>
      </patternFill>
    </fill>
    <fill>
      <patternFill patternType="solid">
        <fgColor rgb="FFD9EAF7"/>
      </patternFill>
    </fill>
    <fill>
      <patternFill patternType="solid">
        <fgColor rgb="FF5B9BD5"/>
      </patternFill>
    </fill>
    <fill>
      <patternFill patternType="solid">
        <fgColor rgb="FF70AD47"/>
      </patternFill>
    </fill>
    <fill>
      <patternFill patternType="solid">
        <fgColor rgb="FFED7D31"/>
      </patternFill>
    </fill>
    <fill>
      <patternFill patternType="solid">
        <fgColor rgb="FF8064A2"/>
      </patternFill>
    </fill>
    <fill>
      <patternFill patternType="solid">
        <fgColor rgb="FF4472C4"/>
      </patternFill>
    </fill>
    <fill>
      <patternFill patternType="solid">
        <fgColor theme="0"/>
        <bgColor indexed="64"/>
      </patternFill>
    </fill>
    <fill>
      <patternFill patternType="solid">
        <fgColor theme="4"/>
        <bgColor theme="4"/>
      </patternFill>
    </fill>
    <fill>
      <patternFill patternType="solid">
        <fgColor rgb="FFFFFF00"/>
        <bgColor indexed="64"/>
      </patternFill>
    </fill>
    <fill>
      <patternFill patternType="solid">
        <fgColor rgb="FFFFFFFF"/>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C00000"/>
        <bgColor indexed="64"/>
      </patternFill>
    </fill>
    <fill>
      <patternFill patternType="solid">
        <fgColor rgb="FFFFC000"/>
        <bgColor indexed="64"/>
      </patternFill>
    </fill>
    <fill>
      <patternFill patternType="solid">
        <fgColor rgb="FF92D050"/>
        <bgColor rgb="FF000000"/>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434BEF"/>
        <bgColor indexed="64"/>
      </patternFill>
    </fill>
    <fill>
      <patternFill patternType="solid">
        <fgColor rgb="FFE65F5C"/>
        <bgColor indexed="64"/>
      </patternFill>
    </fill>
  </fills>
  <borders count="17">
    <border>
      <left/>
      <right/>
      <top/>
      <bottom/>
      <diagonal/>
    </border>
    <border>
      <left style="thin">
        <color rgb="FFC9D5E3"/>
      </left>
      <right style="thin">
        <color rgb="FFD9E2F3"/>
      </right>
      <top style="thin">
        <color rgb="FFC9D5E3"/>
      </top>
      <bottom style="thin">
        <color rgb="FFD9E2F3"/>
      </bottom>
      <diagonal/>
    </border>
    <border>
      <left style="thin">
        <color rgb="FFD9E2F3"/>
      </left>
      <right style="thin">
        <color rgb="FFD9E2F3"/>
      </right>
      <top style="thin">
        <color rgb="FFC9D5E3"/>
      </top>
      <bottom style="thin">
        <color rgb="FFD9E2F3"/>
      </bottom>
      <diagonal/>
    </border>
    <border>
      <left style="thin">
        <color rgb="FFC9D5E3"/>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C9D5E3"/>
      </left>
      <right style="thin">
        <color rgb="FFD9E2F3"/>
      </right>
      <top style="thin">
        <color rgb="FFD9E2F3"/>
      </top>
      <bottom style="thin">
        <color rgb="FFC9D5E3"/>
      </bottom>
      <diagonal/>
    </border>
    <border>
      <left style="thin">
        <color rgb="FFD9E2F3"/>
      </left>
      <right style="thin">
        <color rgb="FFD9E2F3"/>
      </right>
      <top style="thin">
        <color rgb="FFD9E2F3"/>
      </top>
      <bottom style="thin">
        <color rgb="FFC9D5E3"/>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3">
    <xf numFmtId="0" fontId="0" fillId="0" borderId="0"/>
    <xf numFmtId="0" fontId="3" fillId="0" borderId="0"/>
    <xf numFmtId="43" fontId="3" fillId="0" borderId="0" applyFont="0" applyFill="0" applyBorder="0" applyAlignment="0" applyProtection="0"/>
  </cellStyleXfs>
  <cellXfs count="132">
    <xf numFmtId="0" fontId="0" fillId="0" borderId="0" xfId="0"/>
    <xf numFmtId="0" fontId="4" fillId="3" borderId="0" xfId="1" applyFont="1" applyFill="1" applyAlignment="1">
      <alignment horizontal="center" vertical="center"/>
    </xf>
    <xf numFmtId="0" fontId="3" fillId="0" borderId="0" xfId="1"/>
    <xf numFmtId="0" fontId="5" fillId="4" borderId="0" xfId="1" applyFont="1" applyFill="1" applyAlignment="1">
      <alignment horizontal="left" vertical="center" wrapText="1"/>
    </xf>
    <xf numFmtId="0" fontId="6" fillId="5" borderId="0" xfId="1" applyFont="1" applyFill="1" applyAlignment="1">
      <alignment horizontal="center" vertical="center"/>
    </xf>
    <xf numFmtId="0" fontId="6" fillId="6" borderId="0" xfId="1" applyFont="1" applyFill="1" applyAlignment="1">
      <alignment horizontal="center" vertical="center"/>
    </xf>
    <xf numFmtId="0" fontId="6" fillId="7" borderId="0" xfId="1" applyFont="1" applyFill="1" applyAlignment="1">
      <alignment horizontal="center" vertical="center"/>
    </xf>
    <xf numFmtId="0" fontId="6" fillId="2" borderId="0" xfId="1" applyFont="1" applyFill="1" applyAlignment="1">
      <alignment horizontal="center" vertical="center"/>
    </xf>
    <xf numFmtId="0" fontId="6" fillId="8" borderId="0" xfId="1" applyFont="1" applyFill="1" applyAlignment="1">
      <alignment horizontal="center" vertical="center"/>
    </xf>
    <xf numFmtId="0" fontId="7" fillId="9" borderId="1" xfId="1" applyFont="1" applyFill="1" applyBorder="1" applyAlignment="1">
      <alignment horizontal="center" vertical="center" wrapText="1"/>
    </xf>
    <xf numFmtId="0" fontId="7" fillId="9" borderId="2" xfId="1" applyFont="1" applyFill="1" applyBorder="1" applyAlignment="1">
      <alignment horizontal="center" vertical="center" wrapText="1"/>
    </xf>
    <xf numFmtId="0" fontId="8" fillId="10" borderId="3" xfId="1" applyFont="1" applyFill="1" applyBorder="1" applyAlignment="1">
      <alignment vertical="center" wrapText="1"/>
    </xf>
    <xf numFmtId="0" fontId="8" fillId="10" borderId="4" xfId="1" applyFont="1" applyFill="1" applyBorder="1" applyAlignment="1">
      <alignment vertical="center" wrapText="1"/>
    </xf>
    <xf numFmtId="1" fontId="8" fillId="10" borderId="4" xfId="1" applyNumberFormat="1" applyFont="1" applyFill="1" applyBorder="1" applyAlignment="1">
      <alignment vertical="center" wrapText="1"/>
    </xf>
    <xf numFmtId="164" fontId="8" fillId="10" borderId="4" xfId="1" applyNumberFormat="1" applyFont="1" applyFill="1" applyBorder="1" applyAlignment="1">
      <alignment vertical="center" wrapText="1"/>
    </xf>
    <xf numFmtId="0" fontId="8" fillId="10" borderId="4" xfId="1" applyFont="1" applyFill="1" applyBorder="1" applyAlignment="1">
      <alignment horizontal="center" vertical="center" wrapText="1"/>
    </xf>
    <xf numFmtId="164" fontId="8" fillId="10" borderId="4" xfId="1" applyNumberFormat="1" applyFont="1" applyFill="1" applyBorder="1" applyAlignment="1">
      <alignment horizontal="center" vertical="center" wrapText="1"/>
    </xf>
    <xf numFmtId="0" fontId="3" fillId="10" borderId="0" xfId="1" applyFill="1"/>
    <xf numFmtId="0" fontId="8" fillId="10" borderId="5" xfId="1" applyFont="1" applyFill="1" applyBorder="1" applyAlignment="1">
      <alignment vertical="center" wrapText="1"/>
    </xf>
    <xf numFmtId="0" fontId="8" fillId="10" borderId="6" xfId="1" applyFont="1" applyFill="1" applyBorder="1" applyAlignment="1">
      <alignment vertical="center" wrapText="1"/>
    </xf>
    <xf numFmtId="1" fontId="8" fillId="10" borderId="6" xfId="1" applyNumberFormat="1" applyFont="1" applyFill="1" applyBorder="1" applyAlignment="1">
      <alignment vertical="center" wrapText="1"/>
    </xf>
    <xf numFmtId="164" fontId="8" fillId="10" borderId="6" xfId="1" applyNumberFormat="1" applyFont="1" applyFill="1" applyBorder="1" applyAlignment="1">
      <alignment vertical="center" wrapText="1"/>
    </xf>
    <xf numFmtId="0" fontId="8" fillId="10" borderId="6" xfId="1" applyFont="1" applyFill="1" applyBorder="1" applyAlignment="1">
      <alignment horizontal="center" vertical="center" wrapText="1"/>
    </xf>
    <xf numFmtId="164" fontId="8" fillId="10" borderId="6" xfId="1" applyNumberFormat="1" applyFont="1" applyFill="1" applyBorder="1" applyAlignment="1">
      <alignment horizontal="center" vertical="center" wrapText="1"/>
    </xf>
    <xf numFmtId="0" fontId="3" fillId="0" borderId="0" xfId="1" applyAlignment="1">
      <alignment horizontal="center"/>
    </xf>
    <xf numFmtId="0" fontId="9" fillId="11" borderId="7" xfId="0" applyFont="1" applyFill="1" applyBorder="1" applyAlignment="1">
      <alignment horizontal="center" vertical="center" wrapText="1"/>
    </xf>
    <xf numFmtId="2" fontId="9" fillId="11" borderId="7" xfId="0" applyNumberFormat="1" applyFont="1" applyFill="1" applyBorder="1" applyAlignment="1">
      <alignment horizontal="left" vertical="center" wrapText="1"/>
    </xf>
    <xf numFmtId="2" fontId="9" fillId="11" borderId="7" xfId="0" applyNumberFormat="1" applyFont="1" applyFill="1" applyBorder="1" applyAlignment="1">
      <alignment horizontal="center" vertical="center" wrapText="1"/>
    </xf>
    <xf numFmtId="2" fontId="0" fillId="0" borderId="0" xfId="0" applyNumberFormat="1" applyAlignment="1">
      <alignment vertical="top"/>
    </xf>
    <xf numFmtId="2" fontId="0" fillId="0" borderId="0" xfId="0" applyNumberFormat="1"/>
    <xf numFmtId="0" fontId="10" fillId="0" borderId="0" xfId="0" applyFont="1"/>
    <xf numFmtId="1" fontId="0" fillId="0" borderId="0" xfId="0" applyNumberFormat="1" applyAlignment="1">
      <alignment horizontal="left"/>
    </xf>
    <xf numFmtId="0" fontId="0" fillId="0" borderId="0" xfId="0" applyAlignment="1">
      <alignment horizontal="right"/>
    </xf>
    <xf numFmtId="0" fontId="0" fillId="12" borderId="0" xfId="0" applyFill="1"/>
    <xf numFmtId="0" fontId="11" fillId="13" borderId="0" xfId="0" applyFont="1" applyFill="1" applyAlignment="1">
      <alignment horizontal="left" vertical="center" wrapText="1"/>
    </xf>
    <xf numFmtId="1" fontId="11" fillId="13" borderId="0" xfId="0" applyNumberFormat="1" applyFont="1" applyFill="1" applyAlignment="1">
      <alignment horizontal="left" vertical="center" wrapText="1"/>
    </xf>
    <xf numFmtId="0" fontId="11" fillId="13" borderId="0" xfId="0" applyFont="1" applyFill="1" applyAlignment="1">
      <alignment horizontal="right" vertical="center" wrapText="1"/>
    </xf>
    <xf numFmtId="0" fontId="1" fillId="14" borderId="8" xfId="0" applyFont="1" applyFill="1" applyBorder="1" applyAlignment="1">
      <alignment horizontal="center" vertical="center" wrapText="1"/>
    </xf>
    <xf numFmtId="0" fontId="12" fillId="14" borderId="8" xfId="0" applyFont="1" applyFill="1" applyBorder="1" applyAlignment="1">
      <alignment horizontal="center" vertical="center" wrapText="1"/>
    </xf>
    <xf numFmtId="0" fontId="1" fillId="15" borderId="8" xfId="0" applyFont="1" applyFill="1" applyBorder="1" applyAlignment="1">
      <alignment horizontal="center" vertical="center" wrapText="1"/>
    </xf>
    <xf numFmtId="0" fontId="0" fillId="0" borderId="0" xfId="0" applyAlignment="1">
      <alignment vertical="center"/>
    </xf>
    <xf numFmtId="0" fontId="0" fillId="0" borderId="9" xfId="0" applyBorder="1" applyAlignment="1">
      <alignment vertical="center"/>
    </xf>
    <xf numFmtId="0" fontId="0" fillId="0" borderId="9" xfId="0" applyBorder="1" applyAlignment="1">
      <alignment vertical="center" wrapText="1"/>
    </xf>
    <xf numFmtId="0" fontId="0" fillId="0" borderId="9" xfId="0" applyBorder="1" applyAlignment="1">
      <alignment horizontal="center" vertical="center"/>
    </xf>
    <xf numFmtId="0" fontId="0" fillId="0" borderId="0" xfId="0" applyAlignment="1">
      <alignment horizontal="center" vertical="center"/>
    </xf>
    <xf numFmtId="0" fontId="13" fillId="13" borderId="9" xfId="0" applyFont="1" applyFill="1" applyBorder="1" applyAlignment="1">
      <alignment horizontal="center" vertical="center"/>
    </xf>
    <xf numFmtId="0" fontId="13" fillId="13" borderId="10" xfId="0" applyFont="1" applyFill="1" applyBorder="1" applyAlignment="1">
      <alignment horizontal="center" vertical="center" wrapText="1"/>
    </xf>
    <xf numFmtId="0" fontId="14" fillId="13" borderId="11" xfId="0" applyFont="1" applyFill="1" applyBorder="1" applyAlignment="1">
      <alignment horizontal="center" vertical="center" wrapText="1"/>
    </xf>
    <xf numFmtId="0" fontId="14" fillId="13" borderId="0" xfId="0" applyFont="1" applyFill="1" applyAlignment="1">
      <alignment horizontal="center" vertical="center" wrapText="1"/>
    </xf>
    <xf numFmtId="49" fontId="0" fillId="0" borderId="9" xfId="0" applyNumberFormat="1" applyBorder="1" applyAlignment="1">
      <alignment horizontal="center" vertical="center"/>
    </xf>
    <xf numFmtId="49" fontId="0" fillId="0" borderId="9" xfId="0" applyNumberFormat="1" applyBorder="1" applyAlignment="1">
      <alignment horizontal="center" vertical="center" wrapText="1"/>
    </xf>
    <xf numFmtId="0" fontId="11" fillId="0" borderId="9" xfId="0" applyFont="1" applyBorder="1" applyAlignment="1">
      <alignment horizontal="center" vertical="center" wrapText="1"/>
    </xf>
    <xf numFmtId="0" fontId="0" fillId="12" borderId="9" xfId="0" applyFill="1" applyBorder="1" applyAlignment="1">
      <alignment horizontal="center" vertical="center" wrapText="1"/>
    </xf>
    <xf numFmtId="0" fontId="0" fillId="10" borderId="9" xfId="0" applyFill="1" applyBorder="1" applyAlignment="1">
      <alignment horizontal="center" vertical="center" wrapText="1"/>
    </xf>
    <xf numFmtId="14" fontId="0" fillId="10" borderId="9" xfId="0" applyNumberFormat="1" applyFill="1" applyBorder="1" applyAlignment="1">
      <alignment horizontal="center" vertical="center" wrapText="1"/>
    </xf>
    <xf numFmtId="165" fontId="11" fillId="10" borderId="9" xfId="0" applyNumberFormat="1" applyFont="1" applyFill="1" applyBorder="1" applyAlignment="1">
      <alignment horizontal="center" vertical="center" wrapText="1"/>
    </xf>
    <xf numFmtId="0" fontId="0" fillId="10" borderId="12" xfId="0" applyFill="1" applyBorder="1" applyAlignment="1">
      <alignment horizontal="center" vertical="center" wrapText="1"/>
    </xf>
    <xf numFmtId="0" fontId="0" fillId="0" borderId="9" xfId="0" applyBorder="1" applyAlignment="1">
      <alignment horizontal="center" vertical="center" wrapText="1"/>
    </xf>
    <xf numFmtId="4" fontId="0" fillId="0" borderId="9" xfId="0" applyNumberFormat="1" applyBorder="1" applyAlignment="1">
      <alignment horizontal="center" vertical="center" wrapText="1"/>
    </xf>
    <xf numFmtId="0" fontId="0" fillId="10" borderId="11" xfId="0" applyFill="1" applyBorder="1" applyAlignment="1">
      <alignment horizontal="center" vertical="center" wrapText="1"/>
    </xf>
    <xf numFmtId="0" fontId="15" fillId="0" borderId="9" xfId="0" applyFont="1" applyBorder="1" applyAlignment="1">
      <alignment horizontal="center" vertical="center" wrapText="1"/>
    </xf>
    <xf numFmtId="1" fontId="0" fillId="0" borderId="9" xfId="0" applyNumberFormat="1" applyBorder="1" applyAlignment="1">
      <alignment horizontal="center" vertical="center" wrapText="1"/>
    </xf>
    <xf numFmtId="0" fontId="0" fillId="0" borderId="0" xfId="0" applyAlignment="1">
      <alignment horizontal="center" vertical="center" wrapText="1"/>
    </xf>
    <xf numFmtId="0" fontId="0" fillId="12" borderId="0" xfId="0" applyFill="1" applyAlignment="1">
      <alignment horizontal="center" vertical="center" wrapText="1"/>
    </xf>
    <xf numFmtId="14" fontId="0" fillId="10" borderId="13" xfId="0" applyNumberFormat="1" applyFill="1" applyBorder="1" applyAlignment="1">
      <alignment horizontal="center" vertical="center" wrapText="1"/>
    </xf>
    <xf numFmtId="0" fontId="11" fillId="10" borderId="9" xfId="0" applyFont="1" applyFill="1" applyBorder="1" applyAlignment="1">
      <alignment horizontal="center" vertical="center" wrapText="1"/>
    </xf>
    <xf numFmtId="0" fontId="15" fillId="10" borderId="9" xfId="0" applyFont="1" applyFill="1" applyBorder="1" applyAlignment="1">
      <alignment horizontal="center" vertical="center" wrapText="1"/>
    </xf>
    <xf numFmtId="1" fontId="0" fillId="10" borderId="9" xfId="0" applyNumberFormat="1" applyFill="1" applyBorder="1" applyAlignment="1">
      <alignment horizontal="center" vertical="center" wrapText="1"/>
    </xf>
    <xf numFmtId="0" fontId="0" fillId="10" borderId="0" xfId="0" applyFill="1" applyAlignment="1">
      <alignment horizontal="center" vertical="center" wrapText="1"/>
    </xf>
    <xf numFmtId="0" fontId="0" fillId="0" borderId="14" xfId="0" applyBorder="1" applyAlignment="1">
      <alignment horizontal="center" vertical="center" wrapText="1"/>
    </xf>
    <xf numFmtId="0" fontId="0" fillId="10" borderId="14" xfId="0" applyFill="1" applyBorder="1" applyAlignment="1">
      <alignment horizontal="center" vertical="center" wrapText="1"/>
    </xf>
    <xf numFmtId="14" fontId="0" fillId="0" borderId="9" xfId="0" applyNumberFormat="1" applyBorder="1" applyAlignment="1">
      <alignment horizontal="center" vertical="center" wrapText="1"/>
    </xf>
    <xf numFmtId="0" fontId="16" fillId="10" borderId="9" xfId="0" applyFont="1" applyFill="1" applyBorder="1" applyAlignment="1">
      <alignment horizontal="center" vertical="center" wrapText="1"/>
    </xf>
    <xf numFmtId="0" fontId="17" fillId="10" borderId="9" xfId="0" applyFont="1" applyFill="1" applyBorder="1" applyAlignment="1">
      <alignment horizontal="center" vertical="center"/>
    </xf>
    <xf numFmtId="0" fontId="0" fillId="0" borderId="15" xfId="0" applyBorder="1" applyAlignment="1">
      <alignment horizontal="center" vertical="center" wrapText="1"/>
    </xf>
    <xf numFmtId="0" fontId="0" fillId="0" borderId="13" xfId="0" applyBorder="1" applyAlignment="1">
      <alignment horizontal="center" vertical="center" wrapText="1"/>
    </xf>
    <xf numFmtId="0" fontId="0" fillId="0" borderId="16" xfId="0" applyBorder="1" applyAlignment="1">
      <alignment horizontal="center" vertical="center" wrapText="1"/>
    </xf>
    <xf numFmtId="0" fontId="0" fillId="10" borderId="13" xfId="0" applyFill="1" applyBorder="1" applyAlignment="1">
      <alignment horizontal="center" vertical="center" wrapText="1"/>
    </xf>
    <xf numFmtId="0" fontId="0" fillId="16" borderId="9" xfId="0" applyFill="1" applyBorder="1" applyAlignment="1">
      <alignment horizontal="center" vertical="center" wrapText="1"/>
    </xf>
    <xf numFmtId="0" fontId="18" fillId="0" borderId="9" xfId="0" applyFont="1" applyBorder="1" applyAlignment="1">
      <alignment horizontal="center" vertical="center" wrapText="1"/>
    </xf>
    <xf numFmtId="0" fontId="11" fillId="0" borderId="9" xfId="0" applyFont="1" applyBorder="1" applyAlignment="1">
      <alignment horizontal="center" vertical="center"/>
    </xf>
    <xf numFmtId="0" fontId="0" fillId="12" borderId="9" xfId="0" applyFill="1" applyBorder="1" applyAlignment="1">
      <alignment horizontal="center" vertical="center"/>
    </xf>
    <xf numFmtId="0" fontId="0" fillId="10" borderId="9" xfId="0" applyFill="1" applyBorder="1" applyAlignment="1">
      <alignment horizontal="center" vertical="center"/>
    </xf>
    <xf numFmtId="14" fontId="0" fillId="10" borderId="9" xfId="0" applyNumberFormat="1" applyFill="1" applyBorder="1" applyAlignment="1">
      <alignment horizontal="center" vertical="center"/>
    </xf>
    <xf numFmtId="0" fontId="15" fillId="10" borderId="9" xfId="0" applyFont="1" applyFill="1" applyBorder="1" applyAlignment="1">
      <alignment horizontal="center" vertical="center"/>
    </xf>
    <xf numFmtId="1" fontId="0" fillId="10" borderId="9" xfId="0" applyNumberFormat="1" applyFill="1" applyBorder="1" applyAlignment="1">
      <alignment horizontal="center" vertical="center"/>
    </xf>
    <xf numFmtId="0" fontId="0" fillId="10" borderId="0" xfId="0" applyFill="1" applyAlignment="1">
      <alignment horizontal="center" vertical="center"/>
    </xf>
    <xf numFmtId="0" fontId="15" fillId="0" borderId="9" xfId="0" applyFont="1" applyBorder="1" applyAlignment="1">
      <alignment horizontal="center" vertical="center"/>
    </xf>
    <xf numFmtId="0" fontId="0" fillId="12" borderId="0" xfId="0" applyFill="1" applyAlignment="1">
      <alignment horizontal="center" vertical="center"/>
    </xf>
    <xf numFmtId="0" fontId="2" fillId="17" borderId="9" xfId="0" applyFont="1" applyFill="1" applyBorder="1" applyAlignment="1">
      <alignment horizontal="center" vertical="center"/>
    </xf>
    <xf numFmtId="0" fontId="19" fillId="10" borderId="9" xfId="0" applyFont="1" applyFill="1" applyBorder="1" applyAlignment="1">
      <alignment horizontal="center" vertical="center" wrapText="1"/>
    </xf>
    <xf numFmtId="0" fontId="0" fillId="18" borderId="9" xfId="0" applyFill="1" applyBorder="1" applyAlignment="1">
      <alignment horizontal="center" vertical="center"/>
    </xf>
    <xf numFmtId="49" fontId="11" fillId="0" borderId="9" xfId="0" applyNumberFormat="1" applyFont="1" applyBorder="1" applyAlignment="1">
      <alignment horizontal="center" vertical="center" wrapText="1"/>
    </xf>
    <xf numFmtId="0" fontId="21" fillId="0" borderId="9" xfId="0" applyFont="1" applyBorder="1" applyAlignment="1">
      <alignment horizontal="center" vertical="center" wrapText="1"/>
    </xf>
    <xf numFmtId="49" fontId="11" fillId="0" borderId="9" xfId="0" applyNumberFormat="1" applyFont="1" applyBorder="1" applyAlignment="1">
      <alignment horizontal="center" vertical="center"/>
    </xf>
    <xf numFmtId="0" fontId="15" fillId="19" borderId="9" xfId="0" applyFont="1" applyFill="1" applyBorder="1" applyAlignment="1">
      <alignment horizontal="center" vertical="center"/>
    </xf>
    <xf numFmtId="14" fontId="15" fillId="10" borderId="9" xfId="0" applyNumberFormat="1" applyFont="1" applyFill="1" applyBorder="1" applyAlignment="1">
      <alignment horizontal="center" vertical="center" wrapText="1"/>
    </xf>
    <xf numFmtId="165" fontId="0" fillId="0" borderId="9" xfId="0" applyNumberFormat="1" applyBorder="1" applyAlignment="1">
      <alignment horizontal="center" vertical="center" wrapText="1"/>
    </xf>
    <xf numFmtId="49" fontId="0" fillId="10" borderId="9" xfId="0" applyNumberFormat="1" applyFill="1" applyBorder="1" applyAlignment="1">
      <alignment horizontal="center" vertical="center" wrapText="1"/>
    </xf>
    <xf numFmtId="0" fontId="11" fillId="10" borderId="9" xfId="0" applyFont="1" applyFill="1" applyBorder="1" applyAlignment="1">
      <alignment horizontal="center" vertical="center"/>
    </xf>
    <xf numFmtId="165" fontId="15" fillId="10" borderId="9" xfId="0" applyNumberFormat="1" applyFont="1" applyFill="1" applyBorder="1" applyAlignment="1">
      <alignment horizontal="center" vertical="center"/>
    </xf>
    <xf numFmtId="0" fontId="0" fillId="20" borderId="9" xfId="0" applyFill="1" applyBorder="1" applyAlignment="1">
      <alignment horizontal="center" vertical="center"/>
    </xf>
    <xf numFmtId="0" fontId="13" fillId="21" borderId="9" xfId="0" applyFont="1" applyFill="1" applyBorder="1" applyAlignment="1">
      <alignment horizontal="center" vertical="center"/>
    </xf>
    <xf numFmtId="0" fontId="13" fillId="21" borderId="10" xfId="0" applyFont="1" applyFill="1" applyBorder="1" applyAlignment="1">
      <alignment horizontal="center" vertical="center" wrapText="1"/>
    </xf>
    <xf numFmtId="0" fontId="14" fillId="21" borderId="11" xfId="0" applyFont="1" applyFill="1" applyBorder="1" applyAlignment="1">
      <alignment horizontal="center" vertical="center" wrapText="1"/>
    </xf>
    <xf numFmtId="0" fontId="14" fillId="21" borderId="0" xfId="0" applyFont="1" applyFill="1" applyAlignment="1">
      <alignment horizontal="center" vertical="center" wrapText="1"/>
    </xf>
    <xf numFmtId="0" fontId="0" fillId="21" borderId="0" xfId="0" applyFill="1"/>
    <xf numFmtId="0" fontId="23" fillId="22" borderId="0" xfId="1" applyFont="1" applyFill="1" applyAlignment="1">
      <alignment horizontal="center" vertical="center" wrapText="1"/>
    </xf>
    <xf numFmtId="0" fontId="24" fillId="4" borderId="0" xfId="1" applyFont="1" applyFill="1" applyAlignment="1">
      <alignment vertical="center" wrapText="1"/>
    </xf>
    <xf numFmtId="0" fontId="3" fillId="0" borderId="0" xfId="1" applyAlignment="1">
      <alignment vertical="center" wrapText="1"/>
    </xf>
    <xf numFmtId="0" fontId="25" fillId="22" borderId="0" xfId="1" applyFont="1" applyFill="1" applyAlignment="1">
      <alignment horizontal="center" vertical="center" wrapText="1"/>
    </xf>
    <xf numFmtId="0" fontId="3" fillId="0" borderId="0" xfId="1" applyAlignment="1">
      <alignment horizontal="center" vertical="center" wrapText="1"/>
    </xf>
    <xf numFmtId="166" fontId="3" fillId="0" borderId="0" xfId="1" applyNumberFormat="1" applyAlignment="1">
      <alignment vertical="center" wrapText="1"/>
    </xf>
    <xf numFmtId="0" fontId="26" fillId="23" borderId="0" xfId="1" applyFont="1" applyFill="1" applyAlignment="1">
      <alignment vertical="center" wrapText="1"/>
    </xf>
    <xf numFmtId="166" fontId="26" fillId="23" borderId="0" xfId="1" applyNumberFormat="1" applyFont="1" applyFill="1" applyAlignment="1">
      <alignment horizontal="center" vertical="center" wrapText="1"/>
    </xf>
    <xf numFmtId="0" fontId="26" fillId="23" borderId="0" xfId="1" applyFont="1" applyFill="1" applyAlignment="1">
      <alignment horizontal="center" vertical="center" wrapText="1"/>
    </xf>
    <xf numFmtId="0" fontId="24" fillId="4" borderId="0" xfId="1" applyFont="1" applyFill="1" applyAlignment="1">
      <alignment horizontal="left" vertical="center" wrapText="1"/>
    </xf>
    <xf numFmtId="0" fontId="27" fillId="0" borderId="0" xfId="1" applyFont="1" applyAlignment="1">
      <alignment vertical="center" wrapText="1"/>
    </xf>
    <xf numFmtId="0" fontId="28" fillId="0" borderId="0" xfId="1" applyFont="1" applyAlignment="1">
      <alignment vertical="center" wrapText="1"/>
    </xf>
    <xf numFmtId="0" fontId="27" fillId="0" borderId="0" xfId="1" applyFont="1" applyAlignment="1">
      <alignment horizontal="center" vertical="center" wrapText="1"/>
    </xf>
    <xf numFmtId="0" fontId="29" fillId="0" borderId="0" xfId="1" applyFont="1" applyAlignment="1">
      <alignment horizontal="center" vertical="center" wrapText="1"/>
    </xf>
    <xf numFmtId="167" fontId="30" fillId="0" borderId="0" xfId="1" applyNumberFormat="1" applyFont="1" applyAlignment="1">
      <alignment vertical="center" wrapText="1"/>
    </xf>
    <xf numFmtId="167" fontId="3" fillId="0" borderId="0" xfId="1" applyNumberFormat="1" applyAlignment="1">
      <alignment vertical="center" wrapText="1"/>
    </xf>
    <xf numFmtId="167" fontId="30" fillId="0" borderId="0" xfId="1" applyNumberFormat="1" applyFont="1" applyAlignment="1">
      <alignment vertical="center"/>
    </xf>
    <xf numFmtId="167" fontId="3" fillId="0" borderId="0" xfId="1" applyNumberFormat="1" applyAlignment="1">
      <alignment vertical="center"/>
    </xf>
    <xf numFmtId="168" fontId="0" fillId="0" borderId="0" xfId="2" applyNumberFormat="1" applyFont="1" applyAlignment="1">
      <alignment vertical="center" wrapText="1"/>
    </xf>
    <xf numFmtId="168" fontId="0" fillId="0" borderId="0" xfId="2" applyNumberFormat="1" applyFont="1" applyAlignment="1">
      <alignment horizontal="center" vertical="center" wrapText="1"/>
    </xf>
    <xf numFmtId="168" fontId="0" fillId="0" borderId="0" xfId="2" applyNumberFormat="1" applyFont="1"/>
    <xf numFmtId="167" fontId="31" fillId="23" borderId="0" xfId="1" applyNumberFormat="1" applyFont="1" applyFill="1" applyAlignment="1">
      <alignment vertical="center" wrapText="1"/>
    </xf>
    <xf numFmtId="0" fontId="24" fillId="10" borderId="0" xfId="1" applyFont="1" applyFill="1" applyAlignment="1">
      <alignment vertical="center" wrapText="1"/>
    </xf>
    <xf numFmtId="168" fontId="3" fillId="0" borderId="0" xfId="1" applyNumberFormat="1"/>
    <xf numFmtId="0" fontId="32" fillId="10" borderId="0" xfId="1" applyFont="1" applyFill="1" applyAlignment="1">
      <alignment vertical="center" wrapText="1"/>
    </xf>
  </cellXfs>
  <cellStyles count="3">
    <cellStyle name="Millares 2" xfId="2" xr:uid="{F6281FCF-E2A0-4148-8D2C-686352CB904F}"/>
    <cellStyle name="Normal" xfId="0" builtinId="0"/>
    <cellStyle name="Normal 2" xfId="1" xr:uid="{B68DFD3C-AC67-4C11-84D6-780FDB49B213}"/>
  </cellStyles>
  <dxfs count="53">
    <dxf>
      <font>
        <color rgb="FF000000"/>
      </font>
      <fill>
        <patternFill>
          <bgColor rgb="FF92D050"/>
        </patternFill>
      </fill>
    </dxf>
    <dxf>
      <font>
        <color rgb="FF9C0006"/>
      </font>
      <fill>
        <patternFill>
          <bgColor rgb="FFFFC000"/>
        </patternFill>
      </fill>
    </dxf>
    <dxf>
      <font>
        <color rgb="FFFFFFFF"/>
      </font>
      <fill>
        <patternFill>
          <bgColor rgb="FFFF0000"/>
        </patternFill>
      </fill>
    </dxf>
    <dxf>
      <font>
        <color rgb="FFFFFFFF"/>
      </font>
      <fill>
        <patternFill>
          <bgColor rgb="FFC00000"/>
        </patternFill>
      </fill>
    </dxf>
    <dxf>
      <font>
        <color rgb="FF000000"/>
      </font>
      <fill>
        <patternFill>
          <bgColor rgb="FFFFFF00"/>
        </patternFill>
      </fill>
    </dxf>
    <dxf>
      <font>
        <color theme="0"/>
      </font>
      <fill>
        <patternFill patternType="solid">
          <bgColor rgb="FFFF0000"/>
        </patternFill>
      </fill>
    </dxf>
    <dxf>
      <font>
        <color rgb="FF9C0006"/>
      </font>
      <fill>
        <patternFill patternType="solid">
          <bgColor rgb="FFFFC000"/>
        </patternFill>
      </fill>
    </dxf>
    <dxf>
      <font>
        <color theme="1"/>
      </font>
      <fill>
        <patternFill patternType="solid">
          <bgColor rgb="FFFFFF00"/>
        </patternFill>
      </fill>
    </dxf>
    <dxf>
      <font>
        <color theme="1"/>
      </font>
      <fill>
        <patternFill patternType="solid">
          <bgColor rgb="FF92D050"/>
        </patternFill>
      </fill>
    </dxf>
    <dxf>
      <font>
        <color theme="0"/>
      </font>
      <fill>
        <patternFill patternType="solid">
          <bgColor rgb="FFC00000"/>
        </patternFill>
      </fill>
    </dxf>
    <dxf>
      <font>
        <color rgb="FF9C0006"/>
      </font>
      <fill>
        <patternFill>
          <bgColor rgb="FFFFC000"/>
        </patternFill>
      </fill>
    </dxf>
    <dxf>
      <font>
        <color rgb="FFFFFFFF"/>
      </font>
      <fill>
        <patternFill>
          <bgColor rgb="FFFF0000"/>
        </patternFill>
      </fill>
    </dxf>
    <dxf>
      <font>
        <color rgb="FFFFFFFF"/>
      </font>
      <fill>
        <patternFill>
          <bgColor rgb="FFC00000"/>
        </patternFill>
      </fill>
    </dxf>
    <dxf>
      <font>
        <color rgb="FF000000"/>
      </font>
      <fill>
        <patternFill>
          <bgColor rgb="FFFFFF00"/>
        </patternFill>
      </fill>
    </dxf>
    <dxf>
      <font>
        <color rgb="FF000000"/>
      </font>
      <fill>
        <patternFill>
          <bgColor rgb="FF92D050"/>
        </patternFill>
      </fill>
    </dxf>
    <dxf>
      <font>
        <color rgb="FF9C0006"/>
      </font>
      <fill>
        <patternFill patternType="solid">
          <bgColor rgb="FFFFC000"/>
        </patternFill>
      </fill>
    </dxf>
    <dxf>
      <font>
        <color theme="0"/>
      </font>
      <fill>
        <patternFill patternType="solid">
          <bgColor rgb="FFFF0000"/>
        </patternFill>
      </fill>
    </dxf>
    <dxf>
      <font>
        <color theme="0"/>
      </font>
      <fill>
        <patternFill patternType="solid">
          <bgColor rgb="FFC00000"/>
        </patternFill>
      </fill>
    </dxf>
    <dxf>
      <font>
        <color theme="1"/>
      </font>
      <fill>
        <patternFill patternType="solid">
          <bgColor rgb="FFFFFF00"/>
        </patternFill>
      </fill>
    </dxf>
    <dxf>
      <font>
        <color theme="1"/>
      </font>
      <fill>
        <patternFill patternType="solid">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center" textRotation="0" wrapText="1" indent="0" justifyLastLine="0" shrinkToFit="0" readingOrder="0"/>
      <border outline="0">
        <left style="thin">
          <color rgb="FFD9E2F3"/>
        </left>
      </border>
    </dxf>
    <dxf>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rgb="FFD9E2F3"/>
        </left>
        <right style="thin">
          <color rgb="FFD9E2F3"/>
        </right>
      </border>
    </dxf>
    <dxf>
      <alignment horizontal="center" vertical="center" textRotation="0" wrapText="1" indent="0" justifyLastLine="0" shrinkToFit="0" readingOrder="0"/>
    </dxf>
    <dxf>
      <alignment horizontal="general" vertical="center" textRotation="0" wrapText="1" indent="0" justifyLastLine="0" shrinkToFit="0" readingOrder="0"/>
      <border outline="0">
        <left style="thin">
          <color rgb="FFD9E2F3"/>
        </left>
        <right style="thin">
          <color rgb="FFD9E2F3"/>
        </right>
      </border>
    </dxf>
    <dxf>
      <alignment horizontal="center" vertical="center" textRotation="0" wrapText="1" indent="0" justifyLastLine="0" shrinkToFit="0" readingOrder="0"/>
    </dxf>
    <dxf>
      <alignment horizontal="general" vertical="center" textRotation="0" wrapText="1" indent="0" justifyLastLine="0" shrinkToFit="0" readingOrder="0"/>
      <border outline="0">
        <left style="thin">
          <color rgb="FFD9E2F3"/>
        </left>
        <right style="thin">
          <color rgb="FFD9E2F3"/>
        </right>
      </border>
    </dxf>
    <dxf>
      <alignment horizontal="center" vertical="center" textRotation="0" wrapText="1" indent="0" justifyLastLine="0" shrinkToFit="0" readingOrder="0"/>
    </dxf>
    <dxf>
      <alignment horizontal="general" vertical="center" textRotation="0" wrapText="1" indent="0" justifyLastLine="0" shrinkToFit="0" readingOrder="0"/>
      <border outline="0">
        <right style="thin">
          <color rgb="FFD9E2F3"/>
        </right>
      </border>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17/06/relationships/richStyles" Target="richData/richStyles.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Array" Target="richData/rdarray.xml"/><Relationship Id="rId25" Type="http://schemas.openxmlformats.org/officeDocument/2006/relationships/customXml" Target="../customXml/item3.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24" Type="http://schemas.openxmlformats.org/officeDocument/2006/relationships/customXml" Target="../customXml/item2.xml"/><Relationship Id="rId5" Type="http://schemas.openxmlformats.org/officeDocument/2006/relationships/worksheet" Target="worksheets/sheet5.xml"/><Relationship Id="rId15" Type="http://schemas.microsoft.com/office/2017/06/relationships/rdRichValue" Target="richData/rdrichvalue.xml"/><Relationship Id="rId23" Type="http://schemas.openxmlformats.org/officeDocument/2006/relationships/customXml" Target="../customXml/item1.xml"/><Relationship Id="rId10" Type="http://schemas.openxmlformats.org/officeDocument/2006/relationships/theme" Target="theme/theme1.xml"/><Relationship Id="rId19"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0/07/relationships/rdRichValueWebImage" Target="richData/rdRichValueWebImage.xml"/><Relationship Id="rId22" Type="http://schemas.openxmlformats.org/officeDocument/2006/relationships/calcChain" Target="calcChain.xml"/></Relationship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Cauca%20(Colombia)" TargetMode="External"/><Relationship Id="rId13" Type="http://schemas.openxmlformats.org/officeDocument/2006/relationships/hyperlink" Target="https://www.bing.com/th?id=OSK.7e397e3fb4c9d33d08edcc13c71b91dd&amp;qlt=95" TargetMode="External"/><Relationship Id="rId3" Type="http://schemas.openxmlformats.org/officeDocument/2006/relationships/hyperlink" Target="https://www.bing.com/th?id=OSK.32lhH8tpSgrCOdXRH0XX2oaIZehV3NHBZjj-SJJTeME&amp;qlt=95" TargetMode="External"/><Relationship Id="rId7" Type="http://schemas.openxmlformats.org/officeDocument/2006/relationships/hyperlink" Target="https://www.bing.com/th?id=OSK.ca28bc7f6ea1a2af24c712db31d74094&amp;qlt=95" TargetMode="External"/><Relationship Id="rId12" Type="http://schemas.openxmlformats.org/officeDocument/2006/relationships/hyperlink" Target="https://www.bing.com/images/search?form=xlimg&amp;q=Choc%c3%b3" TargetMode="External"/><Relationship Id="rId2" Type="http://schemas.openxmlformats.org/officeDocument/2006/relationships/hyperlink" Target="https://www.bing.com/images/search?form=xlimg&amp;q=Antioquia" TargetMode="External"/><Relationship Id="rId1" Type="http://schemas.openxmlformats.org/officeDocument/2006/relationships/hyperlink" Target="https://www.bing.com/th?id=OSK.mBd3eeSBkK580Qjdz0Wp97BRLVhTsr-bu055Up99k0o&amp;qlt=95" TargetMode="External"/><Relationship Id="rId6" Type="http://schemas.openxmlformats.org/officeDocument/2006/relationships/hyperlink" Target="https://www.bing.com/images/search?form=xlimg&amp;q=Caldas" TargetMode="External"/><Relationship Id="rId11" Type="http://schemas.openxmlformats.org/officeDocument/2006/relationships/hyperlink" Target="https://www.bing.com/th?id=OSK.3351b9695809945affd73e775e876ac0&amp;qlt=95" TargetMode="External"/><Relationship Id="rId5" Type="http://schemas.openxmlformats.org/officeDocument/2006/relationships/hyperlink" Target="https://www.bing.com/th?id=OSK.8e457b3f54c1bc4523f3e904e8a45a57&amp;qlt=95" TargetMode="External"/><Relationship Id="rId10" Type="http://schemas.openxmlformats.org/officeDocument/2006/relationships/hyperlink" Target="https://www.bing.com/images/search?form=xlimg&amp;q=Cesar" TargetMode="External"/><Relationship Id="rId4" Type="http://schemas.openxmlformats.org/officeDocument/2006/relationships/hyperlink" Target="https://www.bing.com/images/search?form=xlimg&amp;q=Bogot%c3%a1" TargetMode="External"/><Relationship Id="rId9" Type="http://schemas.openxmlformats.org/officeDocument/2006/relationships/hyperlink" Target="https://www.bing.com/th?id=OSK.5455f69978d8a9517c9c353826bfddee&amp;qlt=95" TargetMode="External"/><Relationship Id="rId14" Type="http://schemas.openxmlformats.org/officeDocument/2006/relationships/hyperlink" Target="https://www.bing.com/images/search?form=xlimg&amp;q=Cundinamarca"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Srd>
</file>

<file path=xl/richData/rdarray.xml><?xml version="1.0" encoding="utf-8"?>
<arrayData xmlns="http://schemas.microsoft.com/office/spreadsheetml/2017/richdata2" count="9">
  <a r="1">
    <v t="s">Idioma español</v>
  </a>
  <a r="2">
    <v t="r">6</v>
    <v t="r">7</v>
  </a>
  <a r="1">
    <v t="s">UTC-05:00</v>
  </a>
  <a r="1">
    <v t="r">18</v>
  </a>
  <a r="2">
    <v t="r">28</v>
    <v t="r">29</v>
  </a>
  <a r="2">
    <v t="r">39</v>
    <v t="r">40</v>
  </a>
  <a r="2">
    <v t="r">50</v>
    <v t="r">51</v>
  </a>
  <a r="2">
    <v t="r">61</v>
    <v t="r">62</v>
  </a>
  <a r="2">
    <v t="r">71</v>
    <v t="r">72</v>
  </a>
</arrayData>
</file>

<file path=xl/richData/rdrichvalue.xml><?xml version="1.0" encoding="utf-8"?>
<rvData xmlns="http://schemas.microsoft.com/office/spreadsheetml/2017/richdata" count="77">
  <rv s="0">
    <v>536870912</v>
    <v>Antioquia</v>
    <v>d3614470-a93c-5d64-a636-9da2dff33c3d</v>
    <v>es-ES</v>
    <v>Map</v>
  </rv>
  <rv s="1">
    <fb>63612</fb>
    <v>10</v>
  </rv>
  <rv s="0">
    <v>536870912</v>
    <v>Medellín</v>
    <v>7b1377e4-8d6a-bcd0-6cb4-7b7c0a8f94b5</v>
    <v>es-ES</v>
    <v>Map</v>
  </rv>
  <rv s="2">
    <v>0</v>
  </rv>
  <rv s="3">
    <v>0</v>
    <v>8</v>
    <v>0</v>
    <v>7</v>
    <v>0</v>
    <v>Image of Antioquia</v>
  </rv>
  <rv s="4">
    <v>https://www.bing.com/search?q=Antioquia+Department&amp;form=skydnc</v>
    <v>Aprenda más con Bing</v>
  </rv>
  <rv s="0">
    <v>805306368</v>
    <v>Andrés Julián Rendón (Governor)</v>
    <v>50e19c26-8e4a-2ec5-3c73-a5bc140c2bfe</v>
    <v>es-ES</v>
    <v>Generic</v>
  </rv>
  <rv s="0">
    <v>805306368</v>
    <v>Andrés Julián Rendón (Gobernador)</v>
    <v>50e19c26-8e4a-2ec5-3c73-a5bc140c2bfe</v>
    <v>es-ES</v>
    <v>Generic</v>
  </rv>
  <rv s="2">
    <v>1</v>
  </rv>
  <rv s="0">
    <v>536870912</v>
    <v>Colombia</v>
    <v>c396e3d8-2a85-d230-f691-7850536d840e</v>
    <v>es-ES</v>
    <v>Map</v>
  </rv>
  <rv s="1">
    <fb>6994792</fb>
    <v>10</v>
  </rv>
  <rv s="1">
    <fb>1505161</fb>
    <v>10</v>
  </rv>
  <rv s="2">
    <v>2</v>
  </rv>
  <rv s="5">
    <v>#VALUE!</v>
    <v>es-ES</v>
    <v>d3614470-a93c-5d64-a636-9da2dff33c3d</v>
    <v>536870912</v>
    <v>1</v>
    <v>2</v>
    <v>3</v>
    <v>4</v>
    <v>Antioquia</v>
    <v>6</v>
    <v>7</v>
    <v>Map</v>
    <v>8</v>
    <v>9</v>
    <v>CO-ANT</v>
    <v>1</v>
    <v>2</v>
    <v>2</v>
    <v>Antioquia es uno de los treinta y dos departamentos que forman la República de Colombia. Su capital es Medellín, la segunda ciudad más poblada del país. Está ubicado al noroccidente colombiano, en las regiones Andina y Caribe. Con unos 6 994 792 ...</v>
    <v>3</v>
    <v>4</v>
    <v>5</v>
    <v>8</v>
    <v>Antioquia</v>
    <v>9</v>
    <v>10</v>
    <v>11</v>
    <v>Antioquia</v>
    <v>mdp/vdpid/10106933</v>
    <v>12</v>
  </rv>
  <rv s="0">
    <v>536870912</v>
    <v>Bogotá</v>
    <v>66b24d5c-468c-2dd6-e6ce-34504b6f6cb4</v>
    <v>es-ES</v>
    <v>Map</v>
  </rv>
  <rv s="1">
    <fb>1578</fb>
    <v>10</v>
  </rv>
  <rv s="3">
    <v>1</v>
    <v>8</v>
    <v>11</v>
    <v>7</v>
    <v>0</v>
    <v>Image of Bogotá</v>
  </rv>
  <rv s="4">
    <v>https://www.bing.com/search?q=Bogot%c3%a1&amp;form=skydnc</v>
    <v>Aprenda más con Bing</v>
  </rv>
  <rv s="0">
    <v>805306368</v>
    <v>Carlos Fernando Galán (Alcalde)</v>
    <v>3d912021-b29b-42b8-aeb9-0d8974463060</v>
    <v>es-ES</v>
    <v>Generic</v>
  </rv>
  <rv s="2">
    <v>3</v>
  </rv>
  <rv s="1">
    <fb>8034649</fb>
    <v>10</v>
  </rv>
  <rv s="1">
    <fb>1762685</fb>
    <v>10</v>
  </rv>
  <rv s="6">
    <v>#VALUE!</v>
    <v>es-ES</v>
    <v>66b24d5c-468c-2dd6-e6ce-34504b6f6cb4</v>
    <v>536870912</v>
    <v>1</v>
    <v>13</v>
    <v>14</v>
    <v>15</v>
    <v>Bogotá</v>
    <v>6</v>
    <v>7</v>
    <v>Map</v>
    <v>8</v>
    <v>16</v>
    <v>CO-DC</v>
    <v>15</v>
    <v>Bogotá, oficialmente Bogotá, Distrito Capital, es la capital de la República de Colombia y del departamento de Cundinamarca. Está administrada como distrito capital, y goza de autonomía para la gestión de sus intereses dentro de los límites de ...</v>
    <v>3</v>
    <v>16</v>
    <v>17</v>
    <v>19</v>
    <v>Bogotá</v>
    <v>9</v>
    <v>20</v>
    <v>21</v>
    <v>Bogotá</v>
    <v>mdp/vdpid/5580743703691001857</v>
    <v>12</v>
  </rv>
  <rv s="0">
    <v>536870912</v>
    <v>Caldas</v>
    <v>85871477-49bf-4c76-2b8d-3f2500f444d8</v>
    <v>es-ES</v>
    <v>Map</v>
  </rv>
  <rv s="1">
    <fb>7888</fb>
    <v>10</v>
  </rv>
  <rv s="0">
    <v>536870912</v>
    <v>Manizales</v>
    <v>bd9d0749-454d-d6e3-1695-5fdb48ea0d4f</v>
    <v>es-ES</v>
    <v>Map</v>
  </rv>
  <rv s="3">
    <v>2</v>
    <v>8</v>
    <v>17</v>
    <v>7</v>
    <v>0</v>
    <v>Image of Caldas</v>
  </rv>
  <rv s="4">
    <v>https://www.bing.com/search?q=Caldas&amp;form=skydnc</v>
    <v>Aprenda más con Bing</v>
  </rv>
  <rv s="0">
    <v>805306368</v>
    <v>Henry Gutiérrez Ángel (Governor)</v>
    <v>a5c5a81a-316c-3717-afba-26dd20439ffa</v>
    <v>es-ES</v>
    <v>Generic</v>
  </rv>
  <rv s="0">
    <v>805306368</v>
    <v>Henry Gutiérrez Ángel (Gobernador)</v>
    <v>a5c5a81a-316c-3717-afba-26dd20439ffa</v>
    <v>es-ES</v>
    <v>Generic</v>
  </rv>
  <rv s="2">
    <v>4</v>
  </rv>
  <rv s="1">
    <fb>998255</fb>
    <v>10</v>
  </rv>
  <rv s="1">
    <fb>256532</fb>
    <v>10</v>
  </rv>
  <rv s="7">
    <v>#VALUE!</v>
    <v>es-ES</v>
    <v>85871477-49bf-4c76-2b8d-3f2500f444d8</v>
    <v>536870912</v>
    <v>1</v>
    <v>19</v>
    <v>3</v>
    <v>20</v>
    <v>Caldas</v>
    <v>6</v>
    <v>7</v>
    <v>Map</v>
    <v>8</v>
    <v>21</v>
    <v>CO-CAL</v>
    <v>24</v>
    <v>25</v>
    <v>25</v>
    <v>Caldas es uno de los treinta y dos departamentos que forman la República de Colombia. Su capital es Manizales. Está ubicado en el centro del país, en la región andina. Con 7888 km² es el quinto departamento menos extenso —por delante de ...</v>
    <v>26</v>
    <v>27</v>
    <v>30</v>
    <v>Caldas</v>
    <v>9</v>
    <v>31</v>
    <v>32</v>
    <v>Caldas</v>
    <v>mdp/vdpid/5575</v>
    <v>12</v>
  </rv>
  <rv s="0">
    <v>536870912</v>
    <v>Cauca</v>
    <v>7b3864e4-af68-447f-d9bc-075dd9085ef8</v>
    <v>es-ES</v>
    <v>Map</v>
  </rv>
  <rv s="1">
    <fb>29308</fb>
    <v>10</v>
  </rv>
  <rv s="0">
    <v>536870912</v>
    <v>Popayán</v>
    <v>00cf04a3-1af5-9cf7-1cb0-ff1a2de87d79</v>
    <v>es-ES</v>
    <v>Map</v>
  </rv>
  <rv s="3">
    <v>3</v>
    <v>8</v>
    <v>22</v>
    <v>7</v>
    <v>0</v>
    <v>Image of Cauca</v>
  </rv>
  <rv s="4">
    <v>https://www.bing.com/search?q=Cauca+Colombia&amp;form=skydnc</v>
    <v>Aprenda más con Bing</v>
  </rv>
  <rv s="0">
    <v>805306368</v>
    <v>Elías Larrahondo Carabalí (Governor)</v>
    <v>ba6bbd9b-d45b-4f8b-7b03-88050550bee6</v>
    <v>es-ES</v>
    <v>Generic</v>
  </rv>
  <rv s="0">
    <v>805306368</v>
    <v>Elías Larrahondo Carabalí (Gobernador)</v>
    <v>ba6bbd9b-d45b-4f8b-7b03-88050550bee6</v>
    <v>es-ES</v>
    <v>Generic</v>
  </rv>
  <rv s="2">
    <v>5</v>
  </rv>
  <rv s="1">
    <fb>1464488</fb>
    <v>10</v>
  </rv>
  <rv s="1">
    <fb>294069</fb>
    <v>10</v>
  </rv>
  <rv s="7">
    <v>#VALUE!</v>
    <v>es-ES</v>
    <v>7b3864e4-af68-447f-d9bc-075dd9085ef8</v>
    <v>536870912</v>
    <v>1</v>
    <v>24</v>
    <v>3</v>
    <v>20</v>
    <v>Cauca</v>
    <v>6</v>
    <v>7</v>
    <v>Map</v>
    <v>8</v>
    <v>21</v>
    <v>CO-CAU</v>
    <v>35</v>
    <v>36</v>
    <v>36</v>
    <v>Cauca es uno de los treinta y dos departamentos que conforman la República de Colombia. Su capital y ciudad más poblada es Popayán. Está ubicado al suroccidente del país entre las regiones andina y pacífica.</v>
    <v>37</v>
    <v>38</v>
    <v>41</v>
    <v>Cauca</v>
    <v>9</v>
    <v>42</v>
    <v>43</v>
    <v>Cauca</v>
    <v>mdp/vdpid/9419845</v>
    <v>12</v>
  </rv>
  <rv s="0">
    <v>536870912</v>
    <v>Cesar</v>
    <v>acf0353b-c9e7-bf27-fe4d-0e199bc80085</v>
    <v>es-ES</v>
    <v>Map</v>
  </rv>
  <rv s="1">
    <fb>22905</fb>
    <v>10</v>
  </rv>
  <rv s="0">
    <v>536870912</v>
    <v>Valledupar</v>
    <v>6fe413f4-0dd2-f600-611d-ac12bfd296ec</v>
    <v>es-ES</v>
    <v>Map</v>
  </rv>
  <rv s="3">
    <v>4</v>
    <v>8</v>
    <v>25</v>
    <v>7</v>
    <v>0</v>
    <v>Image of Cesar</v>
  </rv>
  <rv s="4">
    <v>https://www.bing.com/search?q=Cesar+Department&amp;form=skydnc</v>
    <v>Aprenda más con Bing</v>
  </rv>
  <rv s="0">
    <v>805306368</v>
    <v>Francis Ferdinand Ovalle Angarita (Governor)</v>
    <v>cf31b593-5571-2a67-418c-c3142ca414c8</v>
    <v>es-ES</v>
    <v>Generic</v>
  </rv>
  <rv s="0">
    <v>805306368</v>
    <v>Francis Ferdinand Ovalle Angarita (Gobernador)</v>
    <v>cf31b593-5571-2a67-418c-c3142ca414c8</v>
    <v>es-ES</v>
    <v>Generic</v>
  </rv>
  <rv s="2">
    <v>6</v>
  </rv>
  <rv s="1">
    <fb>1200574</fb>
    <v>10</v>
  </rv>
  <rv s="1">
    <fb>204391</fb>
    <v>10</v>
  </rv>
  <rv s="7">
    <v>#VALUE!</v>
    <v>es-ES</v>
    <v>acf0353b-c9e7-bf27-fe4d-0e199bc80085</v>
    <v>536870912</v>
    <v>1</v>
    <v>27</v>
    <v>3</v>
    <v>20</v>
    <v>Cesar</v>
    <v>6</v>
    <v>7</v>
    <v>Map</v>
    <v>8</v>
    <v>21</v>
    <v>CO-CES</v>
    <v>46</v>
    <v>47</v>
    <v>47</v>
    <v>Cesar es uno de los treinta y dos departamentos que forman la República de Colombia. Su capital es Valledupar. Está ubicado al noreste del país, en las regiones Andina y Caribe. El 21 de junio de 1967 el presidente Carlos Lleras Restrepo ...</v>
    <v>48</v>
    <v>49</v>
    <v>52</v>
    <v>Cesar</v>
    <v>9</v>
    <v>53</v>
    <v>54</v>
    <v>Cesar</v>
    <v>mdp/vdpid/10106947</v>
    <v>12</v>
  </rv>
  <rv s="0">
    <v>536870912</v>
    <v>Chocó</v>
    <v>a03f5bb0-fdf4-7ba6-1aa2-98634d5ec680</v>
    <v>es-ES</v>
    <v>Map</v>
  </rv>
  <rv s="1">
    <fb>46530</fb>
    <v>10</v>
  </rv>
  <rv s="0">
    <v>536870912</v>
    <v>Quibdó</v>
    <v>7800a32f-f875-4138-2f4b-2bacf3f15e52</v>
    <v>es-ES</v>
    <v>Map</v>
  </rv>
  <rv s="3">
    <v>5</v>
    <v>8</v>
    <v>28</v>
    <v>7</v>
    <v>0</v>
    <v>Image of Chocó</v>
  </rv>
  <rv s="4">
    <v>https://www.bing.com/search?q=Choc%c3%b3&amp;form=skydnc</v>
    <v>Aprenda más con Bing</v>
  </rv>
  <rv s="0">
    <v>805306368</v>
    <v>Nubia Córdoba Curi (Governor)</v>
    <v>defcc781-dd8c-85ce-f5e9-1044cd2a3097</v>
    <v>es-ES</v>
    <v>Generic</v>
  </rv>
  <rv s="0">
    <v>805306368</v>
    <v>Nubia Córdoba Curi (Gobernador)</v>
    <v>defcc781-dd8c-85ce-f5e9-1044cd2a3097</v>
    <v>es-ES</v>
    <v>Generic</v>
  </rv>
  <rv s="2">
    <v>7</v>
  </rv>
  <rv s="1">
    <fb>534826</fb>
    <v>10</v>
  </rv>
  <rv s="1">
    <fb>97424</fb>
    <v>10</v>
  </rv>
  <rv s="7">
    <v>#VALUE!</v>
    <v>es-ES</v>
    <v>a03f5bb0-fdf4-7ba6-1aa2-98634d5ec680</v>
    <v>536870912</v>
    <v>1</v>
    <v>30</v>
    <v>3</v>
    <v>20</v>
    <v>Chocó</v>
    <v>6</v>
    <v>7</v>
    <v>Map</v>
    <v>8</v>
    <v>21</v>
    <v>CO-CHO</v>
    <v>57</v>
    <v>58</v>
    <v>58</v>
    <v>Chocó es uno de los treinta y dos departamentos que forman la República de Colombia. Su capital es Quibdó. Está ubicado al noroeste del país, en las regiones Andina y Pacífico. Comprende las selvas del Darién, una pequeña porción del Istmo de ...</v>
    <v>59</v>
    <v>60</v>
    <v>63</v>
    <v>Chocó</v>
    <v>9</v>
    <v>64</v>
    <v>65</v>
    <v>Chocó</v>
    <v>mdp/vdpid/10106932</v>
    <v>12</v>
  </rv>
  <rv s="0">
    <v>536870912</v>
    <v>Cundinamarca</v>
    <v>26fc374f-923b-d32c-4651-e3e8c06fc3ed</v>
    <v>es-ES</v>
    <v>Map</v>
  </rv>
  <rv s="1">
    <fb>22623</fb>
    <v>10</v>
  </rv>
  <rv s="3">
    <v>6</v>
    <v>8</v>
    <v>31</v>
    <v>7</v>
    <v>0</v>
    <v>Image of Cundinamarca</v>
  </rv>
  <rv s="4">
    <v>https://www.bing.com/search?q=Cundinamarca&amp;form=skydnc</v>
    <v>Aprenda más con Bing</v>
  </rv>
  <rv s="0">
    <v>805306368</v>
    <v>Jorge Emilio Rey Ángel (Governor)</v>
    <v>86ab77c0-1d93-d82e-3d65-97e4c21a3b33</v>
    <v>es-ES</v>
    <v>Generic</v>
  </rv>
  <rv s="0">
    <v>805306368</v>
    <v>Jorge Emilio Rey Ángel (Gobernador)</v>
    <v>86ab77c0-1d93-d82e-3d65-97e4c21a3b33</v>
    <v>es-ES</v>
    <v>Generic</v>
  </rv>
  <rv s="2">
    <v>8</v>
  </rv>
  <rv s="1">
    <fb>2228478</fb>
    <v>10</v>
  </rv>
  <rv s="1">
    <fb>596082</fb>
    <v>10</v>
  </rv>
  <rv s="7">
    <v>#VALUE!</v>
    <v>es-ES</v>
    <v>26fc374f-923b-d32c-4651-e3e8c06fc3ed</v>
    <v>536870912</v>
    <v>1</v>
    <v>33</v>
    <v>3</v>
    <v>20</v>
    <v>Cundinamarca</v>
    <v>6</v>
    <v>7</v>
    <v>Map</v>
    <v>8</v>
    <v>34</v>
    <v>CO-CUN</v>
    <v>68</v>
    <v>14</v>
    <v>14</v>
    <v>Cundinamarca es uno de los 32 departamentos de la República de Colombia, ubicado en el centro del país dentro de la región andina. Con una población estimada de 3 577 177 habitantes para 2023, se posiciona como el tercer departamento más poblado ...</v>
    <v>69</v>
    <v>70</v>
    <v>73</v>
    <v>Cundinamarca</v>
    <v>9</v>
    <v>74</v>
    <v>75</v>
    <v>Cundinamarca</v>
    <v>mdp/vdpid/10106925</v>
    <v>12</v>
  </rv>
</rvData>
</file>

<file path=xl/richData/rdrichvaluestructure.xml><?xml version="1.0" encoding="utf-8"?>
<rvStructures xmlns="http://schemas.microsoft.com/office/spreadsheetml/2017/richdata" count="8">
  <s t="_linkedentity2">
    <k n="%EntityServiceId" t="i"/>
    <k n="_DisplayString" t="s"/>
    <k n="%EntityId" t="s"/>
    <k n="%EntityCulture" t="s"/>
    <k n="_Icon" t="s"/>
  </s>
  <s t="_formattednumber">
    <k n="_Format" t="spb"/>
  </s>
  <s t="_array">
    <k n="array" t="a"/>
  </s>
  <s t="_webimage">
    <k n="WebImageIdentifier" t="i"/>
    <k n="_Provider" t="spb"/>
    <k n="Attribution" t="spb"/>
    <k n="CalcOrigin" t="i"/>
    <k n="ComputedImage" t="b"/>
    <k n="Text" t="s"/>
  </s>
  <s t="_hyperlink">
    <k n="Address" t="s"/>
    <k n="Text"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Capital/ciudad principal" t="r"/>
    <k n="Ciudad más grande" t="r"/>
    <k n="Descripción" t="s"/>
    <k n="Idioma oficial" t="r"/>
    <k n="Imagen" t="r"/>
    <k n="LearnMoreOnLink" t="r"/>
    <k n="Líder(es)" t="r"/>
    <k n="Nombre" t="s"/>
    <k n="País o región" t="r"/>
    <k n="Población" t="r"/>
    <k n="Unidades de vivienda"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Descripción" t="s"/>
    <k n="Idioma oficial" t="r"/>
    <k n="Imagen" t="r"/>
    <k n="LearnMoreOnLink" t="r"/>
    <k n="Líder(es)" t="r"/>
    <k n="Nombre" t="s"/>
    <k n="País o región" t="r"/>
    <k n="Población" t="r"/>
    <k n="Unidades de vivienda"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Capital/ciudad principal" t="r"/>
    <k n="Ciudad más grande" t="r"/>
    <k n="Descripción" t="s"/>
    <k n="Imagen" t="r"/>
    <k n="LearnMoreOnLink" t="r"/>
    <k n="Líder(es)" t="r"/>
    <k n="Nombre" t="s"/>
    <k n="País o región" t="r"/>
    <k n="Población" t="r"/>
    <k n="Unidades de vivienda" t="r"/>
    <k n="UniqueName" t="s"/>
    <k n="VDPID/VSID" t="s"/>
    <k n="Zona(s) horaria(s)" t="r"/>
  </s>
</rvStructures>
</file>

<file path=xl/richData/rdsupportingpropertybag.xml><?xml version="1.0" encoding="utf-8"?>
<supportingPropertyBags xmlns="http://schemas.microsoft.com/office/spreadsheetml/2017/richdata2">
  <spbArrays count="3">
    <a count="29">
      <v t="s">%EntityServiceId</v>
      <v t="s">%IsRefreshable</v>
      <v t="s">_CanonicalPropertyNames</v>
      <v t="s">%EntityCulture</v>
      <v t="s">%EntityId</v>
      <v t="s">_Icon</v>
      <v t="s">_Provider</v>
      <v t="s">_Attribution</v>
      <v t="s">_Display</v>
      <v t="s">Nombre</v>
      <v t="s">_Format</v>
      <v t="s">Capital/ciudad principal</v>
      <v t="s">Líder(es)</v>
      <v t="s">País o región</v>
      <v t="s">_SubLabel</v>
      <v t="s">Población</v>
      <v t="s">`Área</v>
      <v t="s">Abreviatura</v>
      <v t="s">Ciudad más grande</v>
      <v t="s">Idioma oficial</v>
      <v t="s">Unidades de vivienda</v>
      <v t="s">Zona(s) horaria(s)</v>
      <v t="s">_Flags</v>
      <v t="s">VDPID/VSID</v>
      <v t="s">UniqueName</v>
      <v t="s">_DisplayString</v>
      <v t="s">LearnMoreOnLink</v>
      <v t="s">Imagen</v>
      <v t="s">Descripción</v>
    </a>
    <a count="27">
      <v t="s">%EntityServiceId</v>
      <v t="s">%IsRefreshable</v>
      <v t="s">_CanonicalPropertyNames</v>
      <v t="s">%EntityCulture</v>
      <v t="s">%EntityId</v>
      <v t="s">_Icon</v>
      <v t="s">_Provider</v>
      <v t="s">_Attribution</v>
      <v t="s">_Display</v>
      <v t="s">Nombre</v>
      <v t="s">_Format</v>
      <v t="s">Líder(es)</v>
      <v t="s">País o región</v>
      <v t="s">_SubLabel</v>
      <v t="s">Población</v>
      <v t="s">`Área</v>
      <v t="s">Abreviatura</v>
      <v t="s">Idioma oficial</v>
      <v t="s">Unidades de vivienda</v>
      <v t="s">Zona(s) horaria(s)</v>
      <v t="s">_Flags</v>
      <v t="s">VDPID/VSID</v>
      <v t="s">UniqueName</v>
      <v t="s">_DisplayString</v>
      <v t="s">LearnMoreOnLink</v>
      <v t="s">Imagen</v>
      <v t="s">Descripción</v>
    </a>
    <a count="28">
      <v t="s">%EntityServiceId</v>
      <v t="s">%IsRefreshable</v>
      <v t="s">_CanonicalPropertyNames</v>
      <v t="s">%EntityCulture</v>
      <v t="s">%EntityId</v>
      <v t="s">_Icon</v>
      <v t="s">_Provider</v>
      <v t="s">_Attribution</v>
      <v t="s">_Display</v>
      <v t="s">Nombre</v>
      <v t="s">_Format</v>
      <v t="s">Capital/ciudad principal</v>
      <v t="s">Líder(es)</v>
      <v t="s">País o región</v>
      <v t="s">_SubLabel</v>
      <v t="s">Población</v>
      <v t="s">`Área</v>
      <v t="s">Abreviatura</v>
      <v t="s">Ciudad más grande</v>
      <v t="s">Unidades de vivienda</v>
      <v t="s">Zona(s) horaria(s)</v>
      <v t="s">_Flags</v>
      <v t="s">VDPID/VSID</v>
      <v t="s">UniqueName</v>
      <v t="s">_DisplayString</v>
      <v t="s">LearnMoreOnLink</v>
      <v t="s">Imagen</v>
      <v t="s">Descripción</v>
    </a>
  </spbArrays>
  <spbData count="35">
    <spb s="0">
      <v xml:space="preserve">Wikipedia	</v>
      <v xml:space="preserve">CC BY-SA 3.0	</v>
      <v xml:space="preserve">https://es.wikipedia.org/wiki/Antioquia	</v>
      <v xml:space="preserve">https://creativecommons.org/licenses/by-sa/3.0	</v>
    </spb>
    <spb s="0">
      <v xml:space="preserve">Wikipedia	</v>
      <v xml:space="preserve">CC-BY-SA	</v>
      <v xml:space="preserve">http://en.wikipedia.org/wiki/Antioquia_Department	</v>
      <v xml:space="preserve">http://creativecommons.org/licenses/by-sa/3.0/	</v>
    </spb>
    <spb s="1">
      <v>0</v>
      <v>0</v>
      <v>0</v>
      <v>0</v>
      <v>1</v>
      <v>0</v>
      <v>0</v>
      <v>0</v>
      <v>0</v>
    </spb>
    <spb s="2">
      <v>Area</v>
      <v>Image</v>
      <v>Name</v>
      <v>Population</v>
      <v>UniqueName</v>
      <v>VDPID/VSID</v>
      <v>Abbreviation</v>
      <v>Description</v>
      <v>Country/region</v>
      <v>LearnMoreOnLink</v>
      <v>Largest city</v>
      <v>Housing units</v>
      <v>Capital/Major City</v>
    </spb>
    <spb s="3">
      <v>0</v>
      <v>Name</v>
      <v>LearnMoreOnLink</v>
    </spb>
    <spb s="4">
      <v>0</v>
      <v>0</v>
      <v>0</v>
    </spb>
    <spb s="5">
      <v>5</v>
      <v>5</v>
      <v>5</v>
    </spb>
    <spb s="6">
      <v>1</v>
      <v>2</v>
    </spb>
    <spb s="7">
      <v>https://www.bing.com</v>
      <v>https://www.bing.com/th?id=Ga%5Cbing_yt.png&amp;w=100&amp;h=40&amp;c=0&amp;pid=0.1</v>
      <v>Con tecnología de Bing</v>
    </spb>
    <spb s="8">
      <v>kilómetro cuadrado</v>
      <v>2023</v>
      <v>2005</v>
    </spb>
    <spb s="9">
      <v>3</v>
    </spb>
    <spb s="0">
      <v xml:space="preserve">Wikipedia	</v>
      <v xml:space="preserve">CC BY-SA 3.0	</v>
      <v xml:space="preserve">https://es.wikipedia.org/wiki/Bogot%C3%A1	</v>
      <v xml:space="preserve">https://creativecommons.org/licenses/by-sa/3.0	</v>
    </spb>
    <spb s="0">
      <v xml:space="preserve">Wikipedia	</v>
      <v xml:space="preserve">CC-BY-SA	</v>
      <v xml:space="preserve">http://en.wikipedia.org/wiki/Bogotá	</v>
      <v xml:space="preserve">http://creativecommons.org/licenses/by-sa/3.0/	</v>
    </spb>
    <spb s="10">
      <v>11</v>
      <v>11</v>
      <v>11</v>
      <v>11</v>
      <v>12</v>
      <v>11</v>
      <v>11</v>
    </spb>
    <spb s="11">
      <v>Area</v>
      <v>Image</v>
      <v>Name</v>
      <v>Population</v>
      <v>UniqueName</v>
      <v>VDPID/VSID</v>
      <v>Abbreviation</v>
      <v>Description</v>
      <v>Country/region</v>
      <v>LearnMoreOnLink</v>
      <v>Housing units</v>
    </spb>
    <spb s="3">
      <v>1</v>
      <v>Name</v>
      <v>LearnMoreOnLink</v>
    </spb>
    <spb s="8">
      <v>kilómetro cuadrado</v>
      <v>2024</v>
      <v>2005</v>
    </spb>
    <spb s="0">
      <v xml:space="preserve">Wikipedia	</v>
      <v xml:space="preserve">CC BY-SA 3.0	</v>
      <v xml:space="preserve">https://es.wikipedia.org/wiki/Caldas	</v>
      <v xml:space="preserve">https://creativecommons.org/licenses/by-sa/3.0	</v>
    </spb>
    <spb s="0">
      <v xml:space="preserve">Wikipedia	</v>
      <v xml:space="preserve">CC-BY-SA	</v>
      <v xml:space="preserve">http://en.wikipedia.org/wiki/Caldas_Department	</v>
      <v xml:space="preserve">http://creativecommons.org/licenses/by-sa/3.0/	</v>
    </spb>
    <spb s="1">
      <v>17</v>
      <v>17</v>
      <v>17</v>
      <v>17</v>
      <v>18</v>
      <v>17</v>
      <v>17</v>
      <v>17</v>
      <v>17</v>
    </spb>
    <spb s="3">
      <v>2</v>
      <v>Name</v>
      <v>LearnMoreOnLink</v>
    </spb>
    <spb s="8">
      <v>kilómetro cuadrado</v>
      <v>2018</v>
      <v>2005</v>
    </spb>
    <spb s="0">
      <v xml:space="preserve">Wikipedia	</v>
      <v xml:space="preserve">CC BY-SA 3.0	</v>
      <v xml:space="preserve">https://es.wikipedia.org/wiki/Cauca_(Colombia)	</v>
      <v xml:space="preserve">https://creativecommons.org/licenses/by-sa/3.0	</v>
    </spb>
    <spb s="0">
      <v xml:space="preserve">Wikipedia	</v>
      <v xml:space="preserve">CC-BY-SA	</v>
      <v xml:space="preserve">http://en.wikipedia.org/wiki/Cauca_Department	</v>
      <v xml:space="preserve">http://creativecommons.org/licenses/by-sa/3.0/	</v>
    </spb>
    <spb s="1">
      <v>22</v>
      <v>22</v>
      <v>22</v>
      <v>22</v>
      <v>23</v>
      <v>22</v>
      <v>22</v>
      <v>22</v>
      <v>22</v>
    </spb>
    <spb s="0">
      <v xml:space="preserve">Wikipedia	</v>
      <v xml:space="preserve">CC BY-SA 3.0	</v>
      <v xml:space="preserve">https://es.wikipedia.org/wiki/Cesar	</v>
      <v xml:space="preserve">https://creativecommons.org/licenses/by-sa/3.0	</v>
    </spb>
    <spb s="0">
      <v xml:space="preserve">Wikipedia	</v>
      <v xml:space="preserve">CC-BY-SA	</v>
      <v xml:space="preserve">http://en.wikipedia.org/wiki/Cesar_Department	</v>
      <v xml:space="preserve">http://creativecommons.org/licenses/by-sa/3.0/	</v>
    </spb>
    <spb s="1">
      <v>25</v>
      <v>25</v>
      <v>25</v>
      <v>25</v>
      <v>26</v>
      <v>25</v>
      <v>25</v>
      <v>25</v>
      <v>25</v>
    </spb>
    <spb s="0">
      <v xml:space="preserve">Wikipedia	</v>
      <v xml:space="preserve">CC BY-SA 3.0	</v>
      <v xml:space="preserve">https://es.wikipedia.org/wiki/Choc%C3%B3	</v>
      <v xml:space="preserve">https://creativecommons.org/licenses/by-sa/3.0	</v>
    </spb>
    <spb s="0">
      <v xml:space="preserve">Wikipedia	</v>
      <v xml:space="preserve">CC-BY-SA	</v>
      <v xml:space="preserve">http://en.wikipedia.org/wiki/Chocó_Department	</v>
      <v xml:space="preserve">http://creativecommons.org/licenses/by-sa/3.0/	</v>
    </spb>
    <spb s="1">
      <v>28</v>
      <v>28</v>
      <v>28</v>
      <v>28</v>
      <v>29</v>
      <v>28</v>
      <v>28</v>
      <v>28</v>
      <v>28</v>
    </spb>
    <spb s="0">
      <v xml:space="preserve">Wikipedia	</v>
      <v xml:space="preserve">CC BY-SA 3.0	</v>
      <v xml:space="preserve">https://es.wikipedia.org/wiki/Cundinamarca	</v>
      <v xml:space="preserve">https://creativecommons.org/licenses/by-sa/3.0	</v>
    </spb>
    <spb s="0">
      <v xml:space="preserve">Wikipedia	</v>
      <v xml:space="preserve">CC-BY-SA	</v>
      <v xml:space="preserve">http://en.wikipedia.org/wiki/Cundinamarca_Department	</v>
      <v xml:space="preserve">http://creativecommons.org/licenses/by-sa/3.0/	</v>
    </spb>
    <spb s="1">
      <v>31</v>
      <v>31</v>
      <v>31</v>
      <v>31</v>
      <v>32</v>
      <v>31</v>
      <v>31</v>
      <v>31</v>
      <v>31</v>
    </spb>
    <spb s="8">
      <v>kilómetro cuadrado</v>
      <v>2005</v>
      <v>2005</v>
    </spb>
  </spbData>
</supportingPropertyBags>
</file>

<file path=xl/richData/rdsupportingpropertybagstructure.xml><?xml version="1.0" encoding="utf-8"?>
<spbStructures xmlns="http://schemas.microsoft.com/office/spreadsheetml/2017/richdata2" count="12">
  <s>
    <k n="SourceText" t="s"/>
    <k n="LicenseText" t="s"/>
    <k n="SourceAddress" t="s"/>
    <k n="LicenseAddress" t="s"/>
  </s>
  <s>
    <k n="`Área" t="spb"/>
    <k n="Nombre" t="spb"/>
    <k n="Población" t="spb"/>
    <k n="UniqueName" t="spb"/>
    <k n="Abreviatura" t="spb"/>
    <k n="Descripción" t="spb"/>
    <k n="País o región" t="spb"/>
    <k n="Ciudad más grande" t="spb"/>
    <k n="Capital/ciudad principal" t="spb"/>
  </s>
  <s>
    <k n="Área" t="s"/>
    <k n="Imagen" t="s"/>
    <k n="Nombre" t="s"/>
    <k n="Población" t="s"/>
    <k n="UniqueName" t="s"/>
    <k n="VDPID/VSID" t="s"/>
    <k n="Abreviatura" t="s"/>
    <k n="Descripción" t="s"/>
    <k n="País o región" t="s"/>
    <k n="LearnMoreOnLink" t="s"/>
    <k n="Ciudad más grande" t="s"/>
    <k n="Unidades de vivienda" t="s"/>
    <k n="Capital/ciudad principal" t="s"/>
  </s>
  <s>
    <k n="^Order" t="spba"/>
    <k n="TitleProperty" t="s"/>
    <k n="SubTitleProperty" t="s"/>
  </s>
  <s>
    <k n="ShowInCardView" t="b"/>
    <k n="ShowInDotNotation" t="b"/>
    <k n="ShowInAutoComplete" t="b"/>
  </s>
  <s>
    <k n="UniqueName" t="spb"/>
    <k n="VDPID/VSID" t="spb"/>
    <k n="LearnMoreOnLink" t="spb"/>
  </s>
  <s>
    <k n="Imagen" t="i"/>
    <k n="Nombre" t="i"/>
  </s>
  <s>
    <k n="link" t="s"/>
    <k n="logo" t="s"/>
    <k n="name" t="s"/>
  </s>
  <s>
    <k n="`Área" t="s"/>
    <k n="Población" t="s"/>
    <k n="Unidades de vivienda" t="s"/>
  </s>
  <s>
    <k n="_Self" t="i"/>
  </s>
  <s>
    <k n="`Área" t="spb"/>
    <k n="Nombre" t="spb"/>
    <k n="Población" t="spb"/>
    <k n="UniqueName" t="spb"/>
    <k n="Abreviatura" t="spb"/>
    <k n="Descripción" t="spb"/>
    <k n="País o región" t="spb"/>
  </s>
  <s>
    <k n="Área" t="s"/>
    <k n="Imagen" t="s"/>
    <k n="Nombre" t="s"/>
    <k n="Población" t="s"/>
    <k n="UniqueName" t="s"/>
    <k n="VDPID/VSID" t="s"/>
    <k n="Abreviatura" t="s"/>
    <k n="Descripción" t="s"/>
    <k n="País o región" t="s"/>
    <k n="LearnMoreOnLink" t="s"/>
    <k n="Unidades de vivienda"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1">
    <x:dxf>
      <x:numFmt numFmtId="3" formatCode="#,##0"/>
    </x:dxf>
  </dxfs>
  <richProperties>
    <rPr n="IsHeroField" t="b"/>
    <rPr n="IsTitleField" t="b"/>
    <rPr n="NumberFormat" t="s"/>
  </richProperties>
  <richStyles>
    <rSty>
      <rpv i="0">1</rpv>
    </rSty>
    <rSty>
      <rpv i="1">1</rpv>
    </rSty>
    <rSty dxfid="0">
      <rpv i="2">#,##0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649A81-C159-434D-9307-616EE95BE389}" name="MatrizTipologiaSRD" displayName="MatrizTipologiaSRD" ref="A5:AA38" totalsRowShown="0" dataDxfId="52">
  <tableColumns count="27">
    <tableColumn id="1" xr3:uid="{7178F426-98DE-4883-B462-0CF502C22A39}" name="N.º Ficha" dataDxfId="51"/>
    <tableColumn id="2" xr3:uid="{1EA7C584-494C-495C-BF29-6D713CC5CA15}" name="Regional" dataDxfId="50"/>
    <tableColumn id="3" xr3:uid="{EB40779D-C4F1-48E5-B010-28BAB46A3CBD}" name="Municipio" dataDxfId="49"/>
    <tableColumn id="4" xr3:uid="{4CB88C12-CEEA-4602-A7AC-C9923102C6A0}" name="Área" dataDxfId="48"/>
    <tableColumn id="5" xr3:uid="{7E22EB22-A6DA-406D-9DBB-29BDAD2C28B5}" name="Tipología" dataDxfId="47"/>
    <tableColumn id="6" xr3:uid="{0EF3BD52-88C4-47D6-B77B-E5990B3653D8}" name="Modalidad" dataDxfId="46"/>
    <tableColumn id="7" xr3:uid="{EFBB6E23-2941-4DD5-BCDD-1849A2DA109A}" name="¿Infraestructura propia? (Tenencia de la Infraestructura)" dataDxfId="45"/>
    <tableColumn id="8" xr3:uid="{B3BD5B07-2A94-4B63-A3EC-1750CB76E32D}" name="Nombre de la infraestructura / Nombre del Operador" dataDxfId="44"/>
    <tableColumn id="9" xr3:uid="{6086B67E-28D7-4E5E-BA4E-6503E49B73B8}" name="Dirección" dataDxfId="43"/>
    <tableColumn id="10" xr3:uid="{266E2483-1D95-47E9-904C-54EE1C830D79}" name="CUPOS SRD" dataDxfId="42"/>
    <tableColumn id="11" xr3:uid="{9C520FC9-0BFF-433F-BA92-68EC326FAA12}" name="Fecha del Reporte (AFECTACIÓN REPORTADA POR SISMO 10/08/2026)" dataDxfId="41"/>
    <tableColumn id="12" xr3:uid="{4B50E09F-1037-4C76-8E6D-16819984883B}" name="Observación General" dataDxfId="40"/>
    <tableColumn id="13" xr3:uid="{560FC925-3C04-4962-A384-220017FACEC5}" name="ESTADO (Estado de la Infraestructura)" dataDxfId="39"/>
    <tableColumn id="14" xr3:uid="{D7BB1443-205C-4B2F-9C35-29F47006A23B}" name="Grado de afectación" dataDxfId="38"/>
    <tableColumn id="15" xr3:uid="{77B26B60-8B66-482B-8CEE-ADB8B41460B1}" name="¿Se realizó visita a la infraestructura?" dataDxfId="37"/>
    <tableColumn id="16" xr3:uid="{28F4F048-E44E-4DD5-82B0-747042A3AAD2}" name="Realizada por (nombre y cargo)" dataDxfId="36"/>
    <tableColumn id="17" xr3:uid="{AB2441A9-EEBD-48EA-9E44-35A7357CD67F}" name="¿Existe informe de la visita?" dataDxfId="35"/>
    <tableColumn id="18" xr3:uid="{42963527-BD41-4770-BDDE-AFA483774E36}" name="N.º / referencia del informe" dataDxfId="34"/>
    <tableColumn id="19" xr3:uid="{8492FE82-8E0C-45A9-90A2-41191D78C0FF}" name="Fecha de la visita" dataDxfId="33"/>
    <tableColumn id="20" xr3:uid="{0CB3281D-382D-438B-BB47-6F4FF06B9A6F}" name="Anexa soportes (Sí/No)" dataDxfId="32"/>
    <tableColumn id="21" xr3:uid="{735F73CC-3933-43E2-8363-C90227350E9D}" name="Detalle de la contingencia" dataDxfId="31"/>
    <tableColumn id="22" xr3:uid="{14BE0558-B87A-480F-98BE-43EDCB2765EF}" name="¿Se anexa registro fotográfico o Informe?" dataDxfId="30"/>
    <tableColumn id="23" xr3:uid="{D5472E5D-ABD4-4483-A0B9-BB556243D39E}" name="Acciones a la contingencia" dataDxfId="29"/>
    <tableColumn id="24" xr3:uid="{65E0C749-3BC9-4B54-A008-AFC296F4EE61}" name="La modalidad está funcionando en la Infraestructura (Si/No)" dataDxfId="28"/>
    <tableColumn id="25" xr3:uid="{3D61B068-EBB0-42B7-AA71-CE2689467F9C}" name="Fecha Actualización Ficha" dataDxfId="27"/>
    <tableColumn id="26" xr3:uid="{28326B0F-96D9-4963-BD7F-17268AAE0C8E}" name="Observación de la Actualización" dataDxfId="26"/>
    <tableColumn id="27" xr3:uid="{22DD2319-0123-4182-BF5A-5DE0E6BFD7B7}" name="Actualización Reportado por" dataDxfId="25"/>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397A9-7AC2-4894-9497-31CA54203FE8}">
  <dimension ref="A1:BS63"/>
  <sheetViews>
    <sheetView topLeftCell="A33" workbookViewId="0">
      <selection activeCell="F34" sqref="F34"/>
    </sheetView>
  </sheetViews>
  <sheetFormatPr baseColWidth="10" defaultRowHeight="15"/>
  <sheetData>
    <row r="1" spans="1:71" ht="61.5" customHeight="1">
      <c r="A1" s="45" t="s">
        <v>3113</v>
      </c>
      <c r="B1" s="46" t="s">
        <v>394</v>
      </c>
      <c r="C1" s="46" t="s">
        <v>3114</v>
      </c>
      <c r="D1" s="46" t="s">
        <v>3081</v>
      </c>
      <c r="E1" s="46" t="s">
        <v>3082</v>
      </c>
      <c r="F1" s="46" t="s">
        <v>3083</v>
      </c>
      <c r="G1" s="46" t="s">
        <v>3115</v>
      </c>
      <c r="H1" s="46" t="s">
        <v>3085</v>
      </c>
      <c r="I1" s="46" t="s">
        <v>3086</v>
      </c>
      <c r="J1" s="46" t="s">
        <v>3087</v>
      </c>
      <c r="K1" s="46" t="s">
        <v>3116</v>
      </c>
      <c r="L1" s="46" t="s">
        <v>3117</v>
      </c>
      <c r="M1" s="46" t="s">
        <v>3118</v>
      </c>
      <c r="N1" s="46" t="s">
        <v>3119</v>
      </c>
      <c r="O1" s="47" t="s">
        <v>3120</v>
      </c>
      <c r="P1" s="46" t="s">
        <v>3121</v>
      </c>
      <c r="Q1" s="46" t="s">
        <v>3122</v>
      </c>
      <c r="R1" s="46" t="s">
        <v>3123</v>
      </c>
      <c r="S1" s="46" t="s">
        <v>3124</v>
      </c>
      <c r="T1" s="46" t="s">
        <v>3125</v>
      </c>
      <c r="U1" s="46" t="s">
        <v>3126</v>
      </c>
      <c r="V1" s="46" t="s">
        <v>3127</v>
      </c>
      <c r="W1" s="46" t="s">
        <v>3128</v>
      </c>
      <c r="X1" s="46" t="s">
        <v>3129</v>
      </c>
      <c r="Y1" s="46" t="s">
        <v>3130</v>
      </c>
      <c r="Z1" s="46" t="s">
        <v>3131</v>
      </c>
      <c r="AA1" s="46" t="s">
        <v>3132</v>
      </c>
      <c r="AB1" s="46" t="s">
        <v>3133</v>
      </c>
      <c r="AC1" s="47" t="s">
        <v>3134</v>
      </c>
      <c r="AD1" s="47" t="s">
        <v>3135</v>
      </c>
      <c r="AE1" s="46" t="s">
        <v>3136</v>
      </c>
      <c r="AF1" s="46" t="s">
        <v>3137</v>
      </c>
      <c r="AG1" s="46" t="s">
        <v>3138</v>
      </c>
      <c r="AH1" s="46" t="s">
        <v>3139</v>
      </c>
      <c r="AI1" s="47" t="s">
        <v>3140</v>
      </c>
      <c r="AJ1" s="47" t="s">
        <v>3141</v>
      </c>
      <c r="AK1" s="47" t="s">
        <v>3142</v>
      </c>
      <c r="AL1" s="48" t="s">
        <v>3143</v>
      </c>
      <c r="AM1" s="48" t="s">
        <v>3143</v>
      </c>
      <c r="AN1" s="48" t="s">
        <v>3143</v>
      </c>
      <c r="AO1" s="48" t="s">
        <v>3143</v>
      </c>
      <c r="AP1" s="48" t="s">
        <v>3143</v>
      </c>
      <c r="AQ1" s="48" t="s">
        <v>3143</v>
      </c>
      <c r="AR1" s="48" t="s">
        <v>3143</v>
      </c>
      <c r="AS1" s="48" t="s">
        <v>3143</v>
      </c>
      <c r="AT1" s="48" t="s">
        <v>3143</v>
      </c>
      <c r="AU1" s="48" t="s">
        <v>3143</v>
      </c>
      <c r="AV1" s="48" t="s">
        <v>3143</v>
      </c>
      <c r="AW1" s="48" t="s">
        <v>3143</v>
      </c>
      <c r="AX1" s="48" t="s">
        <v>3143</v>
      </c>
      <c r="AY1" s="48" t="s">
        <v>3143</v>
      </c>
      <c r="AZ1" s="48" t="s">
        <v>3143</v>
      </c>
      <c r="BA1" s="48" t="s">
        <v>3143</v>
      </c>
      <c r="BB1" s="48" t="s">
        <v>3143</v>
      </c>
      <c r="BC1" s="48" t="s">
        <v>3143</v>
      </c>
      <c r="BD1" s="48" t="s">
        <v>3143</v>
      </c>
      <c r="BE1" s="48" t="s">
        <v>3143</v>
      </c>
      <c r="BF1" s="48" t="s">
        <v>3143</v>
      </c>
      <c r="BG1" s="48" t="s">
        <v>3143</v>
      </c>
      <c r="BH1" s="48" t="s">
        <v>3143</v>
      </c>
      <c r="BI1" s="48" t="s">
        <v>3143</v>
      </c>
      <c r="BJ1" s="48" t="s">
        <v>3143</v>
      </c>
      <c r="BK1" s="48" t="s">
        <v>3143</v>
      </c>
      <c r="BL1" s="48" t="s">
        <v>3143</v>
      </c>
      <c r="BM1" s="48" t="s">
        <v>3143</v>
      </c>
      <c r="BN1" s="48" t="s">
        <v>3143</v>
      </c>
      <c r="BO1" s="48" t="s">
        <v>3143</v>
      </c>
      <c r="BP1" s="48" t="s">
        <v>3143</v>
      </c>
      <c r="BQ1" s="48" t="s">
        <v>3143</v>
      </c>
      <c r="BR1" s="48" t="s">
        <v>3143</v>
      </c>
      <c r="BS1" s="48" t="s">
        <v>3143</v>
      </c>
    </row>
    <row r="2" spans="1:71" ht="84" customHeight="1">
      <c r="A2" s="49" t="e" vm="1">
        <v>#VALUE!</v>
      </c>
      <c r="B2" s="50" t="s">
        <v>3144</v>
      </c>
      <c r="C2" s="50" t="s">
        <v>3145</v>
      </c>
      <c r="D2" s="50" t="s">
        <v>3146</v>
      </c>
      <c r="E2" s="51" t="s">
        <v>3147</v>
      </c>
      <c r="F2" s="50" t="s">
        <v>3148</v>
      </c>
      <c r="G2" s="51" t="s">
        <v>3149</v>
      </c>
      <c r="H2" s="51" t="s">
        <v>138</v>
      </c>
      <c r="I2" s="52" t="s">
        <v>45</v>
      </c>
      <c r="J2" s="53" t="s">
        <v>3150</v>
      </c>
      <c r="K2" s="53" t="s">
        <v>3151</v>
      </c>
      <c r="L2" s="53" t="s">
        <v>3152</v>
      </c>
      <c r="M2" s="54" t="s">
        <v>3153</v>
      </c>
      <c r="N2" s="54">
        <v>46244</v>
      </c>
      <c r="O2" s="55">
        <v>250000000</v>
      </c>
      <c r="P2" s="53" t="s">
        <v>3154</v>
      </c>
      <c r="Q2" s="56" t="s">
        <v>3151</v>
      </c>
      <c r="R2" s="54">
        <v>46253</v>
      </c>
      <c r="S2" s="57" t="s">
        <v>3155</v>
      </c>
      <c r="T2" s="54">
        <v>46273</v>
      </c>
      <c r="U2" s="58">
        <v>143372735.09</v>
      </c>
      <c r="V2" s="57"/>
      <c r="W2" s="57"/>
      <c r="X2" s="59" t="s">
        <v>3151</v>
      </c>
      <c r="Y2" s="53" t="s">
        <v>3154</v>
      </c>
      <c r="Z2" s="53" t="s">
        <v>3154</v>
      </c>
      <c r="AA2" s="53" t="s">
        <v>3151</v>
      </c>
      <c r="AB2" s="57" t="s">
        <v>270</v>
      </c>
      <c r="AC2" s="51" t="s">
        <v>3156</v>
      </c>
      <c r="AD2" s="51" t="s">
        <v>3157</v>
      </c>
      <c r="AE2" s="57" t="s">
        <v>3158</v>
      </c>
      <c r="AF2" s="60" t="s">
        <v>3159</v>
      </c>
      <c r="AG2" s="61"/>
      <c r="AH2" s="61"/>
      <c r="AI2" s="57"/>
      <c r="AJ2" s="57"/>
      <c r="AK2" s="57"/>
      <c r="AL2" s="62"/>
      <c r="AM2" s="62"/>
      <c r="AN2" s="62"/>
      <c r="AO2" s="62"/>
      <c r="AP2" s="62"/>
      <c r="AQ2" s="62"/>
      <c r="AR2" s="62"/>
      <c r="AS2" s="62"/>
      <c r="AT2" s="62"/>
      <c r="AU2" s="62"/>
      <c r="AV2" s="62"/>
      <c r="AW2" s="62"/>
      <c r="AX2" s="62"/>
      <c r="AY2" s="62"/>
      <c r="AZ2" s="62"/>
      <c r="BA2" s="62"/>
      <c r="BB2" s="62"/>
      <c r="BC2" s="62"/>
      <c r="BD2" s="63"/>
      <c r="BE2" s="63"/>
      <c r="BF2" s="63"/>
      <c r="BG2" s="63"/>
      <c r="BH2" s="63"/>
      <c r="BI2" s="63"/>
      <c r="BJ2" s="63"/>
      <c r="BK2" s="63"/>
      <c r="BL2" s="63"/>
      <c r="BM2" s="63"/>
      <c r="BN2" s="63"/>
      <c r="BO2" s="63"/>
      <c r="BP2" s="63"/>
      <c r="BQ2" s="63"/>
      <c r="BR2" s="63"/>
      <c r="BS2" s="63"/>
    </row>
    <row r="3" spans="1:71" ht="84" customHeight="1">
      <c r="A3" s="49" t="e" vm="1">
        <v>#VALUE!</v>
      </c>
      <c r="B3" s="51" t="s">
        <v>3160</v>
      </c>
      <c r="C3" s="51" t="s">
        <v>3145</v>
      </c>
      <c r="D3" s="51" t="s">
        <v>3161</v>
      </c>
      <c r="E3" s="51" t="s">
        <v>3162</v>
      </c>
      <c r="F3" s="50" t="s">
        <v>3148</v>
      </c>
      <c r="G3" s="49" t="s">
        <v>3163</v>
      </c>
      <c r="H3" s="51" t="s">
        <v>138</v>
      </c>
      <c r="I3" s="52" t="s">
        <v>98</v>
      </c>
      <c r="J3" s="53" t="s">
        <v>3164</v>
      </c>
      <c r="K3" s="53" t="s">
        <v>3151</v>
      </c>
      <c r="L3" s="53" t="s">
        <v>3152</v>
      </c>
      <c r="M3" s="53"/>
      <c r="N3" s="54">
        <v>46245</v>
      </c>
      <c r="O3" s="55">
        <v>0</v>
      </c>
      <c r="P3" s="53" t="s">
        <v>270</v>
      </c>
      <c r="Q3" s="54" t="s">
        <v>3152</v>
      </c>
      <c r="R3" s="64" t="s">
        <v>3152</v>
      </c>
      <c r="S3" s="64" t="s">
        <v>3152</v>
      </c>
      <c r="T3" s="64" t="s">
        <v>3165</v>
      </c>
      <c r="U3" s="64" t="s">
        <v>3152</v>
      </c>
      <c r="V3" s="64"/>
      <c r="W3" s="64"/>
      <c r="X3" s="53" t="s">
        <v>3151</v>
      </c>
      <c r="Y3" s="53" t="s">
        <v>3154</v>
      </c>
      <c r="Z3" s="53" t="s">
        <v>3154</v>
      </c>
      <c r="AA3" s="53" t="s">
        <v>3151</v>
      </c>
      <c r="AB3" s="53" t="s">
        <v>270</v>
      </c>
      <c r="AC3" s="65" t="s">
        <v>3156</v>
      </c>
      <c r="AD3" s="65" t="s">
        <v>3166</v>
      </c>
      <c r="AE3" s="53" t="s">
        <v>3158</v>
      </c>
      <c r="AF3" s="66" t="s">
        <v>3167</v>
      </c>
      <c r="AG3" s="67"/>
      <c r="AH3" s="67"/>
      <c r="AI3" s="53"/>
      <c r="AJ3" s="53"/>
      <c r="AK3" s="53"/>
      <c r="AL3" s="68"/>
      <c r="AM3" s="68"/>
      <c r="AN3" s="68"/>
      <c r="AO3" s="68"/>
      <c r="AP3" s="68"/>
      <c r="AQ3" s="68"/>
      <c r="AR3" s="68"/>
      <c r="AS3" s="68"/>
      <c r="AT3" s="62"/>
      <c r="AU3" s="62"/>
      <c r="AV3" s="62"/>
      <c r="AW3" s="62"/>
      <c r="AX3" s="62"/>
      <c r="AY3" s="62"/>
      <c r="AZ3" s="62"/>
      <c r="BA3" s="62"/>
      <c r="BB3" s="62"/>
      <c r="BC3" s="62"/>
      <c r="BD3" s="62"/>
      <c r="BE3" s="62"/>
      <c r="BF3" s="62"/>
      <c r="BG3" s="62"/>
      <c r="BH3" s="62"/>
      <c r="BI3" s="62"/>
      <c r="BJ3" s="62"/>
      <c r="BK3" s="62"/>
      <c r="BL3" s="62"/>
      <c r="BM3" s="62"/>
      <c r="BN3" s="62"/>
      <c r="BO3" s="62"/>
      <c r="BP3" s="62"/>
      <c r="BQ3" s="62"/>
      <c r="BR3" s="62"/>
      <c r="BS3" s="62"/>
    </row>
    <row r="4" spans="1:71" ht="84" customHeight="1">
      <c r="A4" s="50" t="e" vm="1">
        <v>#VALUE!</v>
      </c>
      <c r="B4" s="50" t="s">
        <v>3168</v>
      </c>
      <c r="C4" s="50" t="s">
        <v>3145</v>
      </c>
      <c r="D4" s="50" t="s">
        <v>3161</v>
      </c>
      <c r="E4" s="50" t="s">
        <v>3169</v>
      </c>
      <c r="F4" s="51" t="s">
        <v>3170</v>
      </c>
      <c r="G4" s="49" t="s">
        <v>3163</v>
      </c>
      <c r="H4" s="51" t="s">
        <v>138</v>
      </c>
      <c r="I4" s="52" t="s">
        <v>98</v>
      </c>
      <c r="J4" s="53" t="s">
        <v>3171</v>
      </c>
      <c r="K4" s="53" t="s">
        <v>3151</v>
      </c>
      <c r="L4" s="53" t="s">
        <v>3152</v>
      </c>
      <c r="M4" s="53"/>
      <c r="N4" s="54">
        <v>46245</v>
      </c>
      <c r="O4" s="55">
        <v>0</v>
      </c>
      <c r="P4" s="53" t="s">
        <v>3152</v>
      </c>
      <c r="Q4" s="53" t="s">
        <v>3152</v>
      </c>
      <c r="R4" s="53" t="s">
        <v>3152</v>
      </c>
      <c r="S4" s="53" t="s">
        <v>3152</v>
      </c>
      <c r="T4" s="53" t="s">
        <v>3152</v>
      </c>
      <c r="U4" s="53" t="s">
        <v>3152</v>
      </c>
      <c r="V4" s="69"/>
      <c r="W4" s="69"/>
      <c r="X4" s="70" t="s">
        <v>3151</v>
      </c>
      <c r="Y4" s="53" t="s">
        <v>3154</v>
      </c>
      <c r="Z4" s="53" t="s">
        <v>3154</v>
      </c>
      <c r="AA4" s="53" t="s">
        <v>3151</v>
      </c>
      <c r="AB4" s="53" t="s">
        <v>270</v>
      </c>
      <c r="AC4" s="65" t="s">
        <v>3156</v>
      </c>
      <c r="AD4" s="65" t="s">
        <v>3166</v>
      </c>
      <c r="AE4" s="53" t="s">
        <v>270</v>
      </c>
      <c r="AF4" s="53"/>
      <c r="AG4" s="67"/>
      <c r="AH4" s="67"/>
      <c r="AI4" s="53"/>
      <c r="AJ4" s="53"/>
      <c r="AK4" s="53"/>
      <c r="AL4" s="68"/>
      <c r="AM4" s="68"/>
      <c r="AN4" s="68"/>
      <c r="AO4" s="68"/>
      <c r="AP4" s="68"/>
      <c r="AQ4" s="68"/>
      <c r="AR4" s="68"/>
      <c r="AS4" s="68"/>
      <c r="AT4" s="62"/>
      <c r="AU4" s="62"/>
      <c r="AV4" s="62"/>
      <c r="AW4" s="62"/>
      <c r="AX4" s="62"/>
      <c r="AY4" s="62"/>
      <c r="AZ4" s="62"/>
      <c r="BA4" s="62"/>
      <c r="BB4" s="62"/>
      <c r="BC4" s="62"/>
      <c r="BD4" s="62"/>
      <c r="BE4" s="62"/>
      <c r="BF4" s="62"/>
      <c r="BG4" s="62"/>
      <c r="BH4" s="62"/>
      <c r="BI4" s="62"/>
      <c r="BJ4" s="62"/>
      <c r="BK4" s="62"/>
      <c r="BL4" s="62"/>
      <c r="BM4" s="62"/>
      <c r="BN4" s="62"/>
      <c r="BO4" s="62"/>
      <c r="BP4" s="62"/>
      <c r="BQ4" s="62"/>
      <c r="BR4" s="62"/>
      <c r="BS4" s="62"/>
    </row>
    <row r="5" spans="1:71" ht="84" customHeight="1">
      <c r="A5" s="49" t="e" vm="1">
        <v>#VALUE!</v>
      </c>
      <c r="B5" s="51" t="s">
        <v>3144</v>
      </c>
      <c r="C5" s="51" t="s">
        <v>3145</v>
      </c>
      <c r="D5" s="51" t="s">
        <v>3161</v>
      </c>
      <c r="E5" s="51" t="s">
        <v>3172</v>
      </c>
      <c r="F5" s="51" t="s">
        <v>3148</v>
      </c>
      <c r="G5" s="49" t="s">
        <v>3163</v>
      </c>
      <c r="H5" s="51" t="s">
        <v>138</v>
      </c>
      <c r="I5" s="52" t="s">
        <v>98</v>
      </c>
      <c r="J5" s="53" t="s">
        <v>3173</v>
      </c>
      <c r="K5" s="53" t="s">
        <v>3151</v>
      </c>
      <c r="L5" s="53" t="s">
        <v>3152</v>
      </c>
      <c r="M5" s="54" t="s">
        <v>3174</v>
      </c>
      <c r="N5" s="54">
        <v>46245</v>
      </c>
      <c r="O5" s="55">
        <v>250000000</v>
      </c>
      <c r="P5" s="53" t="s">
        <v>3154</v>
      </c>
      <c r="Q5" s="56" t="s">
        <v>3151</v>
      </c>
      <c r="R5" s="54">
        <v>46254</v>
      </c>
      <c r="S5" s="57" t="s">
        <v>3155</v>
      </c>
      <c r="T5" s="71">
        <v>46273</v>
      </c>
      <c r="U5" s="58">
        <v>7540542.75</v>
      </c>
      <c r="V5" s="57"/>
      <c r="W5" s="57"/>
      <c r="X5" s="53" t="s">
        <v>3151</v>
      </c>
      <c r="Y5" s="59" t="s">
        <v>3154</v>
      </c>
      <c r="Z5" s="53" t="s">
        <v>3154</v>
      </c>
      <c r="AA5" s="53" t="s">
        <v>3151</v>
      </c>
      <c r="AB5" s="53" t="s">
        <v>270</v>
      </c>
      <c r="AC5" s="65" t="s">
        <v>3156</v>
      </c>
      <c r="AD5" s="65" t="s">
        <v>3157</v>
      </c>
      <c r="AE5" s="53" t="s">
        <v>3158</v>
      </c>
      <c r="AF5" s="72" t="s">
        <v>3175</v>
      </c>
      <c r="AG5" s="67"/>
      <c r="AH5" s="67"/>
      <c r="AI5" s="53"/>
      <c r="AJ5" s="53"/>
      <c r="AK5" s="53"/>
      <c r="AL5" s="68"/>
      <c r="AM5" s="68"/>
      <c r="AN5" s="68"/>
      <c r="AO5" s="68"/>
      <c r="AP5" s="68"/>
      <c r="AQ5" s="68"/>
      <c r="AR5" s="68"/>
      <c r="AS5" s="68"/>
      <c r="AT5" s="68"/>
      <c r="AU5" s="68"/>
      <c r="AV5" s="68"/>
      <c r="AW5" s="68"/>
      <c r="AX5" s="68"/>
      <c r="AY5" s="68"/>
      <c r="AZ5" s="68"/>
      <c r="BA5" s="68"/>
      <c r="BB5" s="68"/>
      <c r="BC5" s="68"/>
      <c r="BD5" s="68"/>
      <c r="BE5" s="68"/>
      <c r="BF5" s="68"/>
      <c r="BG5" s="68"/>
      <c r="BH5" s="68"/>
      <c r="BI5" s="68"/>
      <c r="BJ5" s="68"/>
      <c r="BK5" s="68"/>
      <c r="BL5" s="68"/>
      <c r="BM5" s="68"/>
      <c r="BN5" s="68"/>
      <c r="BO5" s="68"/>
      <c r="BP5" s="68"/>
      <c r="BQ5" s="68"/>
      <c r="BR5" s="68"/>
      <c r="BS5" s="68"/>
    </row>
    <row r="6" spans="1:71" ht="84" customHeight="1">
      <c r="A6" s="50" t="e" vm="1">
        <v>#VALUE!</v>
      </c>
      <c r="B6" s="51" t="s">
        <v>3144</v>
      </c>
      <c r="C6" s="51" t="s">
        <v>3145</v>
      </c>
      <c r="D6" s="51" t="s">
        <v>3161</v>
      </c>
      <c r="E6" s="57" t="s">
        <v>3176</v>
      </c>
      <c r="F6" s="51" t="s">
        <v>3177</v>
      </c>
      <c r="G6" s="49" t="s">
        <v>3163</v>
      </c>
      <c r="H6" s="51" t="s">
        <v>138</v>
      </c>
      <c r="I6" s="52" t="s">
        <v>98</v>
      </c>
      <c r="J6" s="53" t="s">
        <v>3178</v>
      </c>
      <c r="K6" s="53" t="s">
        <v>3151</v>
      </c>
      <c r="L6" s="73" t="s">
        <v>3152</v>
      </c>
      <c r="M6" s="54" t="s">
        <v>3179</v>
      </c>
      <c r="N6" s="54">
        <v>46245</v>
      </c>
      <c r="O6" s="55">
        <v>250000000</v>
      </c>
      <c r="P6" s="53" t="s">
        <v>3154</v>
      </c>
      <c r="Q6" s="53" t="s">
        <v>3151</v>
      </c>
      <c r="R6" s="64">
        <v>46254</v>
      </c>
      <c r="S6" s="74" t="s">
        <v>3180</v>
      </c>
      <c r="T6" s="75"/>
      <c r="U6" s="76"/>
      <c r="V6" s="75"/>
      <c r="W6" s="75"/>
      <c r="X6" s="77" t="s">
        <v>3151</v>
      </c>
      <c r="Y6" s="53" t="s">
        <v>3154</v>
      </c>
      <c r="Z6" s="53" t="s">
        <v>3154</v>
      </c>
      <c r="AA6" s="53" t="s">
        <v>3151</v>
      </c>
      <c r="AB6" s="53" t="s">
        <v>270</v>
      </c>
      <c r="AC6" s="65" t="s">
        <v>3156</v>
      </c>
      <c r="AD6" s="65" t="s">
        <v>3157</v>
      </c>
      <c r="AE6" s="53" t="s">
        <v>270</v>
      </c>
      <c r="AF6" s="53"/>
      <c r="AG6" s="67"/>
      <c r="AH6" s="67"/>
      <c r="AI6" s="53"/>
      <c r="AJ6" s="53"/>
      <c r="AK6" s="53"/>
      <c r="AL6" s="68"/>
      <c r="AM6" s="68"/>
      <c r="AN6" s="68"/>
      <c r="AO6" s="68"/>
      <c r="AP6" s="68"/>
      <c r="AQ6" s="68"/>
      <c r="AR6" s="68"/>
      <c r="AS6" s="68"/>
      <c r="AT6" s="68"/>
      <c r="AU6" s="68"/>
      <c r="AV6" s="68"/>
      <c r="AW6" s="68"/>
      <c r="AX6" s="68"/>
      <c r="AY6" s="68"/>
      <c r="AZ6" s="68"/>
      <c r="BA6" s="68"/>
      <c r="BB6" s="68"/>
      <c r="BC6" s="68"/>
      <c r="BD6" s="68"/>
      <c r="BE6" s="68"/>
      <c r="BF6" s="68"/>
      <c r="BG6" s="68"/>
      <c r="BH6" s="68"/>
      <c r="BI6" s="68"/>
      <c r="BJ6" s="68"/>
      <c r="BK6" s="68"/>
      <c r="BL6" s="68"/>
      <c r="BM6" s="68"/>
      <c r="BN6" s="68"/>
      <c r="BO6" s="68"/>
      <c r="BP6" s="68"/>
      <c r="BQ6" s="68"/>
      <c r="BR6" s="68"/>
      <c r="BS6" s="68"/>
    </row>
    <row r="7" spans="1:71" ht="84" customHeight="1">
      <c r="A7" s="49" t="e" vm="1">
        <v>#VALUE!</v>
      </c>
      <c r="B7" s="51" t="s">
        <v>3181</v>
      </c>
      <c r="C7" s="51" t="s">
        <v>3145</v>
      </c>
      <c r="D7" s="51" t="s">
        <v>3161</v>
      </c>
      <c r="E7" s="51" t="s">
        <v>3182</v>
      </c>
      <c r="F7" s="51" t="s">
        <v>3148</v>
      </c>
      <c r="G7" s="49" t="s">
        <v>3163</v>
      </c>
      <c r="H7" s="60" t="s">
        <v>138</v>
      </c>
      <c r="I7" s="57" t="s">
        <v>98</v>
      </c>
      <c r="J7" s="53" t="s">
        <v>3183</v>
      </c>
      <c r="K7" s="53" t="s">
        <v>3151</v>
      </c>
      <c r="L7" s="53" t="s">
        <v>3152</v>
      </c>
      <c r="M7" s="53"/>
      <c r="N7" s="54">
        <v>46245</v>
      </c>
      <c r="O7" s="55">
        <v>250000000</v>
      </c>
      <c r="P7" s="53" t="s">
        <v>3184</v>
      </c>
      <c r="Q7" s="53"/>
      <c r="R7" s="54"/>
      <c r="S7" s="57"/>
      <c r="T7" s="75"/>
      <c r="U7" s="57"/>
      <c r="V7" s="57"/>
      <c r="W7" s="57"/>
      <c r="X7" s="53" t="s">
        <v>3151</v>
      </c>
      <c r="Y7" s="53" t="s">
        <v>3154</v>
      </c>
      <c r="Z7" s="53" t="s">
        <v>3154</v>
      </c>
      <c r="AA7" s="53" t="s">
        <v>3151</v>
      </c>
      <c r="AB7" s="53" t="s">
        <v>270</v>
      </c>
      <c r="AC7" s="65" t="s">
        <v>3156</v>
      </c>
      <c r="AD7" s="65" t="s">
        <v>3157</v>
      </c>
      <c r="AE7" s="53" t="s">
        <v>3158</v>
      </c>
      <c r="AF7" s="66" t="s">
        <v>3185</v>
      </c>
      <c r="AG7" s="67"/>
      <c r="AH7" s="67"/>
      <c r="AI7" s="53"/>
      <c r="AJ7" s="53"/>
      <c r="AK7" s="53"/>
      <c r="AL7" s="68"/>
      <c r="AM7" s="68"/>
      <c r="AN7" s="68"/>
      <c r="AO7" s="68"/>
      <c r="AP7" s="68"/>
      <c r="AQ7" s="68"/>
      <c r="AR7" s="68"/>
      <c r="AS7" s="68"/>
      <c r="AT7" s="62"/>
      <c r="AU7" s="62"/>
      <c r="AV7" s="62"/>
      <c r="AW7" s="62"/>
      <c r="AX7" s="62"/>
      <c r="AY7" s="62"/>
      <c r="AZ7" s="62"/>
      <c r="BA7" s="62"/>
      <c r="BB7" s="62"/>
      <c r="BC7" s="62"/>
      <c r="BD7" s="62"/>
      <c r="BE7" s="62"/>
      <c r="BF7" s="62"/>
      <c r="BG7" s="62"/>
      <c r="BH7" s="62"/>
      <c r="BI7" s="62"/>
      <c r="BJ7" s="62"/>
      <c r="BK7" s="62"/>
      <c r="BL7" s="62"/>
      <c r="BM7" s="62"/>
      <c r="BN7" s="62"/>
      <c r="BO7" s="62"/>
      <c r="BP7" s="62"/>
      <c r="BQ7" s="62"/>
      <c r="BR7" s="62"/>
      <c r="BS7" s="62"/>
    </row>
    <row r="8" spans="1:71" ht="84" customHeight="1">
      <c r="A8" s="49" t="e" vm="1">
        <v>#VALUE!</v>
      </c>
      <c r="B8" s="51" t="s">
        <v>3144</v>
      </c>
      <c r="C8" s="51" t="s">
        <v>3145</v>
      </c>
      <c r="D8" s="51" t="s">
        <v>3161</v>
      </c>
      <c r="E8" s="51" t="s">
        <v>3186</v>
      </c>
      <c r="F8" s="51" t="s">
        <v>3148</v>
      </c>
      <c r="G8" s="51" t="s">
        <v>3149</v>
      </c>
      <c r="H8" s="51" t="s">
        <v>138</v>
      </c>
      <c r="I8" s="78" t="s">
        <v>45</v>
      </c>
      <c r="J8" s="53" t="s">
        <v>3187</v>
      </c>
      <c r="K8" s="53" t="s">
        <v>3151</v>
      </c>
      <c r="L8" s="53" t="s">
        <v>3152</v>
      </c>
      <c r="M8" s="53" t="s">
        <v>3188</v>
      </c>
      <c r="N8" s="54">
        <v>46244</v>
      </c>
      <c r="O8" s="55">
        <v>250000000</v>
      </c>
      <c r="P8" s="53" t="s">
        <v>3154</v>
      </c>
      <c r="Q8" s="53" t="s">
        <v>3151</v>
      </c>
      <c r="R8" s="54">
        <v>46253</v>
      </c>
      <c r="S8" s="57" t="s">
        <v>3155</v>
      </c>
      <c r="T8" s="71">
        <v>46273</v>
      </c>
      <c r="U8" s="58">
        <v>20539517.699999999</v>
      </c>
      <c r="V8" s="71"/>
      <c r="W8" s="57"/>
      <c r="X8" s="53" t="s">
        <v>3151</v>
      </c>
      <c r="Y8" s="53" t="s">
        <v>3154</v>
      </c>
      <c r="Z8" s="53" t="s">
        <v>3154</v>
      </c>
      <c r="AA8" s="53" t="s">
        <v>3151</v>
      </c>
      <c r="AB8" s="53"/>
      <c r="AC8" s="65" t="s">
        <v>3156</v>
      </c>
      <c r="AD8" s="65" t="s">
        <v>3157</v>
      </c>
      <c r="AE8" s="53" t="s">
        <v>3158</v>
      </c>
      <c r="AF8" s="66" t="s">
        <v>3189</v>
      </c>
      <c r="AG8" s="67"/>
      <c r="AH8" s="67"/>
      <c r="AI8" s="53"/>
      <c r="AJ8" s="53"/>
      <c r="AK8" s="53"/>
      <c r="AL8" s="68"/>
      <c r="AM8" s="68"/>
      <c r="AN8" s="68"/>
      <c r="AO8" s="68"/>
      <c r="AP8" s="68"/>
      <c r="AQ8" s="68"/>
      <c r="AR8" s="68"/>
      <c r="AS8" s="68"/>
      <c r="AT8" s="62"/>
      <c r="AU8" s="62"/>
      <c r="AV8" s="62"/>
      <c r="AW8" s="62"/>
      <c r="AX8" s="62"/>
      <c r="AY8" s="62"/>
      <c r="AZ8" s="62"/>
      <c r="BA8" s="62"/>
      <c r="BB8" s="62"/>
      <c r="BC8" s="62"/>
      <c r="BD8" s="62"/>
      <c r="BE8" s="62"/>
      <c r="BF8" s="62"/>
      <c r="BG8" s="62"/>
      <c r="BH8" s="62"/>
      <c r="BI8" s="62"/>
      <c r="BJ8" s="62"/>
      <c r="BK8" s="62"/>
      <c r="BL8" s="62"/>
      <c r="BM8" s="62"/>
      <c r="BN8" s="62"/>
      <c r="BO8" s="62"/>
      <c r="BP8" s="62"/>
      <c r="BQ8" s="62"/>
      <c r="BR8" s="62"/>
      <c r="BS8" s="62"/>
    </row>
    <row r="9" spans="1:71" ht="84" customHeight="1">
      <c r="A9" s="50" t="e" vm="1">
        <v>#VALUE!</v>
      </c>
      <c r="B9" s="50" t="s">
        <v>3190</v>
      </c>
      <c r="C9" s="50" t="s">
        <v>3145</v>
      </c>
      <c r="D9" s="50" t="s">
        <v>3161</v>
      </c>
      <c r="E9" s="50" t="s">
        <v>3191</v>
      </c>
      <c r="F9" s="51" t="s">
        <v>3170</v>
      </c>
      <c r="G9" s="49" t="s">
        <v>3192</v>
      </c>
      <c r="H9" s="60" t="s">
        <v>138</v>
      </c>
      <c r="I9" s="57" t="s">
        <v>98</v>
      </c>
      <c r="J9" s="53" t="s">
        <v>3183</v>
      </c>
      <c r="K9" s="53" t="s">
        <v>3151</v>
      </c>
      <c r="L9" s="53" t="s">
        <v>3152</v>
      </c>
      <c r="M9" s="53"/>
      <c r="N9" s="54">
        <v>46245</v>
      </c>
      <c r="O9" s="55">
        <v>0</v>
      </c>
      <c r="P9" s="53" t="s">
        <v>3152</v>
      </c>
      <c r="Q9" s="53"/>
      <c r="R9" s="54"/>
      <c r="S9" s="57"/>
      <c r="T9" s="57"/>
      <c r="U9" s="57"/>
      <c r="V9" s="57"/>
      <c r="W9" s="57"/>
      <c r="X9" s="53" t="s">
        <v>3151</v>
      </c>
      <c r="Y9" s="53" t="s">
        <v>3154</v>
      </c>
      <c r="Z9" s="53" t="s">
        <v>3154</v>
      </c>
      <c r="AA9" s="53" t="s">
        <v>3151</v>
      </c>
      <c r="AB9" s="53"/>
      <c r="AC9" s="65" t="s">
        <v>3156</v>
      </c>
      <c r="AD9" s="65"/>
      <c r="AE9" s="53" t="s">
        <v>270</v>
      </c>
      <c r="AF9" s="53"/>
      <c r="AG9" s="67"/>
      <c r="AH9" s="67"/>
      <c r="AI9" s="53"/>
      <c r="AJ9" s="53"/>
      <c r="AK9" s="53"/>
      <c r="AL9" s="68"/>
      <c r="AM9" s="68"/>
      <c r="AN9" s="68"/>
      <c r="AO9" s="68"/>
      <c r="AP9" s="68"/>
      <c r="AQ9" s="68"/>
      <c r="AR9" s="68"/>
      <c r="AS9" s="68"/>
      <c r="AT9" s="62"/>
      <c r="AU9" s="62"/>
      <c r="AV9" s="62"/>
      <c r="AW9" s="62"/>
      <c r="AX9" s="62"/>
      <c r="AY9" s="62"/>
      <c r="AZ9" s="62"/>
      <c r="BA9" s="62"/>
      <c r="BB9" s="62"/>
      <c r="BC9" s="62"/>
      <c r="BD9" s="62"/>
      <c r="BE9" s="62"/>
      <c r="BF9" s="62"/>
      <c r="BG9" s="62"/>
      <c r="BH9" s="62"/>
      <c r="BI9" s="62"/>
      <c r="BJ9" s="62"/>
      <c r="BK9" s="62"/>
      <c r="BL9" s="62"/>
      <c r="BM9" s="62"/>
      <c r="BN9" s="62"/>
      <c r="BO9" s="62"/>
      <c r="BP9" s="62"/>
      <c r="BQ9" s="62"/>
      <c r="BR9" s="62"/>
      <c r="BS9" s="62"/>
    </row>
    <row r="10" spans="1:71" ht="84" customHeight="1">
      <c r="A10" s="50" t="e" vm="1">
        <v>#VALUE!</v>
      </c>
      <c r="B10" s="50" t="s">
        <v>3193</v>
      </c>
      <c r="C10" s="50" t="s">
        <v>3145</v>
      </c>
      <c r="D10" s="50" t="s">
        <v>3161</v>
      </c>
      <c r="E10" s="50" t="s">
        <v>3194</v>
      </c>
      <c r="F10" s="51" t="s">
        <v>3170</v>
      </c>
      <c r="G10" s="43" t="s">
        <v>3192</v>
      </c>
      <c r="H10" s="51" t="s">
        <v>138</v>
      </c>
      <c r="I10" s="52" t="s">
        <v>98</v>
      </c>
      <c r="J10" s="53" t="s">
        <v>3195</v>
      </c>
      <c r="K10" s="53" t="s">
        <v>3151</v>
      </c>
      <c r="L10" s="53" t="s">
        <v>3152</v>
      </c>
      <c r="M10" s="53"/>
      <c r="N10" s="54">
        <v>46245</v>
      </c>
      <c r="O10" s="55">
        <v>0</v>
      </c>
      <c r="P10" s="53" t="s">
        <v>3152</v>
      </c>
      <c r="Q10" s="53"/>
      <c r="R10" s="54"/>
      <c r="S10" s="57"/>
      <c r="T10" s="57"/>
      <c r="U10" s="57"/>
      <c r="V10" s="57"/>
      <c r="W10" s="57"/>
      <c r="X10" s="53" t="s">
        <v>3151</v>
      </c>
      <c r="Y10" s="53" t="s">
        <v>3154</v>
      </c>
      <c r="Z10" s="53" t="s">
        <v>3154</v>
      </c>
      <c r="AA10" s="53" t="s">
        <v>3151</v>
      </c>
      <c r="AB10" s="53"/>
      <c r="AC10" s="65" t="s">
        <v>3156</v>
      </c>
      <c r="AD10" s="65"/>
      <c r="AE10" s="53" t="s">
        <v>270</v>
      </c>
      <c r="AF10" s="53"/>
      <c r="AG10" s="67"/>
      <c r="AH10" s="67"/>
      <c r="AI10" s="53"/>
      <c r="AJ10" s="53"/>
      <c r="AK10" s="53"/>
      <c r="AL10" s="68"/>
      <c r="AM10" s="68"/>
      <c r="AN10" s="68"/>
      <c r="AO10" s="68"/>
      <c r="AP10" s="68"/>
      <c r="AQ10" s="68"/>
      <c r="AR10" s="68"/>
      <c r="AS10" s="68"/>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row>
    <row r="11" spans="1:71" ht="84" customHeight="1">
      <c r="A11" s="50" t="e" vm="1">
        <v>#VALUE!</v>
      </c>
      <c r="B11" s="50" t="s">
        <v>3196</v>
      </c>
      <c r="C11" s="50" t="s">
        <v>3145</v>
      </c>
      <c r="D11" s="50" t="s">
        <v>3161</v>
      </c>
      <c r="E11" s="50" t="s">
        <v>3197</v>
      </c>
      <c r="F11" s="50" t="s">
        <v>3198</v>
      </c>
      <c r="G11" s="49" t="s">
        <v>3192</v>
      </c>
      <c r="H11" s="51" t="s">
        <v>138</v>
      </c>
      <c r="I11" s="52" t="s">
        <v>98</v>
      </c>
      <c r="J11" s="53" t="s">
        <v>3199</v>
      </c>
      <c r="K11" s="53" t="s">
        <v>3151</v>
      </c>
      <c r="L11" s="53" t="s">
        <v>3152</v>
      </c>
      <c r="M11" s="53"/>
      <c r="N11" s="54">
        <v>46245</v>
      </c>
      <c r="O11" s="55">
        <v>0</v>
      </c>
      <c r="P11" s="53" t="s">
        <v>3154</v>
      </c>
      <c r="Q11" s="53"/>
      <c r="R11" s="54"/>
      <c r="S11" s="57" t="s">
        <v>3180</v>
      </c>
      <c r="T11" s="57"/>
      <c r="U11" s="57"/>
      <c r="V11" s="57"/>
      <c r="W11" s="57"/>
      <c r="X11" s="53" t="s">
        <v>3151</v>
      </c>
      <c r="Y11" s="53" t="s">
        <v>3154</v>
      </c>
      <c r="Z11" s="53" t="s">
        <v>3154</v>
      </c>
      <c r="AA11" s="53" t="s">
        <v>3151</v>
      </c>
      <c r="AB11" s="53"/>
      <c r="AC11" s="65" t="s">
        <v>3156</v>
      </c>
      <c r="AD11" s="65"/>
      <c r="AE11" s="53" t="s">
        <v>3158</v>
      </c>
      <c r="AF11" s="66" t="s">
        <v>3200</v>
      </c>
      <c r="AG11" s="67"/>
      <c r="AH11" s="67"/>
      <c r="AI11" s="53"/>
      <c r="AJ11" s="53"/>
      <c r="AK11" s="53"/>
      <c r="AL11" s="68"/>
      <c r="AM11" s="68"/>
      <c r="AN11" s="68"/>
      <c r="AO11" s="68"/>
      <c r="AP11" s="68"/>
      <c r="AQ11" s="68"/>
      <c r="AR11" s="68"/>
      <c r="AS11" s="68"/>
      <c r="AT11" s="68"/>
      <c r="AU11" s="68"/>
      <c r="AV11" s="68"/>
      <c r="AW11" s="68"/>
      <c r="AX11" s="68"/>
      <c r="AY11" s="68"/>
      <c r="AZ11" s="68"/>
      <c r="BA11" s="68"/>
      <c r="BB11" s="68"/>
      <c r="BC11" s="68"/>
      <c r="BD11" s="68"/>
      <c r="BE11" s="68"/>
      <c r="BF11" s="68"/>
      <c r="BG11" s="68"/>
      <c r="BH11" s="68"/>
      <c r="BI11" s="68"/>
      <c r="BJ11" s="68"/>
      <c r="BK11" s="68"/>
      <c r="BL11" s="68"/>
      <c r="BM11" s="68"/>
      <c r="BN11" s="68"/>
      <c r="BO11" s="68"/>
      <c r="BP11" s="68"/>
      <c r="BQ11" s="68"/>
      <c r="BR11" s="68"/>
      <c r="BS11" s="68"/>
    </row>
    <row r="12" spans="1:71" ht="84" customHeight="1">
      <c r="A12" s="51" t="e" vm="2">
        <v>#VALUE!</v>
      </c>
      <c r="B12" s="51" t="s">
        <v>3201</v>
      </c>
      <c r="C12" s="51" t="s">
        <v>3145</v>
      </c>
      <c r="D12" s="51" t="s">
        <v>3202</v>
      </c>
      <c r="E12" s="79" t="s">
        <v>3203</v>
      </c>
      <c r="F12" s="51" t="s">
        <v>3148</v>
      </c>
      <c r="G12" s="80" t="s">
        <v>3204</v>
      </c>
      <c r="H12" s="80" t="s">
        <v>3205</v>
      </c>
      <c r="I12" s="81" t="s">
        <v>45</v>
      </c>
      <c r="J12" s="53" t="s">
        <v>3206</v>
      </c>
      <c r="K12" s="82" t="s">
        <v>3154</v>
      </c>
      <c r="L12" s="82" t="s">
        <v>3152</v>
      </c>
      <c r="M12" s="83">
        <v>46245</v>
      </c>
      <c r="N12" s="83">
        <v>46254</v>
      </c>
      <c r="O12" s="55">
        <v>0</v>
      </c>
      <c r="P12" s="82" t="s">
        <v>3154</v>
      </c>
      <c r="Q12" s="82" t="s">
        <v>3151</v>
      </c>
      <c r="R12" s="83">
        <v>46266</v>
      </c>
      <c r="S12" s="57" t="s">
        <v>3207</v>
      </c>
      <c r="T12" s="57"/>
      <c r="U12" s="57"/>
      <c r="V12" s="57"/>
      <c r="W12" s="57"/>
      <c r="X12" s="82" t="s">
        <v>3151</v>
      </c>
      <c r="Y12" s="82" t="s">
        <v>3154</v>
      </c>
      <c r="Z12" s="82" t="s">
        <v>3154</v>
      </c>
      <c r="AA12" s="82" t="s">
        <v>3154</v>
      </c>
      <c r="AB12" s="82" t="s">
        <v>3152</v>
      </c>
      <c r="AC12" s="65" t="s">
        <v>3208</v>
      </c>
      <c r="AD12" s="65" t="s">
        <v>3209</v>
      </c>
      <c r="AE12" s="82"/>
      <c r="AF12" s="84"/>
      <c r="AG12" s="85"/>
      <c r="AH12" s="85"/>
      <c r="AI12" s="53"/>
      <c r="AJ12" s="53"/>
      <c r="AK12" s="82"/>
      <c r="AL12" s="86"/>
      <c r="AM12" s="86"/>
      <c r="AN12" s="86"/>
      <c r="AO12" s="86"/>
      <c r="AP12" s="86"/>
      <c r="AQ12" s="86"/>
      <c r="AR12" s="86"/>
      <c r="AS12" s="86"/>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row>
    <row r="13" spans="1:71" ht="84" customHeight="1">
      <c r="A13" s="51" t="e" vm="2">
        <v>#VALUE!</v>
      </c>
      <c r="B13" s="51" t="s">
        <v>3201</v>
      </c>
      <c r="C13" s="51" t="s">
        <v>3145</v>
      </c>
      <c r="D13" s="51" t="s">
        <v>3161</v>
      </c>
      <c r="E13" s="79" t="s">
        <v>3210</v>
      </c>
      <c r="F13" s="51" t="s">
        <v>3170</v>
      </c>
      <c r="G13" s="49" t="s">
        <v>3192</v>
      </c>
      <c r="H13" s="87" t="s">
        <v>3152</v>
      </c>
      <c r="I13" s="81" t="s">
        <v>98</v>
      </c>
      <c r="J13" s="53" t="s">
        <v>3211</v>
      </c>
      <c r="K13" s="82" t="s">
        <v>3151</v>
      </c>
      <c r="L13" s="82" t="s">
        <v>3152</v>
      </c>
      <c r="M13" s="83" t="s">
        <v>3152</v>
      </c>
      <c r="N13" s="83">
        <v>46244</v>
      </c>
      <c r="O13" s="55">
        <v>0</v>
      </c>
      <c r="P13" s="53" t="s">
        <v>3152</v>
      </c>
      <c r="Q13" s="82" t="s">
        <v>3152</v>
      </c>
      <c r="R13" s="83" t="s">
        <v>3152</v>
      </c>
      <c r="S13" s="57" t="s">
        <v>3152</v>
      </c>
      <c r="T13" s="57" t="s">
        <v>3152</v>
      </c>
      <c r="U13" s="57" t="s">
        <v>3152</v>
      </c>
      <c r="V13" s="57"/>
      <c r="W13" s="57"/>
      <c r="X13" s="82" t="s">
        <v>3151</v>
      </c>
      <c r="Y13" s="82" t="s">
        <v>3151</v>
      </c>
      <c r="Z13" s="82" t="s">
        <v>3154</v>
      </c>
      <c r="AA13" s="82" t="s">
        <v>3151</v>
      </c>
      <c r="AB13" s="82" t="s">
        <v>3151</v>
      </c>
      <c r="AC13" s="65" t="s">
        <v>3212</v>
      </c>
      <c r="AD13" s="65" t="s">
        <v>3152</v>
      </c>
      <c r="AE13" s="82" t="s">
        <v>270</v>
      </c>
      <c r="AF13" s="82"/>
      <c r="AG13" s="85"/>
      <c r="AH13" s="85"/>
      <c r="AI13" s="82"/>
      <c r="AJ13" s="82"/>
      <c r="AK13" s="82"/>
      <c r="AL13" s="86"/>
      <c r="AM13" s="86"/>
      <c r="AN13" s="86"/>
      <c r="AO13" s="86"/>
      <c r="AP13" s="86"/>
      <c r="AQ13" s="86"/>
      <c r="AR13" s="86"/>
      <c r="AS13" s="86"/>
      <c r="AT13" s="88"/>
      <c r="AU13" s="88"/>
      <c r="AV13" s="88"/>
      <c r="AW13" s="88"/>
      <c r="AX13" s="88"/>
      <c r="AY13" s="88"/>
      <c r="AZ13" s="88"/>
      <c r="BA13" s="88"/>
      <c r="BB13" s="88"/>
      <c r="BC13" s="88"/>
      <c r="BD13" s="88"/>
      <c r="BE13" s="88"/>
      <c r="BF13" s="88"/>
      <c r="BG13" s="88"/>
      <c r="BH13" s="88"/>
      <c r="BI13" s="88"/>
      <c r="BJ13" s="88"/>
      <c r="BK13" s="88"/>
      <c r="BL13" s="88"/>
      <c r="BM13" s="88"/>
      <c r="BN13" s="88"/>
      <c r="BO13" s="88"/>
      <c r="BP13" s="88"/>
      <c r="BQ13" s="88"/>
      <c r="BR13" s="88"/>
      <c r="BS13" s="88"/>
    </row>
    <row r="14" spans="1:71" ht="84" customHeight="1">
      <c r="A14" s="80" t="e" vm="3">
        <v>#VALUE!</v>
      </c>
      <c r="B14" s="80" t="s">
        <v>3213</v>
      </c>
      <c r="C14" s="51" t="s">
        <v>3145</v>
      </c>
      <c r="D14" s="51" t="s">
        <v>306</v>
      </c>
      <c r="E14" s="51" t="s">
        <v>3147</v>
      </c>
      <c r="F14" s="51" t="s">
        <v>3148</v>
      </c>
      <c r="G14" s="51" t="s">
        <v>3214</v>
      </c>
      <c r="H14" s="51" t="s">
        <v>44</v>
      </c>
      <c r="I14" s="89" t="s">
        <v>146</v>
      </c>
      <c r="J14" s="66" t="s">
        <v>3215</v>
      </c>
      <c r="K14" s="53" t="s">
        <v>270</v>
      </c>
      <c r="L14" s="53" t="s">
        <v>3216</v>
      </c>
      <c r="M14" s="54">
        <v>46245</v>
      </c>
      <c r="N14" s="54"/>
      <c r="O14" s="55">
        <v>17442000000</v>
      </c>
      <c r="P14" s="53" t="s">
        <v>3151</v>
      </c>
      <c r="Q14" s="53" t="s">
        <v>3151</v>
      </c>
      <c r="R14" s="54">
        <v>46284</v>
      </c>
      <c r="S14" s="57" t="s">
        <v>3217</v>
      </c>
      <c r="T14" s="71"/>
      <c r="U14" s="57"/>
      <c r="V14" s="57"/>
      <c r="W14" s="57"/>
      <c r="X14" s="53" t="s">
        <v>270</v>
      </c>
      <c r="Y14" s="53" t="s">
        <v>270</v>
      </c>
      <c r="Z14" s="53" t="s">
        <v>3154</v>
      </c>
      <c r="AA14" s="53" t="s">
        <v>3151</v>
      </c>
      <c r="AB14" s="53" t="s">
        <v>270</v>
      </c>
      <c r="AC14" s="65" t="s">
        <v>3218</v>
      </c>
      <c r="AD14" s="65" t="s">
        <v>3219</v>
      </c>
      <c r="AE14" s="82" t="s">
        <v>3158</v>
      </c>
      <c r="AF14" s="84" t="s">
        <v>3220</v>
      </c>
      <c r="AG14" s="85"/>
      <c r="AH14" s="85"/>
      <c r="AI14" s="53"/>
      <c r="AJ14" s="53"/>
      <c r="AK14" s="82"/>
      <c r="AL14" s="86"/>
      <c r="AM14" s="86"/>
      <c r="AN14" s="86"/>
      <c r="AO14" s="86"/>
      <c r="AP14" s="86"/>
      <c r="AQ14" s="86"/>
      <c r="AR14" s="86"/>
      <c r="AS14" s="86"/>
      <c r="AT14" s="44"/>
      <c r="AU14" s="44"/>
      <c r="AV14" s="44"/>
      <c r="AW14" s="44"/>
      <c r="AX14" s="44"/>
      <c r="AY14" s="44"/>
      <c r="AZ14" s="44"/>
      <c r="BA14" s="44"/>
      <c r="BB14" s="44"/>
      <c r="BC14" s="44"/>
      <c r="BD14" s="44"/>
      <c r="BE14" s="44"/>
      <c r="BF14" s="44"/>
      <c r="BG14" s="44"/>
      <c r="BH14" s="44"/>
      <c r="BI14" s="44"/>
      <c r="BJ14" s="44"/>
      <c r="BK14" s="44"/>
      <c r="BL14" s="44"/>
      <c r="BM14" s="44"/>
      <c r="BN14" s="44"/>
      <c r="BO14" s="44"/>
      <c r="BP14" s="44"/>
      <c r="BQ14" s="44"/>
      <c r="BR14" s="44"/>
      <c r="BS14" s="44"/>
    </row>
    <row r="15" spans="1:71" ht="84" customHeight="1">
      <c r="A15" s="80" t="e" vm="3">
        <v>#VALUE!</v>
      </c>
      <c r="B15" s="80" t="s">
        <v>3213</v>
      </c>
      <c r="C15" s="51" t="s">
        <v>3145</v>
      </c>
      <c r="D15" s="51" t="s">
        <v>3146</v>
      </c>
      <c r="E15" s="51" t="s">
        <v>3221</v>
      </c>
      <c r="F15" s="51" t="s">
        <v>3148</v>
      </c>
      <c r="G15" s="51" t="s">
        <v>3214</v>
      </c>
      <c r="H15" s="51" t="s">
        <v>44</v>
      </c>
      <c r="I15" s="89" t="s">
        <v>146</v>
      </c>
      <c r="J15" s="66" t="s">
        <v>3222</v>
      </c>
      <c r="K15" s="53" t="s">
        <v>270</v>
      </c>
      <c r="L15" s="53" t="s">
        <v>3216</v>
      </c>
      <c r="M15" s="54">
        <v>46245</v>
      </c>
      <c r="N15" s="54"/>
      <c r="O15" s="55">
        <v>9690000000</v>
      </c>
      <c r="P15" s="53" t="s">
        <v>3151</v>
      </c>
      <c r="Q15" s="53" t="s">
        <v>3151</v>
      </c>
      <c r="R15" s="54">
        <v>46284</v>
      </c>
      <c r="S15" s="57" t="s">
        <v>3217</v>
      </c>
      <c r="T15" s="57"/>
      <c r="U15" s="57"/>
      <c r="V15" s="57"/>
      <c r="W15" s="57"/>
      <c r="X15" s="53" t="s">
        <v>270</v>
      </c>
      <c r="Y15" s="53" t="s">
        <v>270</v>
      </c>
      <c r="Z15" s="53" t="s">
        <v>3154</v>
      </c>
      <c r="AA15" s="53" t="s">
        <v>3151</v>
      </c>
      <c r="AB15" s="53" t="s">
        <v>270</v>
      </c>
      <c r="AC15" s="65" t="s">
        <v>3218</v>
      </c>
      <c r="AD15" s="65" t="s">
        <v>3219</v>
      </c>
      <c r="AE15" s="82" t="s">
        <v>3158</v>
      </c>
      <c r="AF15" s="84" t="s">
        <v>3220</v>
      </c>
      <c r="AG15" s="85"/>
      <c r="AH15" s="85"/>
      <c r="AI15" s="53"/>
      <c r="AJ15" s="53"/>
      <c r="AK15" s="82"/>
      <c r="AL15" s="86"/>
      <c r="AM15" s="86"/>
      <c r="AN15" s="86"/>
      <c r="AO15" s="86"/>
      <c r="AP15" s="86"/>
      <c r="AQ15" s="86"/>
      <c r="AR15" s="86"/>
      <c r="AS15" s="86"/>
      <c r="AT15" s="44"/>
      <c r="AU15" s="44"/>
      <c r="AV15" s="44"/>
      <c r="AW15" s="44"/>
      <c r="AX15" s="44"/>
      <c r="AY15" s="44"/>
      <c r="AZ15" s="44"/>
      <c r="BA15" s="44"/>
      <c r="BB15" s="44"/>
      <c r="BC15" s="44"/>
      <c r="BD15" s="44"/>
      <c r="BE15" s="44"/>
      <c r="BF15" s="44"/>
      <c r="BG15" s="44"/>
      <c r="BH15" s="44"/>
      <c r="BI15" s="44"/>
      <c r="BJ15" s="44"/>
      <c r="BK15" s="44"/>
      <c r="BL15" s="44"/>
      <c r="BM15" s="44"/>
      <c r="BN15" s="44"/>
      <c r="BO15" s="44"/>
      <c r="BP15" s="44"/>
      <c r="BQ15" s="44"/>
      <c r="BR15" s="44"/>
      <c r="BS15" s="44"/>
    </row>
    <row r="16" spans="1:71" ht="84" customHeight="1">
      <c r="A16" s="80" t="e" vm="3">
        <v>#VALUE!</v>
      </c>
      <c r="B16" s="50" t="s">
        <v>3213</v>
      </c>
      <c r="C16" s="50" t="s">
        <v>3145</v>
      </c>
      <c r="D16" s="50" t="s">
        <v>3161</v>
      </c>
      <c r="E16" s="50" t="s">
        <v>3223</v>
      </c>
      <c r="F16" s="51" t="s">
        <v>3170</v>
      </c>
      <c r="G16" s="51" t="s">
        <v>3214</v>
      </c>
      <c r="H16" s="50" t="s">
        <v>44</v>
      </c>
      <c r="I16" s="89" t="s">
        <v>146</v>
      </c>
      <c r="J16" s="90" t="s">
        <v>3224</v>
      </c>
      <c r="K16" s="53" t="s">
        <v>270</v>
      </c>
      <c r="L16" s="53" t="s">
        <v>3225</v>
      </c>
      <c r="M16" s="54">
        <v>46245</v>
      </c>
      <c r="N16" s="54"/>
      <c r="O16" s="55">
        <v>0</v>
      </c>
      <c r="P16" s="53" t="s">
        <v>3152</v>
      </c>
      <c r="Q16" s="53" t="s">
        <v>3152</v>
      </c>
      <c r="R16" s="54"/>
      <c r="S16" s="57"/>
      <c r="T16" s="57"/>
      <c r="U16" s="57"/>
      <c r="V16" s="57"/>
      <c r="W16" s="57"/>
      <c r="X16" s="53" t="s">
        <v>270</v>
      </c>
      <c r="Y16" s="53" t="s">
        <v>3184</v>
      </c>
      <c r="Z16" s="53" t="s">
        <v>270</v>
      </c>
      <c r="AA16" s="53" t="s">
        <v>270</v>
      </c>
      <c r="AB16" s="53" t="s">
        <v>270</v>
      </c>
      <c r="AC16" s="65" t="s">
        <v>3218</v>
      </c>
      <c r="AD16" s="65" t="s">
        <v>3226</v>
      </c>
      <c r="AE16" s="82" t="s">
        <v>270</v>
      </c>
      <c r="AF16" s="82"/>
      <c r="AG16" s="85"/>
      <c r="AH16" s="85"/>
      <c r="AI16" s="82"/>
      <c r="AJ16" s="82"/>
      <c r="AK16" s="82"/>
      <c r="AL16" s="86"/>
      <c r="AM16" s="86"/>
      <c r="AN16" s="86"/>
      <c r="AO16" s="86"/>
      <c r="AP16" s="86"/>
      <c r="AQ16" s="86"/>
      <c r="AR16" s="86"/>
      <c r="AS16" s="86"/>
      <c r="AT16" s="44"/>
      <c r="AU16" s="44"/>
      <c r="AV16" s="44"/>
      <c r="AW16" s="44"/>
      <c r="AX16" s="44"/>
      <c r="AY16" s="44"/>
      <c r="AZ16" s="44"/>
      <c r="BA16" s="44"/>
      <c r="BB16" s="44"/>
      <c r="BC16" s="44"/>
      <c r="BD16" s="44"/>
      <c r="BE16" s="44"/>
      <c r="BF16" s="44"/>
      <c r="BG16" s="44"/>
      <c r="BH16" s="44"/>
      <c r="BI16" s="44"/>
      <c r="BJ16" s="44"/>
      <c r="BK16" s="44"/>
      <c r="BL16" s="44"/>
      <c r="BM16" s="44"/>
      <c r="BN16" s="44"/>
      <c r="BO16" s="44"/>
      <c r="BP16" s="44"/>
      <c r="BQ16" s="44"/>
      <c r="BR16" s="44"/>
      <c r="BS16" s="44"/>
    </row>
    <row r="17" spans="1:71" ht="84" customHeight="1">
      <c r="A17" s="80" t="e" vm="3">
        <v>#VALUE!</v>
      </c>
      <c r="B17" s="80" t="s">
        <v>3227</v>
      </c>
      <c r="C17" s="51" t="s">
        <v>3145</v>
      </c>
      <c r="D17" s="51" t="s">
        <v>3161</v>
      </c>
      <c r="E17" s="51" t="s">
        <v>3228</v>
      </c>
      <c r="F17" s="51" t="s">
        <v>3148</v>
      </c>
      <c r="G17" s="80" t="s">
        <v>3163</v>
      </c>
      <c r="H17" s="50" t="s">
        <v>3229</v>
      </c>
      <c r="I17" s="81" t="s">
        <v>45</v>
      </c>
      <c r="J17" s="53" t="s">
        <v>3230</v>
      </c>
      <c r="K17" s="53" t="s">
        <v>3151</v>
      </c>
      <c r="L17" s="53" t="s">
        <v>3152</v>
      </c>
      <c r="M17" s="54" t="s">
        <v>3231</v>
      </c>
      <c r="N17" s="54">
        <v>46245</v>
      </c>
      <c r="O17" s="55">
        <v>250000000</v>
      </c>
      <c r="P17" s="53" t="s">
        <v>3151</v>
      </c>
      <c r="Q17" s="53" t="s">
        <v>3151</v>
      </c>
      <c r="R17" s="54">
        <v>46255</v>
      </c>
      <c r="S17" s="57" t="s">
        <v>3207</v>
      </c>
      <c r="T17" s="57"/>
      <c r="U17" s="57"/>
      <c r="V17" s="57"/>
      <c r="W17" s="57"/>
      <c r="X17" s="53" t="s">
        <v>3151</v>
      </c>
      <c r="Y17" s="53" t="s">
        <v>3154</v>
      </c>
      <c r="Z17" s="53" t="s">
        <v>3154</v>
      </c>
      <c r="AA17" s="53" t="s">
        <v>3151</v>
      </c>
      <c r="AB17" s="53" t="s">
        <v>270</v>
      </c>
      <c r="AC17" s="65" t="s">
        <v>3218</v>
      </c>
      <c r="AD17" s="65" t="s">
        <v>3157</v>
      </c>
      <c r="AE17" s="82" t="s">
        <v>3158</v>
      </c>
      <c r="AF17" s="84" t="s">
        <v>3232</v>
      </c>
      <c r="AG17" s="85"/>
      <c r="AH17" s="85"/>
      <c r="AI17" s="53"/>
      <c r="AJ17" s="53" t="s">
        <v>270</v>
      </c>
      <c r="AK17" s="82"/>
      <c r="AL17" s="86"/>
      <c r="AM17" s="86"/>
      <c r="AN17" s="86"/>
      <c r="AO17" s="86"/>
      <c r="AP17" s="86"/>
      <c r="AQ17" s="86"/>
      <c r="AR17" s="86"/>
      <c r="AS17" s="86"/>
      <c r="AT17" s="44"/>
      <c r="AU17" s="44"/>
      <c r="AV17" s="44"/>
      <c r="AW17" s="44"/>
      <c r="AX17" s="44"/>
      <c r="AY17" s="44"/>
      <c r="AZ17" s="44"/>
      <c r="BA17" s="44"/>
      <c r="BB17" s="44"/>
      <c r="BC17" s="44"/>
      <c r="BD17" s="44"/>
      <c r="BE17" s="44"/>
      <c r="BF17" s="44"/>
      <c r="BG17" s="44"/>
      <c r="BH17" s="44"/>
      <c r="BI17" s="44"/>
      <c r="BJ17" s="44"/>
      <c r="BK17" s="44"/>
      <c r="BL17" s="44"/>
      <c r="BM17" s="44"/>
      <c r="BN17" s="44"/>
      <c r="BO17" s="44"/>
      <c r="BP17" s="44"/>
      <c r="BQ17" s="44"/>
      <c r="BR17" s="44"/>
      <c r="BS17" s="44"/>
    </row>
    <row r="18" spans="1:71" ht="84" customHeight="1">
      <c r="A18" s="80" t="e" vm="3">
        <v>#VALUE!</v>
      </c>
      <c r="B18" s="80" t="s">
        <v>3233</v>
      </c>
      <c r="C18" s="51" t="s">
        <v>3145</v>
      </c>
      <c r="D18" s="51" t="s">
        <v>3161</v>
      </c>
      <c r="E18" s="51" t="s">
        <v>3234</v>
      </c>
      <c r="F18" s="51" t="s">
        <v>3148</v>
      </c>
      <c r="G18" s="80" t="s">
        <v>3192</v>
      </c>
      <c r="H18" s="50" t="s">
        <v>3229</v>
      </c>
      <c r="I18" s="91" t="s">
        <v>98</v>
      </c>
      <c r="J18" s="53" t="s">
        <v>3235</v>
      </c>
      <c r="K18" s="82" t="s">
        <v>3151</v>
      </c>
      <c r="L18" s="82" t="s">
        <v>3152</v>
      </c>
      <c r="M18" s="83"/>
      <c r="N18" s="83">
        <v>46248</v>
      </c>
      <c r="O18" s="55">
        <v>250000000</v>
      </c>
      <c r="P18" s="82" t="s">
        <v>270</v>
      </c>
      <c r="Q18" s="82" t="s">
        <v>270</v>
      </c>
      <c r="R18" s="83"/>
      <c r="S18" s="57"/>
      <c r="T18" s="57"/>
      <c r="U18" s="57"/>
      <c r="V18" s="57"/>
      <c r="W18" s="57"/>
      <c r="X18" s="82" t="s">
        <v>3151</v>
      </c>
      <c r="Y18" s="82" t="s">
        <v>3184</v>
      </c>
      <c r="Z18" s="82" t="s">
        <v>3154</v>
      </c>
      <c r="AA18" s="82" t="s">
        <v>3151</v>
      </c>
      <c r="AB18" s="82" t="s">
        <v>270</v>
      </c>
      <c r="AC18" s="65" t="s">
        <v>3218</v>
      </c>
      <c r="AD18" s="65" t="s">
        <v>3157</v>
      </c>
      <c r="AE18" s="82" t="s">
        <v>3158</v>
      </c>
      <c r="AF18" s="84" t="s">
        <v>3236</v>
      </c>
      <c r="AG18" s="85"/>
      <c r="AH18" s="85"/>
      <c r="AI18" s="53"/>
      <c r="AJ18" s="53"/>
      <c r="AK18" s="82"/>
      <c r="AL18" s="86"/>
      <c r="AM18" s="86"/>
      <c r="AN18" s="86"/>
      <c r="AO18" s="86"/>
      <c r="AP18" s="86"/>
      <c r="AQ18" s="86"/>
      <c r="AR18" s="86"/>
      <c r="AS18" s="86"/>
      <c r="AT18" s="44"/>
      <c r="AU18" s="44"/>
      <c r="AV18" s="44"/>
      <c r="AW18" s="44"/>
      <c r="AX18" s="44"/>
      <c r="AY18" s="44"/>
      <c r="AZ18" s="44"/>
      <c r="BA18" s="44"/>
      <c r="BB18" s="44"/>
      <c r="BC18" s="44"/>
      <c r="BD18" s="44"/>
      <c r="BE18" s="44"/>
      <c r="BF18" s="44"/>
      <c r="BG18" s="44"/>
      <c r="BH18" s="44"/>
      <c r="BI18" s="44"/>
      <c r="BJ18" s="44"/>
      <c r="BK18" s="44"/>
      <c r="BL18" s="44"/>
      <c r="BM18" s="44"/>
      <c r="BN18" s="44"/>
      <c r="BO18" s="44"/>
      <c r="BP18" s="44"/>
      <c r="BQ18" s="44"/>
      <c r="BR18" s="44"/>
      <c r="BS18" s="44"/>
    </row>
    <row r="19" spans="1:71" ht="84" customHeight="1">
      <c r="A19" s="80" t="e" vm="3">
        <v>#VALUE!</v>
      </c>
      <c r="B19" s="80" t="s">
        <v>2042</v>
      </c>
      <c r="C19" s="51" t="s">
        <v>3145</v>
      </c>
      <c r="D19" s="51" t="s">
        <v>3161</v>
      </c>
      <c r="E19" s="51" t="s">
        <v>3237</v>
      </c>
      <c r="F19" s="51" t="s">
        <v>3148</v>
      </c>
      <c r="G19" s="80" t="s">
        <v>3192</v>
      </c>
      <c r="H19" s="87" t="s">
        <v>3238</v>
      </c>
      <c r="I19" s="81" t="s">
        <v>98</v>
      </c>
      <c r="J19" s="53" t="s">
        <v>3239</v>
      </c>
      <c r="K19" s="82" t="s">
        <v>3154</v>
      </c>
      <c r="L19" s="82" t="s">
        <v>3152</v>
      </c>
      <c r="M19" s="82"/>
      <c r="N19" s="83">
        <v>46245</v>
      </c>
      <c r="O19" s="55">
        <v>150000000</v>
      </c>
      <c r="P19" s="82" t="s">
        <v>270</v>
      </c>
      <c r="Q19" s="82"/>
      <c r="R19" s="83"/>
      <c r="S19" s="57"/>
      <c r="T19" s="57"/>
      <c r="U19" s="57"/>
      <c r="V19" s="57"/>
      <c r="W19" s="57"/>
      <c r="X19" s="82" t="s">
        <v>3151</v>
      </c>
      <c r="Y19" s="82" t="s">
        <v>3154</v>
      </c>
      <c r="Z19" s="82" t="s">
        <v>3154</v>
      </c>
      <c r="AA19" s="82" t="s">
        <v>3151</v>
      </c>
      <c r="AB19" s="82" t="s">
        <v>270</v>
      </c>
      <c r="AC19" s="65" t="s">
        <v>3218</v>
      </c>
      <c r="AD19" s="65" t="s">
        <v>3157</v>
      </c>
      <c r="AE19" s="82" t="s">
        <v>3158</v>
      </c>
      <c r="AF19" s="84" t="s">
        <v>3240</v>
      </c>
      <c r="AG19" s="85"/>
      <c r="AH19" s="85"/>
      <c r="AI19" s="53"/>
      <c r="AJ19" s="53"/>
      <c r="AK19" s="82"/>
      <c r="AL19" s="86"/>
      <c r="AM19" s="86"/>
      <c r="AN19" s="86"/>
      <c r="AO19" s="86"/>
      <c r="AP19" s="86"/>
      <c r="AQ19" s="86"/>
      <c r="AR19" s="86"/>
      <c r="AS19" s="86"/>
      <c r="AT19" s="44"/>
      <c r="AU19" s="44"/>
      <c r="AV19" s="44"/>
      <c r="AW19" s="44"/>
      <c r="AX19" s="44"/>
      <c r="AY19" s="44"/>
      <c r="AZ19" s="44"/>
      <c r="BA19" s="44"/>
      <c r="BB19" s="44"/>
      <c r="BC19" s="44"/>
      <c r="BD19" s="44"/>
      <c r="BE19" s="44"/>
      <c r="BF19" s="44"/>
      <c r="BG19" s="44"/>
      <c r="BH19" s="44"/>
      <c r="BI19" s="44"/>
      <c r="BJ19" s="44"/>
      <c r="BK19" s="44"/>
      <c r="BL19" s="44"/>
      <c r="BM19" s="44"/>
      <c r="BN19" s="44"/>
      <c r="BO19" s="44"/>
      <c r="BP19" s="44"/>
      <c r="BQ19" s="44"/>
      <c r="BR19" s="44"/>
      <c r="BS19" s="44"/>
    </row>
    <row r="20" spans="1:71" ht="84" customHeight="1">
      <c r="A20" s="80" t="e" vm="3">
        <v>#VALUE!</v>
      </c>
      <c r="B20" s="80" t="s">
        <v>3241</v>
      </c>
      <c r="C20" s="51" t="s">
        <v>3145</v>
      </c>
      <c r="D20" s="51" t="s">
        <v>3161</v>
      </c>
      <c r="E20" s="51" t="s">
        <v>3242</v>
      </c>
      <c r="F20" s="51" t="s">
        <v>3148</v>
      </c>
      <c r="G20" s="80" t="s">
        <v>3192</v>
      </c>
      <c r="H20" s="92" t="s">
        <v>3238</v>
      </c>
      <c r="I20" s="91" t="s">
        <v>98</v>
      </c>
      <c r="J20" s="53" t="s">
        <v>3243</v>
      </c>
      <c r="K20" s="82" t="s">
        <v>3154</v>
      </c>
      <c r="L20" s="82" t="s">
        <v>3152</v>
      </c>
      <c r="M20" s="82"/>
      <c r="N20" s="83">
        <v>46245</v>
      </c>
      <c r="O20" s="55">
        <v>150000000</v>
      </c>
      <c r="P20" s="82" t="s">
        <v>270</v>
      </c>
      <c r="Q20" s="82"/>
      <c r="R20" s="83"/>
      <c r="S20" s="57"/>
      <c r="T20" s="57"/>
      <c r="U20" s="57"/>
      <c r="V20" s="57"/>
      <c r="W20" s="57"/>
      <c r="X20" s="82" t="s">
        <v>3151</v>
      </c>
      <c r="Y20" s="82" t="s">
        <v>3154</v>
      </c>
      <c r="Z20" s="82" t="s">
        <v>3154</v>
      </c>
      <c r="AA20" s="82" t="s">
        <v>3151</v>
      </c>
      <c r="AB20" s="82" t="s">
        <v>270</v>
      </c>
      <c r="AC20" s="65" t="s">
        <v>3218</v>
      </c>
      <c r="AD20" s="65" t="s">
        <v>3157</v>
      </c>
      <c r="AE20" s="82" t="s">
        <v>3158</v>
      </c>
      <c r="AF20" s="84" t="s">
        <v>3244</v>
      </c>
      <c r="AG20" s="85"/>
      <c r="AH20" s="85"/>
      <c r="AI20" s="53"/>
      <c r="AJ20" s="53"/>
      <c r="AK20" s="82"/>
      <c r="AL20" s="86"/>
      <c r="AM20" s="86"/>
      <c r="AN20" s="86"/>
      <c r="AO20" s="86"/>
      <c r="AP20" s="86"/>
      <c r="AQ20" s="86"/>
      <c r="AR20" s="86"/>
      <c r="AS20" s="86"/>
      <c r="AT20" s="44"/>
      <c r="AU20" s="44"/>
      <c r="AV20" s="44"/>
      <c r="AW20" s="44"/>
      <c r="AX20" s="44"/>
      <c r="AY20" s="44"/>
      <c r="AZ20" s="44"/>
      <c r="BA20" s="44"/>
      <c r="BB20" s="44"/>
      <c r="BC20" s="44"/>
      <c r="BD20" s="44"/>
      <c r="BE20" s="44"/>
      <c r="BF20" s="44"/>
      <c r="BG20" s="44"/>
      <c r="BH20" s="44"/>
      <c r="BI20" s="44"/>
      <c r="BJ20" s="44"/>
      <c r="BK20" s="44"/>
      <c r="BL20" s="44"/>
      <c r="BM20" s="44"/>
      <c r="BN20" s="44"/>
      <c r="BO20" s="44"/>
      <c r="BP20" s="44"/>
      <c r="BQ20" s="44"/>
      <c r="BR20" s="44"/>
      <c r="BS20" s="44"/>
    </row>
    <row r="21" spans="1:71" ht="84" customHeight="1">
      <c r="A21" s="80" t="e" vm="3">
        <v>#VALUE!</v>
      </c>
      <c r="B21" s="92" t="s">
        <v>3241</v>
      </c>
      <c r="C21" s="92" t="s">
        <v>3145</v>
      </c>
      <c r="D21" s="92" t="s">
        <v>3161</v>
      </c>
      <c r="E21" s="92" t="s">
        <v>3245</v>
      </c>
      <c r="F21" s="51" t="s">
        <v>3170</v>
      </c>
      <c r="G21" s="80" t="s">
        <v>3192</v>
      </c>
      <c r="H21" s="92" t="s">
        <v>3238</v>
      </c>
      <c r="I21" s="91" t="s">
        <v>98</v>
      </c>
      <c r="J21" s="53" t="s">
        <v>3243</v>
      </c>
      <c r="K21" s="82" t="s">
        <v>3154</v>
      </c>
      <c r="L21" s="82" t="s">
        <v>3152</v>
      </c>
      <c r="M21" s="82"/>
      <c r="N21" s="83">
        <v>46245</v>
      </c>
      <c r="O21" s="55">
        <v>0</v>
      </c>
      <c r="P21" s="53" t="s">
        <v>3152</v>
      </c>
      <c r="Q21" s="82"/>
      <c r="R21" s="83"/>
      <c r="S21" s="57"/>
      <c r="T21" s="57"/>
      <c r="U21" s="57"/>
      <c r="V21" s="57"/>
      <c r="W21" s="57"/>
      <c r="X21" s="82" t="s">
        <v>3151</v>
      </c>
      <c r="Y21" s="82" t="s">
        <v>3154</v>
      </c>
      <c r="Z21" s="82" t="s">
        <v>3154</v>
      </c>
      <c r="AA21" s="82" t="s">
        <v>3151</v>
      </c>
      <c r="AB21" s="82" t="s">
        <v>270</v>
      </c>
      <c r="AC21" s="65" t="s">
        <v>3218</v>
      </c>
      <c r="AD21" s="65"/>
      <c r="AE21" s="82" t="s">
        <v>3184</v>
      </c>
      <c r="AF21" s="82"/>
      <c r="AG21" s="85"/>
      <c r="AH21" s="85"/>
      <c r="AI21" s="82"/>
      <c r="AJ21" s="82"/>
      <c r="AK21" s="82"/>
      <c r="AL21" s="86"/>
      <c r="AM21" s="86"/>
      <c r="AN21" s="86"/>
      <c r="AO21" s="86"/>
      <c r="AP21" s="86"/>
      <c r="AQ21" s="86"/>
      <c r="AR21" s="86"/>
      <c r="AS21" s="86"/>
      <c r="AT21" s="44"/>
      <c r="AU21" s="44"/>
      <c r="AV21" s="44"/>
      <c r="AW21" s="44"/>
      <c r="AX21" s="44"/>
      <c r="AY21" s="44"/>
      <c r="AZ21" s="44"/>
      <c r="BA21" s="44"/>
      <c r="BB21" s="44"/>
      <c r="BC21" s="44"/>
      <c r="BD21" s="44"/>
      <c r="BE21" s="44"/>
      <c r="BF21" s="44"/>
      <c r="BG21" s="44"/>
      <c r="BH21" s="44"/>
      <c r="BI21" s="44"/>
      <c r="BJ21" s="44"/>
      <c r="BK21" s="44"/>
      <c r="BL21" s="44"/>
      <c r="BM21" s="44"/>
      <c r="BN21" s="44"/>
      <c r="BO21" s="44"/>
      <c r="BP21" s="44"/>
      <c r="BQ21" s="44"/>
      <c r="BR21" s="44"/>
      <c r="BS21" s="44"/>
    </row>
    <row r="22" spans="1:71" ht="84" customHeight="1">
      <c r="A22" s="80" t="e" vm="3">
        <v>#VALUE!</v>
      </c>
      <c r="B22" s="93" t="s">
        <v>3246</v>
      </c>
      <c r="C22" s="93" t="s">
        <v>3145</v>
      </c>
      <c r="D22" s="92" t="s">
        <v>3161</v>
      </c>
      <c r="E22" s="51" t="s">
        <v>3247</v>
      </c>
      <c r="F22" s="51" t="s">
        <v>3148</v>
      </c>
      <c r="G22" s="94" t="s">
        <v>3163</v>
      </c>
      <c r="H22" s="87" t="s">
        <v>3248</v>
      </c>
      <c r="I22" s="43" t="s">
        <v>98</v>
      </c>
      <c r="J22" s="53" t="s">
        <v>3249</v>
      </c>
      <c r="K22" s="53" t="s">
        <v>270</v>
      </c>
      <c r="L22" s="53"/>
      <c r="M22" s="83">
        <v>46245</v>
      </c>
      <c r="N22" s="83"/>
      <c r="O22" s="55">
        <v>0</v>
      </c>
      <c r="P22" s="53" t="s">
        <v>270</v>
      </c>
      <c r="Q22" s="53"/>
      <c r="R22" s="54"/>
      <c r="S22" s="57"/>
      <c r="T22" s="57"/>
      <c r="U22" s="57"/>
      <c r="V22" s="57"/>
      <c r="W22" s="57"/>
      <c r="X22" s="53" t="s">
        <v>3152</v>
      </c>
      <c r="Y22" s="53" t="s">
        <v>3151</v>
      </c>
      <c r="Z22" s="53" t="s">
        <v>3151</v>
      </c>
      <c r="AA22" s="53" t="s">
        <v>3151</v>
      </c>
      <c r="AB22" s="53" t="s">
        <v>3151</v>
      </c>
      <c r="AC22" s="65"/>
      <c r="AD22" s="65" t="s">
        <v>3157</v>
      </c>
      <c r="AE22" s="82" t="s">
        <v>3158</v>
      </c>
      <c r="AF22" s="84" t="s">
        <v>3250</v>
      </c>
      <c r="AG22" s="85" t="s">
        <v>3251</v>
      </c>
      <c r="AH22" s="85" t="s">
        <v>3251</v>
      </c>
      <c r="AI22" s="67" t="s">
        <v>3251</v>
      </c>
      <c r="AJ22" s="53"/>
      <c r="AK22" s="82"/>
      <c r="AL22" s="86"/>
      <c r="AM22" s="86"/>
      <c r="AN22" s="86"/>
      <c r="AO22" s="86"/>
      <c r="AP22" s="86"/>
      <c r="AQ22" s="86"/>
      <c r="AR22" s="86"/>
      <c r="AS22" s="86"/>
      <c r="AT22" s="44"/>
      <c r="AU22" s="44"/>
      <c r="AV22" s="44"/>
      <c r="AW22" s="44"/>
      <c r="AX22" s="44"/>
      <c r="AY22" s="44"/>
      <c r="AZ22" s="44"/>
      <c r="BA22" s="44"/>
      <c r="BB22" s="44"/>
      <c r="BC22" s="44"/>
      <c r="BD22" s="44"/>
      <c r="BE22" s="44"/>
      <c r="BF22" s="44"/>
      <c r="BG22" s="44"/>
      <c r="BH22" s="44"/>
      <c r="BI22" s="44"/>
      <c r="BJ22" s="44"/>
      <c r="BK22" s="44"/>
      <c r="BL22" s="44"/>
      <c r="BM22" s="44"/>
      <c r="BN22" s="44"/>
      <c r="BO22" s="44"/>
      <c r="BP22" s="44"/>
      <c r="BQ22" s="44"/>
      <c r="BR22" s="44"/>
      <c r="BS22" s="44"/>
    </row>
    <row r="23" spans="1:71" ht="84" customHeight="1">
      <c r="A23" s="80" t="e" vm="4">
        <v>#VALUE!</v>
      </c>
      <c r="B23" s="51" t="s">
        <v>3252</v>
      </c>
      <c r="C23" s="51" t="s">
        <v>3145</v>
      </c>
      <c r="D23" s="51" t="s">
        <v>3146</v>
      </c>
      <c r="E23" s="51" t="s">
        <v>3147</v>
      </c>
      <c r="F23" s="51" t="s">
        <v>3148</v>
      </c>
      <c r="G23" s="80" t="s">
        <v>3192</v>
      </c>
      <c r="H23" s="50" t="s">
        <v>3238</v>
      </c>
      <c r="I23" s="81" t="s">
        <v>98</v>
      </c>
      <c r="J23" s="53" t="s">
        <v>3253</v>
      </c>
      <c r="K23" s="82" t="s">
        <v>3154</v>
      </c>
      <c r="L23" s="82" t="s">
        <v>3152</v>
      </c>
      <c r="M23" s="54">
        <v>46246</v>
      </c>
      <c r="N23" s="54">
        <v>46246</v>
      </c>
      <c r="O23" s="55">
        <v>250000000</v>
      </c>
      <c r="P23" s="82" t="s">
        <v>3151</v>
      </c>
      <c r="Q23" s="82" t="s">
        <v>270</v>
      </c>
      <c r="R23" s="83" t="s">
        <v>270</v>
      </c>
      <c r="S23" s="57" t="s">
        <v>3254</v>
      </c>
      <c r="T23" s="57"/>
      <c r="U23" s="57"/>
      <c r="V23" s="57"/>
      <c r="W23" s="57"/>
      <c r="X23" s="82" t="s">
        <v>3151</v>
      </c>
      <c r="Y23" s="82" t="s">
        <v>3154</v>
      </c>
      <c r="Z23" s="82" t="s">
        <v>3154</v>
      </c>
      <c r="AA23" s="82" t="s">
        <v>3151</v>
      </c>
      <c r="AB23" s="82" t="s">
        <v>3151</v>
      </c>
      <c r="AC23" s="65" t="s">
        <v>3255</v>
      </c>
      <c r="AD23" s="65" t="s">
        <v>3157</v>
      </c>
      <c r="AE23" s="82" t="s">
        <v>3158</v>
      </c>
      <c r="AF23" s="84" t="s">
        <v>3256</v>
      </c>
      <c r="AG23" s="85"/>
      <c r="AH23" s="85"/>
      <c r="AI23" s="53"/>
      <c r="AJ23" s="53" t="s">
        <v>270</v>
      </c>
      <c r="AK23" s="82"/>
      <c r="AL23" s="86"/>
      <c r="AM23" s="86"/>
      <c r="AN23" s="86"/>
      <c r="AO23" s="86"/>
      <c r="AP23" s="86"/>
      <c r="AQ23" s="86"/>
      <c r="AR23" s="86"/>
      <c r="AS23" s="86"/>
      <c r="AT23" s="44"/>
      <c r="AU23" s="44"/>
      <c r="AV23" s="44"/>
      <c r="AW23" s="44"/>
      <c r="AX23" s="44"/>
      <c r="AY23" s="44"/>
      <c r="AZ23" s="44"/>
      <c r="BA23" s="44"/>
      <c r="BB23" s="44"/>
      <c r="BC23" s="44"/>
      <c r="BD23" s="44"/>
      <c r="BE23" s="44"/>
      <c r="BF23" s="44"/>
      <c r="BG23" s="44"/>
      <c r="BH23" s="44"/>
      <c r="BI23" s="44"/>
      <c r="BJ23" s="44"/>
      <c r="BK23" s="44"/>
      <c r="BL23" s="44"/>
      <c r="BM23" s="44"/>
      <c r="BN23" s="44"/>
      <c r="BO23" s="44"/>
      <c r="BP23" s="44"/>
      <c r="BQ23" s="44"/>
      <c r="BR23" s="44"/>
      <c r="BS23" s="44"/>
    </row>
    <row r="24" spans="1:71" ht="84" customHeight="1">
      <c r="A24" s="80" t="e" vm="4">
        <v>#VALUE!</v>
      </c>
      <c r="B24" s="51" t="s">
        <v>3257</v>
      </c>
      <c r="C24" s="51" t="s">
        <v>3145</v>
      </c>
      <c r="D24" s="51" t="s">
        <v>3161</v>
      </c>
      <c r="E24" s="51" t="s">
        <v>3258</v>
      </c>
      <c r="F24" s="51" t="s">
        <v>3148</v>
      </c>
      <c r="G24" s="80" t="s">
        <v>3149</v>
      </c>
      <c r="H24" s="50" t="s">
        <v>3238</v>
      </c>
      <c r="I24" s="81" t="s">
        <v>45</v>
      </c>
      <c r="J24" s="53" t="s">
        <v>3259</v>
      </c>
      <c r="K24" s="82" t="s">
        <v>3154</v>
      </c>
      <c r="L24" s="82" t="s">
        <v>3152</v>
      </c>
      <c r="M24" s="54">
        <v>46246</v>
      </c>
      <c r="N24" s="54">
        <v>46246</v>
      </c>
      <c r="O24" s="55">
        <v>250000000</v>
      </c>
      <c r="P24" s="82" t="s">
        <v>3151</v>
      </c>
      <c r="Q24" s="82" t="s">
        <v>270</v>
      </c>
      <c r="R24" s="83" t="s">
        <v>270</v>
      </c>
      <c r="S24" s="57" t="s">
        <v>3207</v>
      </c>
      <c r="T24" s="57"/>
      <c r="U24" s="57"/>
      <c r="V24" s="57"/>
      <c r="W24" s="57"/>
      <c r="X24" s="82" t="s">
        <v>3151</v>
      </c>
      <c r="Y24" s="82" t="s">
        <v>3154</v>
      </c>
      <c r="Z24" s="82" t="s">
        <v>3154</v>
      </c>
      <c r="AA24" s="82" t="s">
        <v>3151</v>
      </c>
      <c r="AB24" s="82" t="s">
        <v>3151</v>
      </c>
      <c r="AC24" s="65" t="s">
        <v>3255</v>
      </c>
      <c r="AD24" s="65" t="s">
        <v>3157</v>
      </c>
      <c r="AE24" s="82" t="s">
        <v>3158</v>
      </c>
      <c r="AF24" s="84" t="s">
        <v>3260</v>
      </c>
      <c r="AG24" s="85"/>
      <c r="AH24" s="85"/>
      <c r="AI24" s="53"/>
      <c r="AJ24" s="53"/>
      <c r="AK24" s="82"/>
      <c r="AL24" s="86"/>
      <c r="AM24" s="86"/>
      <c r="AN24" s="86"/>
      <c r="AO24" s="86"/>
      <c r="AP24" s="86"/>
      <c r="AQ24" s="86"/>
      <c r="AR24" s="86"/>
      <c r="AS24" s="86"/>
      <c r="AT24" s="44"/>
      <c r="AU24" s="44"/>
      <c r="AV24" s="44"/>
      <c r="AW24" s="44"/>
      <c r="AX24" s="44"/>
      <c r="AY24" s="44"/>
      <c r="AZ24" s="44"/>
      <c r="BA24" s="44"/>
      <c r="BB24" s="44"/>
      <c r="BC24" s="44"/>
      <c r="BD24" s="44"/>
      <c r="BE24" s="44"/>
      <c r="BF24" s="44"/>
      <c r="BG24" s="44"/>
      <c r="BH24" s="44"/>
      <c r="BI24" s="44"/>
      <c r="BJ24" s="44"/>
      <c r="BK24" s="44"/>
      <c r="BL24" s="44"/>
      <c r="BM24" s="44"/>
      <c r="BN24" s="44"/>
      <c r="BO24" s="44"/>
      <c r="BP24" s="44"/>
      <c r="BQ24" s="44"/>
      <c r="BR24" s="44"/>
      <c r="BS24" s="44"/>
    </row>
    <row r="25" spans="1:71" ht="84" customHeight="1">
      <c r="A25" s="80" t="e" vm="5">
        <v>#VALUE!</v>
      </c>
      <c r="B25" s="51" t="s">
        <v>3261</v>
      </c>
      <c r="C25" s="60" t="s">
        <v>3145</v>
      </c>
      <c r="D25" s="60" t="s">
        <v>3161</v>
      </c>
      <c r="E25" s="60" t="s">
        <v>3262</v>
      </c>
      <c r="F25" s="60" t="s">
        <v>3148</v>
      </c>
      <c r="G25" s="87" t="s">
        <v>3192</v>
      </c>
      <c r="H25" s="87" t="s">
        <v>138</v>
      </c>
      <c r="I25" s="95" t="s">
        <v>98</v>
      </c>
      <c r="J25" s="66" t="s">
        <v>3263</v>
      </c>
      <c r="K25" s="66" t="s">
        <v>3154</v>
      </c>
      <c r="L25" s="66" t="s">
        <v>3152</v>
      </c>
      <c r="M25" s="66" t="s">
        <v>3143</v>
      </c>
      <c r="N25" s="96">
        <v>46247</v>
      </c>
      <c r="O25" s="84" t="s">
        <v>3264</v>
      </c>
      <c r="P25" s="66" t="s">
        <v>3154</v>
      </c>
      <c r="Q25" s="66" t="s">
        <v>270</v>
      </c>
      <c r="R25" s="96" t="s">
        <v>3143</v>
      </c>
      <c r="S25" s="57" t="s">
        <v>3180</v>
      </c>
      <c r="T25" s="57" t="s">
        <v>3143</v>
      </c>
      <c r="U25" s="57" t="s">
        <v>3143</v>
      </c>
      <c r="V25" s="57"/>
      <c r="W25" s="57"/>
      <c r="X25" s="66" t="s">
        <v>3152</v>
      </c>
      <c r="Y25" s="66" t="s">
        <v>3154</v>
      </c>
      <c r="Z25" s="66" t="s">
        <v>3154</v>
      </c>
      <c r="AA25" s="66" t="s">
        <v>3154</v>
      </c>
      <c r="AB25" s="66" t="s">
        <v>3154</v>
      </c>
      <c r="AC25" s="66" t="s">
        <v>3265</v>
      </c>
      <c r="AD25" s="66" t="s">
        <v>3157</v>
      </c>
      <c r="AE25" s="84" t="s">
        <v>3158</v>
      </c>
      <c r="AF25" s="84" t="s">
        <v>3266</v>
      </c>
      <c r="AG25" s="84" t="s">
        <v>3143</v>
      </c>
      <c r="AH25" s="84" t="s">
        <v>3143</v>
      </c>
      <c r="AI25" s="66" t="s">
        <v>3143</v>
      </c>
      <c r="AJ25" s="66" t="s">
        <v>3151</v>
      </c>
      <c r="AK25" s="84" t="s">
        <v>3143</v>
      </c>
      <c r="AL25" s="86"/>
      <c r="AM25" s="86"/>
      <c r="AN25" s="86"/>
      <c r="AO25" s="86"/>
      <c r="AP25" s="86"/>
      <c r="AQ25" s="86"/>
      <c r="AR25" s="86"/>
      <c r="AS25" s="86"/>
      <c r="AT25" s="44"/>
      <c r="AU25" s="44"/>
      <c r="AV25" s="44"/>
      <c r="AW25" s="44"/>
      <c r="AX25" s="44"/>
      <c r="AY25" s="44"/>
      <c r="AZ25" s="44"/>
      <c r="BA25" s="44"/>
      <c r="BB25" s="44"/>
      <c r="BC25" s="44"/>
      <c r="BD25" s="44"/>
      <c r="BE25" s="44"/>
      <c r="BF25" s="44"/>
      <c r="BG25" s="44"/>
      <c r="BH25" s="44"/>
      <c r="BI25" s="44"/>
      <c r="BJ25" s="44"/>
      <c r="BK25" s="44"/>
      <c r="BL25" s="44"/>
      <c r="BM25" s="44"/>
      <c r="BN25" s="44"/>
      <c r="BO25" s="44"/>
      <c r="BP25" s="44"/>
      <c r="BQ25" s="44"/>
      <c r="BR25" s="44"/>
      <c r="BS25" s="44"/>
    </row>
    <row r="26" spans="1:71" ht="84" customHeight="1">
      <c r="A26" s="43" t="e" vm="6">
        <v>#VALUE!</v>
      </c>
      <c r="B26" s="51" t="s">
        <v>3267</v>
      </c>
      <c r="C26" s="51" t="s">
        <v>3145</v>
      </c>
      <c r="D26" s="51" t="s">
        <v>3161</v>
      </c>
      <c r="E26" s="51" t="s">
        <v>3268</v>
      </c>
      <c r="F26" s="51" t="s">
        <v>3269</v>
      </c>
      <c r="G26" s="80" t="s">
        <v>3192</v>
      </c>
      <c r="H26" s="51" t="s">
        <v>3205</v>
      </c>
      <c r="I26" s="91" t="s">
        <v>98</v>
      </c>
      <c r="J26" s="53" t="s">
        <v>3270</v>
      </c>
      <c r="K26" s="82" t="s">
        <v>3154</v>
      </c>
      <c r="L26" s="82" t="s">
        <v>3152</v>
      </c>
      <c r="M26" s="83"/>
      <c r="N26" s="83">
        <v>46246</v>
      </c>
      <c r="O26" s="55">
        <v>0</v>
      </c>
      <c r="P26" s="82" t="s">
        <v>3154</v>
      </c>
      <c r="Q26" s="82"/>
      <c r="R26" s="83"/>
      <c r="S26" s="57" t="s">
        <v>3180</v>
      </c>
      <c r="T26" s="57"/>
      <c r="U26" s="57"/>
      <c r="V26" s="57"/>
      <c r="W26" s="57"/>
      <c r="X26" s="82" t="s">
        <v>3151</v>
      </c>
      <c r="Y26" s="82" t="s">
        <v>3154</v>
      </c>
      <c r="Z26" s="82" t="s">
        <v>3184</v>
      </c>
      <c r="AA26" s="82" t="s">
        <v>270</v>
      </c>
      <c r="AB26" s="82" t="s">
        <v>270</v>
      </c>
      <c r="AC26" s="65" t="s">
        <v>3271</v>
      </c>
      <c r="AD26" s="65"/>
      <c r="AE26" s="82" t="s">
        <v>3272</v>
      </c>
      <c r="AF26" s="82"/>
      <c r="AG26" s="85">
        <v>2700100085981</v>
      </c>
      <c r="AH26" s="85" t="s">
        <v>2138</v>
      </c>
      <c r="AI26" s="82" t="s">
        <v>987</v>
      </c>
      <c r="AJ26" s="82" t="s">
        <v>270</v>
      </c>
      <c r="AK26" s="82"/>
      <c r="AL26" s="86"/>
      <c r="AM26" s="86"/>
      <c r="AN26" s="86"/>
      <c r="AO26" s="86"/>
      <c r="AP26" s="86"/>
      <c r="AQ26" s="86"/>
      <c r="AR26" s="86"/>
      <c r="AS26" s="86"/>
      <c r="AT26" s="44"/>
      <c r="AU26" s="44"/>
      <c r="AV26" s="44"/>
      <c r="AW26" s="44"/>
      <c r="AX26" s="44"/>
      <c r="AY26" s="44"/>
      <c r="AZ26" s="44"/>
      <c r="BA26" s="44"/>
      <c r="BB26" s="44"/>
      <c r="BC26" s="44"/>
      <c r="BD26" s="44"/>
      <c r="BE26" s="44"/>
      <c r="BF26" s="44"/>
      <c r="BG26" s="44"/>
      <c r="BH26" s="44"/>
      <c r="BI26" s="44"/>
      <c r="BJ26" s="44"/>
      <c r="BK26" s="44"/>
      <c r="BL26" s="44"/>
      <c r="BM26" s="44"/>
      <c r="BN26" s="44"/>
      <c r="BO26" s="44"/>
      <c r="BP26" s="44"/>
      <c r="BQ26" s="44"/>
      <c r="BR26" s="44"/>
      <c r="BS26" s="44"/>
    </row>
    <row r="27" spans="1:71" ht="84" customHeight="1">
      <c r="A27" s="43" t="e" vm="6">
        <v>#VALUE!</v>
      </c>
      <c r="B27" s="51" t="s">
        <v>3273</v>
      </c>
      <c r="C27" s="51" t="s">
        <v>3145</v>
      </c>
      <c r="D27" s="51" t="s">
        <v>3146</v>
      </c>
      <c r="E27" s="51" t="s">
        <v>3147</v>
      </c>
      <c r="F27" s="51" t="s">
        <v>3148</v>
      </c>
      <c r="G27" s="49" t="s">
        <v>3192</v>
      </c>
      <c r="H27" s="87" t="s">
        <v>3205</v>
      </c>
      <c r="I27" s="91" t="s">
        <v>45</v>
      </c>
      <c r="J27" s="53" t="s">
        <v>3274</v>
      </c>
      <c r="K27" s="53" t="s">
        <v>3151</v>
      </c>
      <c r="L27" s="53" t="s">
        <v>3152</v>
      </c>
      <c r="M27" s="54">
        <v>46246</v>
      </c>
      <c r="N27" s="54">
        <v>46246</v>
      </c>
      <c r="O27" s="55">
        <v>500000000</v>
      </c>
      <c r="P27" s="53" t="s">
        <v>3151</v>
      </c>
      <c r="Q27" s="53" t="s">
        <v>3151</v>
      </c>
      <c r="R27" s="54">
        <v>46253</v>
      </c>
      <c r="S27" s="57" t="s">
        <v>3155</v>
      </c>
      <c r="T27" s="71">
        <v>46267</v>
      </c>
      <c r="U27" s="97">
        <v>79455651</v>
      </c>
      <c r="V27" s="97"/>
      <c r="W27" s="97"/>
      <c r="X27" s="53" t="s">
        <v>3151</v>
      </c>
      <c r="Y27" s="53" t="s">
        <v>3154</v>
      </c>
      <c r="Z27" s="98" t="s">
        <v>3275</v>
      </c>
      <c r="AA27" s="98" t="s">
        <v>3275</v>
      </c>
      <c r="AB27" s="98" t="s">
        <v>270</v>
      </c>
      <c r="AC27" s="65" t="s">
        <v>3271</v>
      </c>
      <c r="AD27" s="65" t="s">
        <v>3157</v>
      </c>
      <c r="AE27" s="82" t="s">
        <v>3158</v>
      </c>
      <c r="AF27" s="84" t="s">
        <v>3276</v>
      </c>
      <c r="AG27" s="85"/>
      <c r="AH27" s="85"/>
      <c r="AI27" s="67"/>
      <c r="AJ27" s="53"/>
      <c r="AK27" s="82"/>
      <c r="AL27" s="86"/>
      <c r="AM27" s="86"/>
      <c r="AN27" s="86"/>
      <c r="AO27" s="86"/>
      <c r="AP27" s="86"/>
      <c r="AQ27" s="86"/>
      <c r="AR27" s="86"/>
      <c r="AS27" s="86"/>
      <c r="AT27" s="44"/>
      <c r="AU27" s="44"/>
      <c r="AV27" s="44"/>
      <c r="AW27" s="44"/>
      <c r="AX27" s="44"/>
      <c r="AY27" s="44"/>
      <c r="AZ27" s="44"/>
      <c r="BA27" s="44"/>
      <c r="BB27" s="44"/>
      <c r="BC27" s="44"/>
      <c r="BD27" s="44"/>
      <c r="BE27" s="44"/>
      <c r="BF27" s="44"/>
      <c r="BG27" s="44"/>
      <c r="BH27" s="44"/>
      <c r="BI27" s="44"/>
      <c r="BJ27" s="44"/>
      <c r="BK27" s="44"/>
      <c r="BL27" s="44"/>
      <c r="BM27" s="44"/>
      <c r="BN27" s="44"/>
      <c r="BO27" s="44"/>
      <c r="BP27" s="44"/>
      <c r="BQ27" s="44"/>
      <c r="BR27" s="44"/>
      <c r="BS27" s="44"/>
    </row>
    <row r="28" spans="1:71" ht="84" customHeight="1">
      <c r="A28" s="43" t="e" vm="6">
        <v>#VALUE!</v>
      </c>
      <c r="B28" s="51" t="s">
        <v>3273</v>
      </c>
      <c r="C28" s="51" t="s">
        <v>3145</v>
      </c>
      <c r="D28" s="51" t="s">
        <v>3161</v>
      </c>
      <c r="E28" s="51" t="s">
        <v>3277</v>
      </c>
      <c r="F28" s="51" t="s">
        <v>3170</v>
      </c>
      <c r="G28" s="80" t="s">
        <v>3163</v>
      </c>
      <c r="H28" s="87" t="s">
        <v>138</v>
      </c>
      <c r="I28" s="43" t="s">
        <v>98</v>
      </c>
      <c r="J28" s="53" t="s">
        <v>3278</v>
      </c>
      <c r="K28" s="53" t="s">
        <v>3151</v>
      </c>
      <c r="L28" s="53" t="s">
        <v>3152</v>
      </c>
      <c r="M28" s="54"/>
      <c r="N28" s="54">
        <v>46246</v>
      </c>
      <c r="O28" s="55">
        <v>0</v>
      </c>
      <c r="P28" s="53" t="s">
        <v>3152</v>
      </c>
      <c r="Q28" s="53"/>
      <c r="R28" s="54"/>
      <c r="S28" s="57"/>
      <c r="T28" s="57"/>
      <c r="U28" s="57"/>
      <c r="V28" s="57"/>
      <c r="W28" s="57"/>
      <c r="X28" s="53" t="s">
        <v>3151</v>
      </c>
      <c r="Y28" s="53"/>
      <c r="Z28" s="98" t="s">
        <v>3275</v>
      </c>
      <c r="AA28" s="98" t="s">
        <v>3275</v>
      </c>
      <c r="AB28" s="98" t="s">
        <v>270</v>
      </c>
      <c r="AC28" s="65" t="s">
        <v>3271</v>
      </c>
      <c r="AD28" s="65" t="s">
        <v>3279</v>
      </c>
      <c r="AE28" s="82" t="s">
        <v>3184</v>
      </c>
      <c r="AF28" s="82"/>
      <c r="AG28" s="85"/>
      <c r="AH28" s="85"/>
      <c r="AI28" s="82"/>
      <c r="AJ28" s="82" t="s">
        <v>270</v>
      </c>
      <c r="AK28" s="82"/>
      <c r="AL28" s="86"/>
      <c r="AM28" s="86"/>
      <c r="AN28" s="86"/>
      <c r="AO28" s="86"/>
      <c r="AP28" s="86"/>
      <c r="AQ28" s="86"/>
      <c r="AR28" s="86"/>
      <c r="AS28" s="86"/>
      <c r="AT28" s="44"/>
      <c r="AU28" s="44"/>
      <c r="AV28" s="44"/>
      <c r="AW28" s="44"/>
      <c r="AX28" s="44"/>
      <c r="AY28" s="44"/>
      <c r="AZ28" s="44"/>
      <c r="BA28" s="44"/>
      <c r="BB28" s="44"/>
      <c r="BC28" s="44"/>
      <c r="BD28" s="44"/>
      <c r="BE28" s="44"/>
      <c r="BF28" s="44"/>
      <c r="BG28" s="44"/>
      <c r="BH28" s="44"/>
      <c r="BI28" s="44"/>
      <c r="BJ28" s="44"/>
      <c r="BK28" s="44"/>
      <c r="BL28" s="44"/>
      <c r="BM28" s="44"/>
      <c r="BN28" s="44"/>
      <c r="BO28" s="44"/>
      <c r="BP28" s="44"/>
      <c r="BQ28" s="44"/>
      <c r="BR28" s="44"/>
      <c r="BS28" s="44"/>
    </row>
    <row r="29" spans="1:71" ht="84" customHeight="1">
      <c r="A29" s="94" t="e" vm="7">
        <v>#VALUE!</v>
      </c>
      <c r="B29" s="80" t="s">
        <v>3280</v>
      </c>
      <c r="C29" s="92" t="s">
        <v>3145</v>
      </c>
      <c r="D29" s="92" t="s">
        <v>3161</v>
      </c>
      <c r="E29" s="92" t="s">
        <v>3281</v>
      </c>
      <c r="F29" s="92" t="s">
        <v>3148</v>
      </c>
      <c r="G29" s="94" t="s">
        <v>3214</v>
      </c>
      <c r="H29" s="92" t="s">
        <v>3205</v>
      </c>
      <c r="I29" s="91" t="s">
        <v>45</v>
      </c>
      <c r="J29" s="65" t="s">
        <v>3282</v>
      </c>
      <c r="K29" s="99" t="s">
        <v>3154</v>
      </c>
      <c r="L29" s="99" t="s">
        <v>3152</v>
      </c>
      <c r="M29" s="83">
        <v>46254</v>
      </c>
      <c r="N29" s="83">
        <v>46246</v>
      </c>
      <c r="O29" s="100">
        <v>700000000</v>
      </c>
      <c r="P29" s="99" t="s">
        <v>3154</v>
      </c>
      <c r="Q29" s="82" t="s">
        <v>270</v>
      </c>
      <c r="R29" s="83">
        <v>46280</v>
      </c>
      <c r="S29" s="57" t="s">
        <v>3207</v>
      </c>
      <c r="T29" s="57"/>
      <c r="U29" s="57"/>
      <c r="V29" s="57"/>
      <c r="W29" s="57"/>
      <c r="X29" s="99" t="s">
        <v>3151</v>
      </c>
      <c r="Y29" s="99" t="s">
        <v>3154</v>
      </c>
      <c r="Z29" s="82" t="s">
        <v>3154</v>
      </c>
      <c r="AA29" s="82" t="s">
        <v>3151</v>
      </c>
      <c r="AB29" s="82"/>
      <c r="AC29" s="53" t="s">
        <v>3283</v>
      </c>
      <c r="AD29" s="65" t="s">
        <v>3157</v>
      </c>
      <c r="AE29" s="82" t="s">
        <v>3158</v>
      </c>
      <c r="AF29" s="84" t="s">
        <v>3284</v>
      </c>
      <c r="AG29" s="85"/>
      <c r="AH29" s="85"/>
      <c r="AI29" s="53"/>
      <c r="AJ29" s="53" t="s">
        <v>270</v>
      </c>
      <c r="AK29" s="82"/>
      <c r="AL29" s="86"/>
      <c r="AM29" s="86"/>
      <c r="AN29" s="86"/>
      <c r="AO29" s="86"/>
      <c r="AP29" s="86"/>
      <c r="AQ29" s="86"/>
      <c r="AR29" s="86"/>
      <c r="AS29" s="86"/>
      <c r="AT29" s="44"/>
      <c r="AU29" s="44"/>
      <c r="AV29" s="44"/>
      <c r="AW29" s="44"/>
      <c r="AX29" s="44"/>
      <c r="AY29" s="44"/>
      <c r="AZ29" s="44"/>
      <c r="BA29" s="44"/>
      <c r="BB29" s="44"/>
      <c r="BC29" s="44"/>
      <c r="BD29" s="44"/>
      <c r="BE29" s="44"/>
      <c r="BF29" s="44"/>
      <c r="BG29" s="44"/>
      <c r="BH29" s="44"/>
      <c r="BI29" s="44"/>
      <c r="BJ29" s="44"/>
      <c r="BK29" s="44"/>
      <c r="BL29" s="44"/>
      <c r="BM29" s="44"/>
      <c r="BN29" s="44"/>
      <c r="BO29" s="44"/>
      <c r="BP29" s="44"/>
      <c r="BQ29" s="44"/>
      <c r="BR29" s="44"/>
      <c r="BS29" s="44"/>
    </row>
    <row r="30" spans="1:71" ht="84" customHeight="1">
      <c r="A30" s="49" t="e" vm="7">
        <v>#VALUE!</v>
      </c>
      <c r="B30" s="80" t="s">
        <v>3285</v>
      </c>
      <c r="C30" s="51" t="s">
        <v>3145</v>
      </c>
      <c r="D30" s="51" t="s">
        <v>3161</v>
      </c>
      <c r="E30" s="51" t="s">
        <v>3286</v>
      </c>
      <c r="F30" s="51" t="s">
        <v>3148</v>
      </c>
      <c r="G30" s="49" t="s">
        <v>3192</v>
      </c>
      <c r="H30" s="50" t="s">
        <v>3205</v>
      </c>
      <c r="I30" s="81" t="s">
        <v>98</v>
      </c>
      <c r="J30" s="65" t="s">
        <v>3173</v>
      </c>
      <c r="K30" s="99" t="s">
        <v>3154</v>
      </c>
      <c r="L30" s="99" t="s">
        <v>3152</v>
      </c>
      <c r="M30" s="83" t="s">
        <v>270</v>
      </c>
      <c r="N30" s="83">
        <v>46246</v>
      </c>
      <c r="O30" s="100">
        <v>150000000</v>
      </c>
      <c r="P30" s="99" t="s">
        <v>3184</v>
      </c>
      <c r="Q30" s="82" t="s">
        <v>3152</v>
      </c>
      <c r="R30" s="83"/>
      <c r="S30" s="57"/>
      <c r="T30" s="57"/>
      <c r="U30" s="57"/>
      <c r="V30" s="57"/>
      <c r="W30" s="57"/>
      <c r="X30" s="99" t="s">
        <v>3151</v>
      </c>
      <c r="Y30" s="99" t="s">
        <v>3154</v>
      </c>
      <c r="Z30" s="82" t="s">
        <v>3154</v>
      </c>
      <c r="AA30" s="82" t="s">
        <v>3154</v>
      </c>
      <c r="AB30" s="82" t="s">
        <v>270</v>
      </c>
      <c r="AC30" s="84">
        <v>3218158999</v>
      </c>
      <c r="AD30" s="65" t="s">
        <v>3157</v>
      </c>
      <c r="AE30" s="82" t="s">
        <v>3158</v>
      </c>
      <c r="AF30" s="84" t="s">
        <v>3287</v>
      </c>
      <c r="AG30" s="67" t="s">
        <v>3288</v>
      </c>
      <c r="AH30" s="67"/>
      <c r="AI30" s="53"/>
      <c r="AJ30" s="53" t="s">
        <v>270</v>
      </c>
      <c r="AK30" s="82"/>
      <c r="AL30" s="86"/>
      <c r="AM30" s="86"/>
      <c r="AN30" s="86"/>
      <c r="AO30" s="86"/>
      <c r="AP30" s="86"/>
      <c r="AQ30" s="86"/>
      <c r="AR30" s="86"/>
      <c r="AS30" s="86"/>
      <c r="AT30" s="44"/>
      <c r="AU30" s="44"/>
      <c r="AV30" s="44"/>
      <c r="AW30" s="44"/>
      <c r="AX30" s="44"/>
      <c r="AY30" s="44"/>
      <c r="AZ30" s="44"/>
      <c r="BA30" s="44"/>
      <c r="BB30" s="44"/>
      <c r="BC30" s="44"/>
      <c r="BD30" s="44"/>
      <c r="BE30" s="44"/>
      <c r="BF30" s="44"/>
      <c r="BG30" s="44"/>
      <c r="BH30" s="44"/>
      <c r="BI30" s="44"/>
      <c r="BJ30" s="44"/>
      <c r="BK30" s="44"/>
      <c r="BL30" s="44"/>
      <c r="BM30" s="44"/>
      <c r="BN30" s="44"/>
      <c r="BO30" s="44"/>
      <c r="BP30" s="44"/>
      <c r="BQ30" s="44"/>
      <c r="BR30" s="44"/>
      <c r="BS30" s="44"/>
    </row>
    <row r="31" spans="1:71" ht="84" customHeight="1">
      <c r="A31" s="50" t="s">
        <v>3289</v>
      </c>
      <c r="B31" s="80" t="s">
        <v>3290</v>
      </c>
      <c r="C31" s="51" t="s">
        <v>3145</v>
      </c>
      <c r="D31" s="51" t="s">
        <v>3161</v>
      </c>
      <c r="E31" s="51" t="s">
        <v>3291</v>
      </c>
      <c r="F31" s="51" t="s">
        <v>3170</v>
      </c>
      <c r="G31" s="80" t="s">
        <v>3192</v>
      </c>
      <c r="H31" s="51" t="s">
        <v>3248</v>
      </c>
      <c r="I31" s="81" t="s">
        <v>98</v>
      </c>
      <c r="J31" s="53" t="s">
        <v>3292</v>
      </c>
      <c r="K31" s="82" t="s">
        <v>3151</v>
      </c>
      <c r="L31" s="82" t="s">
        <v>3152</v>
      </c>
      <c r="M31" s="83"/>
      <c r="N31" s="83">
        <v>46246</v>
      </c>
      <c r="O31" s="55">
        <v>0</v>
      </c>
      <c r="P31" s="82" t="s">
        <v>3152</v>
      </c>
      <c r="Q31" s="82" t="s">
        <v>3152</v>
      </c>
      <c r="R31" s="83"/>
      <c r="S31" s="57"/>
      <c r="T31" s="57"/>
      <c r="U31" s="57"/>
      <c r="V31" s="57"/>
      <c r="W31" s="57"/>
      <c r="X31" s="82" t="s">
        <v>3151</v>
      </c>
      <c r="Y31" s="82" t="s">
        <v>3151</v>
      </c>
      <c r="Z31" s="82" t="s">
        <v>3151</v>
      </c>
      <c r="AA31" s="82" t="s">
        <v>3151</v>
      </c>
      <c r="AB31" s="82" t="s">
        <v>3152</v>
      </c>
      <c r="AC31" s="65" t="s">
        <v>3293</v>
      </c>
      <c r="AD31" s="65"/>
      <c r="AE31" s="82"/>
      <c r="AF31" s="82"/>
      <c r="AG31" s="85"/>
      <c r="AH31" s="85"/>
      <c r="AI31" s="82"/>
      <c r="AJ31" s="82" t="s">
        <v>3151</v>
      </c>
      <c r="AK31" s="82"/>
      <c r="AL31" s="86"/>
      <c r="AM31" s="86"/>
      <c r="AN31" s="86"/>
      <c r="AO31" s="86"/>
      <c r="AP31" s="86"/>
      <c r="AQ31" s="86"/>
      <c r="AR31" s="86"/>
      <c r="AS31" s="86"/>
      <c r="AT31" s="44"/>
      <c r="AU31" s="44"/>
      <c r="AV31" s="44"/>
      <c r="AW31" s="44"/>
      <c r="AX31" s="44"/>
      <c r="AY31" s="44"/>
      <c r="AZ31" s="44"/>
      <c r="BA31" s="44"/>
      <c r="BB31" s="44"/>
      <c r="BC31" s="44"/>
      <c r="BD31" s="44"/>
      <c r="BE31" s="44"/>
      <c r="BF31" s="44"/>
      <c r="BG31" s="44"/>
      <c r="BH31" s="44"/>
      <c r="BI31" s="44"/>
      <c r="BJ31" s="44"/>
      <c r="BK31" s="44"/>
      <c r="BL31" s="44"/>
      <c r="BM31" s="44"/>
      <c r="BN31" s="44"/>
      <c r="BO31" s="44"/>
      <c r="BP31" s="44"/>
      <c r="BQ31" s="44"/>
      <c r="BR31" s="44"/>
      <c r="BS31" s="44"/>
    </row>
    <row r="32" spans="1:71" ht="84" customHeight="1">
      <c r="A32" s="50" t="s">
        <v>3289</v>
      </c>
      <c r="B32" s="80" t="s">
        <v>3294</v>
      </c>
      <c r="C32" s="51" t="s">
        <v>3145</v>
      </c>
      <c r="D32" s="51" t="s">
        <v>3161</v>
      </c>
      <c r="E32" s="51" t="s">
        <v>3295</v>
      </c>
      <c r="F32" s="51" t="s">
        <v>3170</v>
      </c>
      <c r="G32" s="80" t="s">
        <v>3192</v>
      </c>
      <c r="H32" s="51" t="s">
        <v>3248</v>
      </c>
      <c r="I32" s="81" t="s">
        <v>98</v>
      </c>
      <c r="J32" s="53" t="s">
        <v>3292</v>
      </c>
      <c r="K32" s="82" t="s">
        <v>3151</v>
      </c>
      <c r="L32" s="82" t="s">
        <v>3152</v>
      </c>
      <c r="M32" s="83"/>
      <c r="N32" s="83">
        <v>46246</v>
      </c>
      <c r="O32" s="55">
        <v>0</v>
      </c>
      <c r="P32" s="82" t="s">
        <v>3152</v>
      </c>
      <c r="Q32" s="82" t="s">
        <v>3152</v>
      </c>
      <c r="R32" s="83"/>
      <c r="S32" s="57"/>
      <c r="T32" s="57"/>
      <c r="U32" s="57"/>
      <c r="V32" s="57"/>
      <c r="W32" s="57"/>
      <c r="X32" s="82" t="s">
        <v>3151</v>
      </c>
      <c r="Y32" s="82" t="s">
        <v>3151</v>
      </c>
      <c r="Z32" s="82" t="s">
        <v>3151</v>
      </c>
      <c r="AA32" s="82" t="s">
        <v>3151</v>
      </c>
      <c r="AB32" s="82" t="s">
        <v>3152</v>
      </c>
      <c r="AC32" s="65" t="s">
        <v>3293</v>
      </c>
      <c r="AD32" s="65"/>
      <c r="AE32" s="82"/>
      <c r="AF32" s="82"/>
      <c r="AG32" s="85"/>
      <c r="AH32" s="85"/>
      <c r="AI32" s="82"/>
      <c r="AJ32" s="82"/>
      <c r="AK32" s="82"/>
      <c r="AL32" s="86"/>
      <c r="AM32" s="86"/>
      <c r="AN32" s="86"/>
      <c r="AO32" s="86"/>
      <c r="AP32" s="86"/>
      <c r="AQ32" s="86"/>
      <c r="AR32" s="86"/>
      <c r="AS32" s="86"/>
      <c r="AT32" s="44"/>
      <c r="AU32" s="44"/>
      <c r="AV32" s="44"/>
      <c r="AW32" s="44"/>
      <c r="AX32" s="44"/>
      <c r="AY32" s="44"/>
      <c r="AZ32" s="44"/>
      <c r="BA32" s="44"/>
      <c r="BB32" s="44"/>
      <c r="BC32" s="44"/>
      <c r="BD32" s="44"/>
      <c r="BE32" s="44"/>
      <c r="BF32" s="44"/>
      <c r="BG32" s="44"/>
      <c r="BH32" s="44"/>
      <c r="BI32" s="44"/>
      <c r="BJ32" s="44"/>
      <c r="BK32" s="44"/>
      <c r="BL32" s="44"/>
      <c r="BM32" s="44"/>
      <c r="BN32" s="44"/>
      <c r="BO32" s="44"/>
      <c r="BP32" s="44"/>
      <c r="BQ32" s="44"/>
      <c r="BR32" s="44"/>
      <c r="BS32" s="44"/>
    </row>
    <row r="33" spans="1:71" ht="84" customHeight="1">
      <c r="A33" s="43" t="s">
        <v>91</v>
      </c>
      <c r="B33" s="50" t="s">
        <v>3296</v>
      </c>
      <c r="C33" s="50" t="s">
        <v>3145</v>
      </c>
      <c r="D33" s="50" t="s">
        <v>3161</v>
      </c>
      <c r="E33" s="50" t="s">
        <v>3297</v>
      </c>
      <c r="F33" s="51" t="s">
        <v>3170</v>
      </c>
      <c r="G33" s="57" t="s">
        <v>3298</v>
      </c>
      <c r="H33" s="51" t="s">
        <v>3299</v>
      </c>
      <c r="I33" s="91" t="s">
        <v>3300</v>
      </c>
      <c r="J33" s="90" t="s">
        <v>3301</v>
      </c>
      <c r="K33" s="82" t="s">
        <v>3151</v>
      </c>
      <c r="L33" s="53" t="s">
        <v>3152</v>
      </c>
      <c r="M33" s="83">
        <v>46248</v>
      </c>
      <c r="N33" s="83">
        <v>46247</v>
      </c>
      <c r="O33" s="55">
        <v>0</v>
      </c>
      <c r="P33" s="53" t="s">
        <v>3152</v>
      </c>
      <c r="Q33" s="82" t="s">
        <v>3152</v>
      </c>
      <c r="R33" s="83" t="s">
        <v>3152</v>
      </c>
      <c r="S33" s="83" t="s">
        <v>3152</v>
      </c>
      <c r="T33" s="83" t="s">
        <v>3152</v>
      </c>
      <c r="U33" s="83" t="s">
        <v>3152</v>
      </c>
      <c r="V33" s="83"/>
      <c r="W33" s="83"/>
      <c r="X33" s="82" t="s">
        <v>3151</v>
      </c>
      <c r="Y33" s="82" t="s">
        <v>3151</v>
      </c>
      <c r="Z33" s="82" t="s">
        <v>3151</v>
      </c>
      <c r="AA33" s="82" t="s">
        <v>3151</v>
      </c>
      <c r="AB33" s="82" t="s">
        <v>3151</v>
      </c>
      <c r="AC33" s="65" t="s">
        <v>3302</v>
      </c>
      <c r="AD33" s="65"/>
      <c r="AE33" s="82" t="s">
        <v>3303</v>
      </c>
      <c r="AF33" s="82"/>
      <c r="AG33" s="85">
        <v>584700088411</v>
      </c>
      <c r="AH33" s="85" t="s">
        <v>2850</v>
      </c>
      <c r="AI33" s="82" t="s">
        <v>987</v>
      </c>
      <c r="AJ33" s="82"/>
      <c r="AK33" s="82"/>
      <c r="AL33" s="86"/>
      <c r="AM33" s="86"/>
      <c r="AN33" s="86"/>
      <c r="AO33" s="86"/>
      <c r="AP33" s="86"/>
      <c r="AQ33" s="86"/>
      <c r="AR33" s="86"/>
      <c r="AS33" s="86"/>
      <c r="AT33" s="44"/>
      <c r="AU33" s="44"/>
      <c r="AV33" s="44"/>
      <c r="AW33" s="44"/>
      <c r="AX33" s="44"/>
      <c r="AY33" s="44"/>
      <c r="AZ33" s="44"/>
      <c r="BA33" s="44"/>
      <c r="BB33" s="44"/>
      <c r="BC33" s="44"/>
      <c r="BD33" s="44"/>
      <c r="BE33" s="44"/>
      <c r="BF33" s="44"/>
      <c r="BG33" s="44"/>
      <c r="BH33" s="44"/>
      <c r="BI33" s="44"/>
      <c r="BJ33" s="44"/>
      <c r="BK33" s="44"/>
      <c r="BL33" s="44"/>
      <c r="BM33" s="44"/>
      <c r="BN33" s="44"/>
      <c r="BO33" s="44"/>
      <c r="BP33" s="44"/>
      <c r="BQ33" s="44"/>
      <c r="BR33" s="44"/>
      <c r="BS33" s="44"/>
    </row>
    <row r="34" spans="1:71" ht="84" customHeight="1">
      <c r="A34" s="43" t="s">
        <v>91</v>
      </c>
      <c r="B34" s="80" t="s">
        <v>3296</v>
      </c>
      <c r="C34" s="51" t="s">
        <v>3145</v>
      </c>
      <c r="D34" s="51" t="s">
        <v>3161</v>
      </c>
      <c r="E34" s="51" t="s">
        <v>3304</v>
      </c>
      <c r="F34" s="51" t="s">
        <v>3148</v>
      </c>
      <c r="G34" s="57" t="s">
        <v>3149</v>
      </c>
      <c r="H34" s="51" t="s">
        <v>3305</v>
      </c>
      <c r="I34" s="91" t="s">
        <v>45</v>
      </c>
      <c r="J34" s="65" t="s">
        <v>3306</v>
      </c>
      <c r="K34" s="65" t="s">
        <v>3151</v>
      </c>
      <c r="L34" s="65" t="s">
        <v>3152</v>
      </c>
      <c r="M34" s="54" t="s">
        <v>3307</v>
      </c>
      <c r="N34" s="83">
        <v>46247</v>
      </c>
      <c r="O34" s="55">
        <v>400000000</v>
      </c>
      <c r="P34" s="82" t="s">
        <v>3151</v>
      </c>
      <c r="Q34" s="82" t="s">
        <v>3151</v>
      </c>
      <c r="R34" s="83">
        <v>46255</v>
      </c>
      <c r="S34" s="57" t="s">
        <v>3308</v>
      </c>
      <c r="T34" s="71"/>
      <c r="U34" s="57"/>
      <c r="V34" s="57"/>
      <c r="W34" s="57"/>
      <c r="X34" s="82" t="s">
        <v>3151</v>
      </c>
      <c r="Y34" s="82" t="s">
        <v>3151</v>
      </c>
      <c r="Z34" s="82" t="s">
        <v>3151</v>
      </c>
      <c r="AA34" s="82" t="s">
        <v>3151</v>
      </c>
      <c r="AB34" s="82" t="s">
        <v>3151</v>
      </c>
      <c r="AC34" s="65" t="s">
        <v>3309</v>
      </c>
      <c r="AD34" s="65" t="s">
        <v>3157</v>
      </c>
      <c r="AE34" s="82" t="s">
        <v>3158</v>
      </c>
      <c r="AF34" s="84" t="s">
        <v>3310</v>
      </c>
      <c r="AG34" s="85">
        <v>6600100059303</v>
      </c>
      <c r="AH34" s="85" t="s">
        <v>2986</v>
      </c>
      <c r="AI34" s="53" t="s">
        <v>987</v>
      </c>
      <c r="AJ34" s="53"/>
      <c r="AK34" s="82"/>
      <c r="AL34" s="86"/>
      <c r="AM34" s="86"/>
      <c r="AN34" s="86"/>
      <c r="AO34" s="86"/>
      <c r="AP34" s="86"/>
      <c r="AQ34" s="86"/>
      <c r="AR34" s="86"/>
      <c r="AS34" s="86"/>
      <c r="AT34" s="44"/>
      <c r="AU34" s="44"/>
      <c r="AV34" s="44"/>
      <c r="AW34" s="44"/>
      <c r="AX34" s="44"/>
      <c r="AY34" s="44"/>
      <c r="AZ34" s="44"/>
      <c r="BA34" s="44"/>
      <c r="BB34" s="44"/>
      <c r="BC34" s="44"/>
      <c r="BD34" s="44"/>
      <c r="BE34" s="44"/>
      <c r="BF34" s="44"/>
      <c r="BG34" s="44"/>
      <c r="BH34" s="44"/>
      <c r="BI34" s="44"/>
      <c r="BJ34" s="44"/>
      <c r="BK34" s="44"/>
      <c r="BL34" s="44"/>
      <c r="BM34" s="44"/>
      <c r="BN34" s="44"/>
      <c r="BO34" s="44"/>
      <c r="BP34" s="44"/>
      <c r="BQ34" s="44"/>
      <c r="BR34" s="44"/>
      <c r="BS34" s="44"/>
    </row>
    <row r="35" spans="1:71" ht="84" customHeight="1">
      <c r="A35" s="43" t="s">
        <v>91</v>
      </c>
      <c r="B35" s="80" t="s">
        <v>3311</v>
      </c>
      <c r="C35" s="51" t="s">
        <v>3145</v>
      </c>
      <c r="D35" s="51" t="s">
        <v>3161</v>
      </c>
      <c r="E35" s="51" t="s">
        <v>3312</v>
      </c>
      <c r="F35" s="51" t="s">
        <v>3148</v>
      </c>
      <c r="G35" s="51" t="s">
        <v>3313</v>
      </c>
      <c r="H35" s="51" t="s">
        <v>3314</v>
      </c>
      <c r="I35" s="91" t="s">
        <v>45</v>
      </c>
      <c r="J35" s="53" t="s">
        <v>3315</v>
      </c>
      <c r="K35" s="65" t="s">
        <v>3151</v>
      </c>
      <c r="L35" s="65" t="s">
        <v>3152</v>
      </c>
      <c r="M35" s="83">
        <v>46248</v>
      </c>
      <c r="N35" s="83">
        <v>46247</v>
      </c>
      <c r="O35" s="55">
        <v>250000000</v>
      </c>
      <c r="P35" s="82" t="s">
        <v>3151</v>
      </c>
      <c r="Q35" s="82" t="s">
        <v>3151</v>
      </c>
      <c r="R35" s="83">
        <v>46266</v>
      </c>
      <c r="S35" s="57" t="s">
        <v>3207</v>
      </c>
      <c r="T35" s="57"/>
      <c r="U35" s="57"/>
      <c r="V35" s="57"/>
      <c r="W35" s="57"/>
      <c r="X35" s="82" t="s">
        <v>3151</v>
      </c>
      <c r="Y35" s="82" t="s">
        <v>3154</v>
      </c>
      <c r="Z35" s="82" t="s">
        <v>3154</v>
      </c>
      <c r="AA35" s="82" t="s">
        <v>3154</v>
      </c>
      <c r="AB35" s="82" t="s">
        <v>3154</v>
      </c>
      <c r="AC35" s="65" t="s">
        <v>3316</v>
      </c>
      <c r="AD35" s="65" t="s">
        <v>3157</v>
      </c>
      <c r="AE35" s="82" t="s">
        <v>3158</v>
      </c>
      <c r="AF35" s="84" t="s">
        <v>3317</v>
      </c>
      <c r="AG35" s="85">
        <v>664001149216</v>
      </c>
      <c r="AH35" s="85" t="s">
        <v>3318</v>
      </c>
      <c r="AI35" s="53" t="s">
        <v>368</v>
      </c>
      <c r="AJ35" s="53"/>
      <c r="AK35" s="82"/>
      <c r="AL35" s="86"/>
      <c r="AM35" s="86"/>
      <c r="AN35" s="86"/>
      <c r="AO35" s="86"/>
      <c r="AP35" s="86"/>
      <c r="AQ35" s="86"/>
      <c r="AR35" s="86"/>
      <c r="AS35" s="86"/>
      <c r="AT35" s="44"/>
      <c r="AU35" s="44"/>
      <c r="AV35" s="44"/>
      <c r="AW35" s="44"/>
      <c r="AX35" s="44"/>
      <c r="AY35" s="44"/>
      <c r="AZ35" s="44"/>
      <c r="BA35" s="44"/>
      <c r="BB35" s="44"/>
      <c r="BC35" s="44"/>
      <c r="BD35" s="44"/>
      <c r="BE35" s="44"/>
      <c r="BF35" s="44"/>
      <c r="BG35" s="44"/>
      <c r="BH35" s="44"/>
      <c r="BI35" s="44"/>
      <c r="BJ35" s="44"/>
      <c r="BK35" s="44"/>
      <c r="BL35" s="44"/>
      <c r="BM35" s="44"/>
      <c r="BN35" s="44"/>
      <c r="BO35" s="44"/>
      <c r="BP35" s="44"/>
      <c r="BQ35" s="44"/>
      <c r="BR35" s="44"/>
      <c r="BS35" s="44"/>
    </row>
    <row r="36" spans="1:71" ht="84" customHeight="1">
      <c r="A36" s="43" t="s">
        <v>91</v>
      </c>
      <c r="B36" s="80" t="s">
        <v>3296</v>
      </c>
      <c r="C36" s="51" t="s">
        <v>3145</v>
      </c>
      <c r="D36" s="51" t="s">
        <v>3146</v>
      </c>
      <c r="E36" s="51" t="s">
        <v>3147</v>
      </c>
      <c r="F36" s="51" t="s">
        <v>3148</v>
      </c>
      <c r="G36" s="57" t="s">
        <v>3163</v>
      </c>
      <c r="H36" s="51" t="s">
        <v>3305</v>
      </c>
      <c r="I36" s="43" t="s">
        <v>45</v>
      </c>
      <c r="J36" s="90" t="s">
        <v>3319</v>
      </c>
      <c r="K36" s="82" t="s">
        <v>3151</v>
      </c>
      <c r="L36" s="82" t="s">
        <v>3152</v>
      </c>
      <c r="M36" s="54" t="s">
        <v>3320</v>
      </c>
      <c r="N36" s="54">
        <v>46247</v>
      </c>
      <c r="O36" s="55">
        <v>500000000</v>
      </c>
      <c r="P36" s="82" t="s">
        <v>3151</v>
      </c>
      <c r="Q36" s="82" t="s">
        <v>3151</v>
      </c>
      <c r="R36" s="83">
        <v>46253</v>
      </c>
      <c r="S36" s="57" t="s">
        <v>3207</v>
      </c>
      <c r="T36" s="71"/>
      <c r="U36" s="57"/>
      <c r="V36" s="57"/>
      <c r="W36" s="57"/>
      <c r="X36" s="82" t="s">
        <v>3151</v>
      </c>
      <c r="Y36" s="82" t="s">
        <v>3151</v>
      </c>
      <c r="Z36" s="82" t="s">
        <v>3151</v>
      </c>
      <c r="AA36" s="82" t="s">
        <v>3151</v>
      </c>
      <c r="AB36" s="82" t="s">
        <v>3151</v>
      </c>
      <c r="AC36" s="65" t="s">
        <v>3321</v>
      </c>
      <c r="AD36" s="65" t="s">
        <v>3157</v>
      </c>
      <c r="AE36" s="82" t="s">
        <v>3158</v>
      </c>
      <c r="AF36" s="84" t="s">
        <v>3310</v>
      </c>
      <c r="AG36" s="85">
        <v>735041128762</v>
      </c>
      <c r="AH36" s="85" t="s">
        <v>3322</v>
      </c>
      <c r="AI36" s="53" t="s">
        <v>3323</v>
      </c>
      <c r="AJ36" s="53"/>
      <c r="AK36" s="82">
        <v>70</v>
      </c>
      <c r="AL36" s="86"/>
      <c r="AM36" s="86"/>
      <c r="AN36" s="86"/>
      <c r="AO36" s="86"/>
      <c r="AP36" s="86"/>
      <c r="AQ36" s="86"/>
      <c r="AR36" s="86"/>
      <c r="AS36" s="86"/>
      <c r="AT36" s="44"/>
      <c r="AU36" s="44"/>
      <c r="AV36" s="44"/>
      <c r="AW36" s="44"/>
      <c r="AX36" s="44"/>
      <c r="AY36" s="44"/>
      <c r="AZ36" s="44"/>
      <c r="BA36" s="44"/>
      <c r="BB36" s="44"/>
      <c r="BC36" s="44"/>
      <c r="BD36" s="44"/>
      <c r="BE36" s="44"/>
      <c r="BF36" s="44"/>
      <c r="BG36" s="44"/>
      <c r="BH36" s="44"/>
      <c r="BI36" s="44"/>
      <c r="BJ36" s="44"/>
      <c r="BK36" s="44"/>
      <c r="BL36" s="44"/>
      <c r="BM36" s="44"/>
      <c r="BN36" s="44"/>
      <c r="BO36" s="44"/>
      <c r="BP36" s="44"/>
      <c r="BQ36" s="44"/>
      <c r="BR36" s="44"/>
      <c r="BS36" s="44"/>
    </row>
    <row r="37" spans="1:71" ht="84" customHeight="1">
      <c r="A37" s="80" t="s">
        <v>126</v>
      </c>
      <c r="B37" s="80" t="s">
        <v>3324</v>
      </c>
      <c r="C37" s="51" t="s">
        <v>3145</v>
      </c>
      <c r="D37" s="51" t="s">
        <v>3146</v>
      </c>
      <c r="E37" s="51" t="s">
        <v>3147</v>
      </c>
      <c r="F37" s="51" t="s">
        <v>3148</v>
      </c>
      <c r="G37" s="51" t="s">
        <v>3214</v>
      </c>
      <c r="H37" s="51" t="s">
        <v>44</v>
      </c>
      <c r="I37" s="81" t="s">
        <v>62</v>
      </c>
      <c r="J37" s="53" t="s">
        <v>3325</v>
      </c>
      <c r="K37" s="53" t="s">
        <v>270</v>
      </c>
      <c r="L37" s="53" t="s">
        <v>3326</v>
      </c>
      <c r="M37" s="54">
        <v>46247</v>
      </c>
      <c r="N37" s="54"/>
      <c r="O37" s="55">
        <v>20639700000</v>
      </c>
      <c r="P37" s="53" t="s">
        <v>3154</v>
      </c>
      <c r="Q37" s="53" t="s">
        <v>3151</v>
      </c>
      <c r="R37" s="54"/>
      <c r="S37" s="57" t="s">
        <v>3217</v>
      </c>
      <c r="T37" s="57"/>
      <c r="U37" s="57"/>
      <c r="V37" s="57"/>
      <c r="W37" s="57"/>
      <c r="X37" s="53" t="s">
        <v>270</v>
      </c>
      <c r="Y37" s="53" t="s">
        <v>270</v>
      </c>
      <c r="Z37" s="53" t="s">
        <v>270</v>
      </c>
      <c r="AA37" s="53" t="s">
        <v>3151</v>
      </c>
      <c r="AB37" s="53" t="s">
        <v>3151</v>
      </c>
      <c r="AC37" s="65" t="s">
        <v>3327</v>
      </c>
      <c r="AD37" s="65" t="s">
        <v>3219</v>
      </c>
      <c r="AE37" s="82" t="s">
        <v>3158</v>
      </c>
      <c r="AF37" s="84" t="s">
        <v>3328</v>
      </c>
      <c r="AG37" s="82"/>
      <c r="AH37" s="82"/>
      <c r="AI37" s="53"/>
      <c r="AJ37" s="53"/>
      <c r="AK37" s="82"/>
      <c r="AL37" s="86"/>
      <c r="AM37" s="86"/>
      <c r="AN37" s="86"/>
      <c r="AO37" s="86"/>
      <c r="AP37" s="86"/>
      <c r="AQ37" s="86"/>
      <c r="AR37" s="86"/>
      <c r="AS37" s="86"/>
      <c r="AT37" s="44"/>
      <c r="AU37" s="44"/>
      <c r="AV37" s="44"/>
      <c r="AW37" s="44"/>
      <c r="AX37" s="44"/>
      <c r="AY37" s="44"/>
      <c r="AZ37" s="44"/>
      <c r="BA37" s="44"/>
      <c r="BB37" s="44"/>
      <c r="BC37" s="44"/>
      <c r="BD37" s="44"/>
      <c r="BE37" s="44"/>
      <c r="BF37" s="44"/>
      <c r="BG37" s="44"/>
      <c r="BH37" s="44"/>
      <c r="BI37" s="44"/>
      <c r="BJ37" s="44"/>
      <c r="BK37" s="44"/>
      <c r="BL37" s="44"/>
      <c r="BM37" s="44"/>
      <c r="BN37" s="44"/>
      <c r="BO37" s="44"/>
      <c r="BP37" s="44"/>
      <c r="BQ37" s="44"/>
      <c r="BR37" s="44"/>
      <c r="BS37" s="44"/>
    </row>
    <row r="38" spans="1:71" ht="84" customHeight="1">
      <c r="A38" s="80" t="s">
        <v>126</v>
      </c>
      <c r="B38" s="80" t="s">
        <v>3324</v>
      </c>
      <c r="C38" s="51" t="s">
        <v>3145</v>
      </c>
      <c r="D38" s="51" t="s">
        <v>3161</v>
      </c>
      <c r="E38" s="51" t="s">
        <v>3329</v>
      </c>
      <c r="F38" s="51" t="s">
        <v>3148</v>
      </c>
      <c r="G38" s="51" t="s">
        <v>3214</v>
      </c>
      <c r="H38" s="87" t="s">
        <v>44</v>
      </c>
      <c r="I38" s="81" t="s">
        <v>62</v>
      </c>
      <c r="J38" s="53" t="s">
        <v>3330</v>
      </c>
      <c r="K38" s="53" t="s">
        <v>270</v>
      </c>
      <c r="L38" s="53" t="s">
        <v>3331</v>
      </c>
      <c r="M38" s="54">
        <v>46247</v>
      </c>
      <c r="N38" s="54"/>
      <c r="O38" s="55">
        <v>9287865000</v>
      </c>
      <c r="P38" s="53" t="s">
        <v>3154</v>
      </c>
      <c r="Q38" s="53" t="s">
        <v>3151</v>
      </c>
      <c r="R38" s="54"/>
      <c r="S38" s="57" t="s">
        <v>3217</v>
      </c>
      <c r="T38" s="57"/>
      <c r="U38" s="57"/>
      <c r="V38" s="57"/>
      <c r="W38" s="57"/>
      <c r="X38" s="53" t="s">
        <v>270</v>
      </c>
      <c r="Y38" s="53" t="s">
        <v>270</v>
      </c>
      <c r="Z38" s="53" t="s">
        <v>270</v>
      </c>
      <c r="AA38" s="53" t="s">
        <v>3151</v>
      </c>
      <c r="AB38" s="53" t="s">
        <v>3151</v>
      </c>
      <c r="AC38" s="65" t="s">
        <v>3327</v>
      </c>
      <c r="AD38" s="65" t="s">
        <v>3219</v>
      </c>
      <c r="AE38" s="82" t="s">
        <v>3158</v>
      </c>
      <c r="AF38" s="84" t="s">
        <v>3328</v>
      </c>
      <c r="AG38" s="82"/>
      <c r="AH38" s="82"/>
      <c r="AI38" s="53"/>
      <c r="AJ38" s="53"/>
      <c r="AK38" s="82"/>
      <c r="AL38" s="86"/>
      <c r="AM38" s="86"/>
      <c r="AN38" s="86"/>
      <c r="AO38" s="86"/>
      <c r="AP38" s="86"/>
      <c r="AQ38" s="86"/>
      <c r="AR38" s="86"/>
      <c r="AS38" s="86"/>
      <c r="AT38" s="44"/>
      <c r="AU38" s="44"/>
      <c r="AV38" s="44"/>
      <c r="AW38" s="44"/>
      <c r="AX38" s="44"/>
      <c r="AY38" s="44"/>
      <c r="AZ38" s="44"/>
      <c r="BA38" s="44"/>
      <c r="BB38" s="44"/>
      <c r="BC38" s="44"/>
      <c r="BD38" s="44"/>
      <c r="BE38" s="44"/>
      <c r="BF38" s="44"/>
      <c r="BG38" s="44"/>
      <c r="BH38" s="44"/>
      <c r="BI38" s="44"/>
      <c r="BJ38" s="44"/>
      <c r="BK38" s="44"/>
      <c r="BL38" s="44"/>
      <c r="BM38" s="44"/>
      <c r="BN38" s="44"/>
      <c r="BO38" s="44"/>
      <c r="BP38" s="44"/>
      <c r="BQ38" s="44"/>
      <c r="BR38" s="44"/>
      <c r="BS38" s="44"/>
    </row>
    <row r="39" spans="1:71" ht="84" customHeight="1">
      <c r="A39" s="80" t="s">
        <v>126</v>
      </c>
      <c r="B39" s="50" t="s">
        <v>3332</v>
      </c>
      <c r="C39" s="50" t="s">
        <v>3145</v>
      </c>
      <c r="D39" s="50" t="s">
        <v>3161</v>
      </c>
      <c r="E39" s="50" t="s">
        <v>3333</v>
      </c>
      <c r="F39" s="51" t="s">
        <v>3170</v>
      </c>
      <c r="G39" s="51" t="s">
        <v>3214</v>
      </c>
      <c r="H39" s="87" t="s">
        <v>3152</v>
      </c>
      <c r="I39" s="91" t="s">
        <v>3300</v>
      </c>
      <c r="J39" s="53" t="s">
        <v>3334</v>
      </c>
      <c r="K39" s="53" t="s">
        <v>270</v>
      </c>
      <c r="L39" s="53" t="s">
        <v>3335</v>
      </c>
      <c r="M39" s="54">
        <v>46244</v>
      </c>
      <c r="N39" s="54"/>
      <c r="O39" s="55">
        <v>0</v>
      </c>
      <c r="P39" s="53" t="s">
        <v>3152</v>
      </c>
      <c r="Q39" s="53"/>
      <c r="R39" s="54"/>
      <c r="S39" s="57"/>
      <c r="T39" s="57"/>
      <c r="U39" s="57"/>
      <c r="V39" s="57"/>
      <c r="W39" s="57"/>
      <c r="X39" s="53" t="s">
        <v>270</v>
      </c>
      <c r="Y39" s="53" t="s">
        <v>3154</v>
      </c>
      <c r="Z39" s="53" t="s">
        <v>270</v>
      </c>
      <c r="AA39" s="53" t="s">
        <v>3151</v>
      </c>
      <c r="AB39" s="53" t="s">
        <v>270</v>
      </c>
      <c r="AC39" s="65" t="s">
        <v>3327</v>
      </c>
      <c r="AD39" s="65"/>
      <c r="AE39" s="82" t="s">
        <v>270</v>
      </c>
      <c r="AF39" s="82"/>
      <c r="AG39" s="82"/>
      <c r="AH39" s="82"/>
      <c r="AI39" s="82"/>
      <c r="AJ39" s="82"/>
      <c r="AK39" s="82"/>
      <c r="AL39" s="86"/>
      <c r="AM39" s="86"/>
      <c r="AN39" s="86"/>
      <c r="AO39" s="86"/>
      <c r="AP39" s="86"/>
      <c r="AQ39" s="86"/>
      <c r="AR39" s="86"/>
      <c r="AS39" s="86"/>
      <c r="AT39" s="44"/>
      <c r="AU39" s="44"/>
      <c r="AV39" s="44"/>
      <c r="AW39" s="44"/>
      <c r="AX39" s="44"/>
      <c r="AY39" s="44"/>
      <c r="AZ39" s="44"/>
      <c r="BA39" s="44"/>
      <c r="BB39" s="44"/>
      <c r="BC39" s="44"/>
      <c r="BD39" s="44"/>
      <c r="BE39" s="44"/>
      <c r="BF39" s="44"/>
      <c r="BG39" s="44"/>
      <c r="BH39" s="44"/>
      <c r="BI39" s="44"/>
      <c r="BJ39" s="44"/>
      <c r="BK39" s="44"/>
      <c r="BL39" s="44"/>
      <c r="BM39" s="44"/>
      <c r="BN39" s="44"/>
      <c r="BO39" s="44"/>
      <c r="BP39" s="44"/>
      <c r="BQ39" s="44"/>
      <c r="BR39" s="44"/>
      <c r="BS39" s="44"/>
    </row>
    <row r="40" spans="1:71" ht="84" customHeight="1">
      <c r="A40" s="80" t="s">
        <v>126</v>
      </c>
      <c r="B40" s="50" t="s">
        <v>3336</v>
      </c>
      <c r="C40" s="50" t="s">
        <v>3145</v>
      </c>
      <c r="D40" s="50" t="s">
        <v>3161</v>
      </c>
      <c r="E40" s="50" t="s">
        <v>3337</v>
      </c>
      <c r="F40" s="51" t="s">
        <v>3170</v>
      </c>
      <c r="G40" s="51" t="s">
        <v>3192</v>
      </c>
      <c r="H40" s="51" t="s">
        <v>3238</v>
      </c>
      <c r="I40" s="81" t="s">
        <v>98</v>
      </c>
      <c r="J40" s="53" t="s">
        <v>3338</v>
      </c>
      <c r="K40" s="53" t="s">
        <v>3151</v>
      </c>
      <c r="L40" s="53"/>
      <c r="M40" s="53"/>
      <c r="N40" s="54">
        <v>46244</v>
      </c>
      <c r="O40" s="55">
        <v>0</v>
      </c>
      <c r="P40" s="53" t="s">
        <v>3152</v>
      </c>
      <c r="Q40" s="53"/>
      <c r="R40" s="54"/>
      <c r="S40" s="57"/>
      <c r="T40" s="57"/>
      <c r="U40" s="57"/>
      <c r="V40" s="57"/>
      <c r="W40" s="57"/>
      <c r="X40" s="53" t="s">
        <v>3151</v>
      </c>
      <c r="Y40" s="53" t="s">
        <v>3151</v>
      </c>
      <c r="Z40" s="53" t="s">
        <v>270</v>
      </c>
      <c r="AA40" s="53" t="s">
        <v>3151</v>
      </c>
      <c r="AB40" s="53" t="s">
        <v>3151</v>
      </c>
      <c r="AC40" s="65" t="s">
        <v>3327</v>
      </c>
      <c r="AD40" s="65"/>
      <c r="AE40" s="82"/>
      <c r="AF40" s="82"/>
      <c r="AG40" s="82"/>
      <c r="AH40" s="82"/>
      <c r="AI40" s="82"/>
      <c r="AJ40" s="82"/>
      <c r="AK40" s="82"/>
      <c r="AL40" s="86"/>
      <c r="AM40" s="86"/>
      <c r="AN40" s="86"/>
      <c r="AO40" s="86"/>
      <c r="AP40" s="86"/>
      <c r="AQ40" s="86"/>
      <c r="AR40" s="86"/>
      <c r="AS40" s="86"/>
      <c r="AT40" s="44"/>
      <c r="AU40" s="44"/>
      <c r="AV40" s="44"/>
      <c r="AW40" s="44"/>
      <c r="AX40" s="44"/>
      <c r="AY40" s="44"/>
      <c r="AZ40" s="44"/>
      <c r="BA40" s="44"/>
      <c r="BB40" s="44"/>
      <c r="BC40" s="44"/>
      <c r="BD40" s="44"/>
      <c r="BE40" s="44"/>
      <c r="BF40" s="44"/>
      <c r="BG40" s="44"/>
      <c r="BH40" s="44"/>
      <c r="BI40" s="44"/>
      <c r="BJ40" s="44"/>
      <c r="BK40" s="44"/>
      <c r="BL40" s="44"/>
      <c r="BM40" s="44"/>
      <c r="BN40" s="44"/>
      <c r="BO40" s="44"/>
      <c r="BP40" s="44"/>
      <c r="BQ40" s="44"/>
      <c r="BR40" s="44"/>
      <c r="BS40" s="44"/>
    </row>
    <row r="41" spans="1:71" ht="84" customHeight="1">
      <c r="A41" s="80" t="s">
        <v>126</v>
      </c>
      <c r="B41" s="50" t="s">
        <v>3339</v>
      </c>
      <c r="C41" s="50" t="s">
        <v>3145</v>
      </c>
      <c r="D41" s="50" t="s">
        <v>3161</v>
      </c>
      <c r="E41" s="50" t="s">
        <v>3340</v>
      </c>
      <c r="F41" s="50" t="s">
        <v>3148</v>
      </c>
      <c r="G41" s="51" t="s">
        <v>3163</v>
      </c>
      <c r="H41" s="51" t="s">
        <v>3238</v>
      </c>
      <c r="I41" s="81" t="s">
        <v>98</v>
      </c>
      <c r="J41" s="53" t="s">
        <v>3341</v>
      </c>
      <c r="K41" s="53" t="s">
        <v>3151</v>
      </c>
      <c r="L41" s="53"/>
      <c r="M41" s="53"/>
      <c r="N41" s="54">
        <v>46244</v>
      </c>
      <c r="O41" s="55">
        <v>150000000</v>
      </c>
      <c r="P41" s="53" t="s">
        <v>270</v>
      </c>
      <c r="Q41" s="53"/>
      <c r="R41" s="54"/>
      <c r="S41" s="57"/>
      <c r="T41" s="57"/>
      <c r="U41" s="57"/>
      <c r="V41" s="57"/>
      <c r="W41" s="57"/>
      <c r="X41" s="53"/>
      <c r="Y41" s="53"/>
      <c r="Z41" s="53" t="s">
        <v>270</v>
      </c>
      <c r="AA41" s="53" t="s">
        <v>3151</v>
      </c>
      <c r="AB41" s="53" t="s">
        <v>3151</v>
      </c>
      <c r="AC41" s="65" t="s">
        <v>3327</v>
      </c>
      <c r="AD41" s="65" t="s">
        <v>3157</v>
      </c>
      <c r="AE41" s="65" t="s">
        <v>3342</v>
      </c>
      <c r="AF41" s="84" t="s">
        <v>3343</v>
      </c>
      <c r="AG41" s="82"/>
      <c r="AH41" s="82"/>
      <c r="AI41" s="53"/>
      <c r="AJ41" s="53"/>
      <c r="AK41" s="82"/>
      <c r="AL41" s="86"/>
      <c r="AM41" s="86"/>
      <c r="AN41" s="86"/>
      <c r="AO41" s="86"/>
      <c r="AP41" s="86"/>
      <c r="AQ41" s="86"/>
      <c r="AR41" s="86"/>
      <c r="AS41" s="86"/>
      <c r="AT41" s="44"/>
      <c r="AU41" s="44"/>
      <c r="AV41" s="44"/>
      <c r="AW41" s="44"/>
      <c r="AX41" s="44"/>
      <c r="AY41" s="44"/>
      <c r="AZ41" s="44"/>
      <c r="BA41" s="44"/>
      <c r="BB41" s="44"/>
      <c r="BC41" s="44"/>
      <c r="BD41" s="44"/>
      <c r="BE41" s="44"/>
      <c r="BF41" s="44"/>
      <c r="BG41" s="44"/>
      <c r="BH41" s="44"/>
      <c r="BI41" s="44"/>
      <c r="BJ41" s="44"/>
      <c r="BK41" s="44"/>
      <c r="BL41" s="44"/>
      <c r="BM41" s="44"/>
      <c r="BN41" s="44"/>
      <c r="BO41" s="44"/>
      <c r="BP41" s="44"/>
      <c r="BQ41" s="44"/>
      <c r="BR41" s="44"/>
      <c r="BS41" s="44"/>
    </row>
    <row r="42" spans="1:71" ht="84" customHeight="1">
      <c r="A42" s="80" t="s">
        <v>126</v>
      </c>
      <c r="B42" s="50" t="s">
        <v>3344</v>
      </c>
      <c r="C42" s="50" t="s">
        <v>3145</v>
      </c>
      <c r="D42" s="50" t="s">
        <v>3161</v>
      </c>
      <c r="E42" s="50" t="s">
        <v>3345</v>
      </c>
      <c r="F42" s="51" t="s">
        <v>3170</v>
      </c>
      <c r="G42" s="51" t="s">
        <v>3149</v>
      </c>
      <c r="H42" s="51" t="s">
        <v>152</v>
      </c>
      <c r="I42" s="81" t="s">
        <v>98</v>
      </c>
      <c r="J42" s="65" t="s">
        <v>3346</v>
      </c>
      <c r="K42" s="53" t="s">
        <v>3154</v>
      </c>
      <c r="L42" s="53"/>
      <c r="M42" s="54">
        <v>46245</v>
      </c>
      <c r="N42" s="54"/>
      <c r="O42" s="55">
        <v>0</v>
      </c>
      <c r="P42" s="53" t="s">
        <v>3152</v>
      </c>
      <c r="Q42" s="53"/>
      <c r="R42" s="54"/>
      <c r="S42" s="57"/>
      <c r="T42" s="57"/>
      <c r="U42" s="57"/>
      <c r="V42" s="57"/>
      <c r="W42" s="57"/>
      <c r="X42" s="53" t="s">
        <v>3151</v>
      </c>
      <c r="Y42" s="53" t="s">
        <v>3154</v>
      </c>
      <c r="Z42" s="53"/>
      <c r="AA42" s="53"/>
      <c r="AB42" s="53"/>
      <c r="AC42" s="65"/>
      <c r="AD42" s="65"/>
      <c r="AE42" s="82"/>
      <c r="AF42" s="84"/>
      <c r="AG42" s="82"/>
      <c r="AH42" s="82"/>
      <c r="AI42" s="82"/>
      <c r="AJ42" s="82"/>
      <c r="AK42" s="82"/>
      <c r="AL42" s="86"/>
      <c r="AM42" s="86"/>
      <c r="AN42" s="86"/>
      <c r="AO42" s="86"/>
      <c r="AP42" s="86"/>
      <c r="AQ42" s="86"/>
      <c r="AR42" s="86"/>
      <c r="AS42" s="86"/>
      <c r="AT42" s="44"/>
      <c r="AU42" s="44"/>
      <c r="AV42" s="44"/>
      <c r="AW42" s="44"/>
      <c r="AX42" s="44"/>
      <c r="AY42" s="44"/>
      <c r="AZ42" s="44"/>
      <c r="BA42" s="44"/>
      <c r="BB42" s="44"/>
      <c r="BC42" s="44"/>
      <c r="BD42" s="44"/>
      <c r="BE42" s="44"/>
      <c r="BF42" s="44"/>
      <c r="BG42" s="44"/>
      <c r="BH42" s="44"/>
      <c r="BI42" s="44"/>
      <c r="BJ42" s="44"/>
      <c r="BK42" s="44"/>
      <c r="BL42" s="44"/>
      <c r="BM42" s="44"/>
      <c r="BN42" s="44"/>
      <c r="BO42" s="44"/>
      <c r="BP42" s="44"/>
      <c r="BQ42" s="44"/>
      <c r="BR42" s="44"/>
      <c r="BS42" s="44"/>
    </row>
    <row r="43" spans="1:71" ht="84" customHeight="1">
      <c r="A43" s="49" t="s">
        <v>177</v>
      </c>
      <c r="B43" s="51" t="s">
        <v>3347</v>
      </c>
      <c r="C43" s="51" t="s">
        <v>3145</v>
      </c>
      <c r="D43" s="51" t="s">
        <v>3161</v>
      </c>
      <c r="E43" s="51" t="s">
        <v>3348</v>
      </c>
      <c r="F43" s="51" t="s">
        <v>3148</v>
      </c>
      <c r="G43" s="49" t="s">
        <v>3192</v>
      </c>
      <c r="H43" s="87" t="s">
        <v>3152</v>
      </c>
      <c r="I43" s="43" t="s">
        <v>98</v>
      </c>
      <c r="J43" s="53" t="s">
        <v>3349</v>
      </c>
      <c r="K43" s="82" t="s">
        <v>3151</v>
      </c>
      <c r="L43" s="82" t="s">
        <v>3152</v>
      </c>
      <c r="M43" s="83">
        <v>46246</v>
      </c>
      <c r="N43" s="83"/>
      <c r="O43" s="55">
        <v>150000000</v>
      </c>
      <c r="P43" s="82" t="s">
        <v>270</v>
      </c>
      <c r="Q43" s="82" t="s">
        <v>3152</v>
      </c>
      <c r="R43" s="83" t="s">
        <v>3152</v>
      </c>
      <c r="S43" s="83" t="s">
        <v>3152</v>
      </c>
      <c r="T43" s="83" t="s">
        <v>3152</v>
      </c>
      <c r="U43" s="83" t="s">
        <v>3152</v>
      </c>
      <c r="V43" s="83"/>
      <c r="W43" s="83"/>
      <c r="X43" s="82" t="s">
        <v>3151</v>
      </c>
      <c r="Y43" s="82" t="s">
        <v>3154</v>
      </c>
      <c r="Z43" s="82" t="s">
        <v>3154</v>
      </c>
      <c r="AA43" s="82" t="s">
        <v>3151</v>
      </c>
      <c r="AB43" s="82" t="s">
        <v>3151</v>
      </c>
      <c r="AC43" s="65" t="s">
        <v>3350</v>
      </c>
      <c r="AD43" s="65" t="s">
        <v>3157</v>
      </c>
      <c r="AE43" s="53" t="s">
        <v>3158</v>
      </c>
      <c r="AF43" s="84" t="s">
        <v>3351</v>
      </c>
      <c r="AG43" s="82"/>
      <c r="AH43" s="82"/>
      <c r="AI43" s="53"/>
      <c r="AJ43" s="53"/>
      <c r="AK43" s="82"/>
      <c r="AL43" s="86"/>
      <c r="AM43" s="86"/>
      <c r="AN43" s="86"/>
      <c r="AO43" s="86"/>
      <c r="AP43" s="86"/>
      <c r="AQ43" s="86"/>
      <c r="AR43" s="86"/>
      <c r="AS43" s="86"/>
      <c r="AT43" s="44"/>
      <c r="AU43" s="44"/>
      <c r="AV43" s="44"/>
      <c r="AW43" s="44"/>
      <c r="AX43" s="44"/>
      <c r="AY43" s="44"/>
      <c r="AZ43" s="44"/>
      <c r="BA43" s="44"/>
      <c r="BB43" s="44"/>
      <c r="BC43" s="44"/>
      <c r="BD43" s="44"/>
      <c r="BE43" s="44"/>
      <c r="BF43" s="44"/>
      <c r="BG43" s="44"/>
      <c r="BH43" s="44"/>
      <c r="BI43" s="44"/>
      <c r="BJ43" s="44"/>
      <c r="BK43" s="44"/>
      <c r="BL43" s="44"/>
      <c r="BM43" s="44"/>
      <c r="BN43" s="44"/>
      <c r="BO43" s="44"/>
      <c r="BP43" s="44"/>
      <c r="BQ43" s="44"/>
      <c r="BR43" s="44"/>
      <c r="BS43" s="44"/>
    </row>
    <row r="44" spans="1:71" ht="84" customHeight="1">
      <c r="A44" s="49" t="s">
        <v>177</v>
      </c>
      <c r="B44" s="51" t="s">
        <v>3347</v>
      </c>
      <c r="C44" s="51" t="s">
        <v>3145</v>
      </c>
      <c r="D44" s="51" t="s">
        <v>3146</v>
      </c>
      <c r="E44" s="51" t="s">
        <v>3147</v>
      </c>
      <c r="F44" s="51" t="s">
        <v>3148</v>
      </c>
      <c r="G44" s="49" t="s">
        <v>3313</v>
      </c>
      <c r="H44" s="60" t="s">
        <v>3352</v>
      </c>
      <c r="I44" s="91" t="s">
        <v>45</v>
      </c>
      <c r="J44" s="53" t="s">
        <v>3353</v>
      </c>
      <c r="K44" s="82" t="s">
        <v>3151</v>
      </c>
      <c r="L44" s="82" t="s">
        <v>3152</v>
      </c>
      <c r="M44" s="83">
        <v>46246</v>
      </c>
      <c r="N44" s="83">
        <v>46245</v>
      </c>
      <c r="O44" s="55">
        <v>250000000</v>
      </c>
      <c r="P44" s="82" t="s">
        <v>3151</v>
      </c>
      <c r="Q44" s="82" t="s">
        <v>3151</v>
      </c>
      <c r="R44" s="83">
        <v>46258</v>
      </c>
      <c r="S44" s="57" t="s">
        <v>3354</v>
      </c>
      <c r="T44" s="57"/>
      <c r="U44" s="57"/>
      <c r="V44" s="57"/>
      <c r="W44" s="57"/>
      <c r="X44" s="82" t="s">
        <v>3151</v>
      </c>
      <c r="Y44" s="82" t="s">
        <v>3154</v>
      </c>
      <c r="Z44" s="82" t="s">
        <v>3154</v>
      </c>
      <c r="AA44" s="82" t="s">
        <v>3151</v>
      </c>
      <c r="AB44" s="82" t="s">
        <v>3151</v>
      </c>
      <c r="AC44" s="65" t="s">
        <v>3355</v>
      </c>
      <c r="AD44" s="65" t="s">
        <v>3157</v>
      </c>
      <c r="AE44" s="53" t="s">
        <v>3158</v>
      </c>
      <c r="AF44" s="84" t="s">
        <v>3356</v>
      </c>
      <c r="AG44" s="82"/>
      <c r="AH44" s="82"/>
      <c r="AI44" s="53"/>
      <c r="AJ44" s="53"/>
      <c r="AK44" s="82"/>
      <c r="AL44" s="86"/>
      <c r="AM44" s="86"/>
      <c r="AN44" s="86"/>
      <c r="AO44" s="86"/>
      <c r="AP44" s="86"/>
      <c r="AQ44" s="86"/>
      <c r="AR44" s="86"/>
      <c r="AS44" s="86"/>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row>
    <row r="45" spans="1:71" ht="84" customHeight="1">
      <c r="A45" s="50" t="s">
        <v>177</v>
      </c>
      <c r="B45" s="51" t="s">
        <v>3347</v>
      </c>
      <c r="C45" s="51" t="s">
        <v>3145</v>
      </c>
      <c r="D45" s="51" t="s">
        <v>3161</v>
      </c>
      <c r="E45" s="51" t="s">
        <v>3357</v>
      </c>
      <c r="F45" s="51" t="s">
        <v>3177</v>
      </c>
      <c r="G45" s="80" t="s">
        <v>3313</v>
      </c>
      <c r="H45" s="51" t="s">
        <v>3358</v>
      </c>
      <c r="I45" s="81" t="s">
        <v>45</v>
      </c>
      <c r="J45" s="53" t="s">
        <v>3359</v>
      </c>
      <c r="K45" s="82" t="s">
        <v>3151</v>
      </c>
      <c r="L45" s="82" t="s">
        <v>3152</v>
      </c>
      <c r="M45" s="83">
        <v>46245</v>
      </c>
      <c r="N45" s="83">
        <v>46245</v>
      </c>
      <c r="O45" s="55">
        <v>0</v>
      </c>
      <c r="P45" s="53" t="s">
        <v>3152</v>
      </c>
      <c r="Q45" s="82" t="s">
        <v>3152</v>
      </c>
      <c r="R45" s="83" t="s">
        <v>3152</v>
      </c>
      <c r="S45" s="83" t="s">
        <v>3152</v>
      </c>
      <c r="T45" s="83" t="s">
        <v>3152</v>
      </c>
      <c r="U45" s="83" t="s">
        <v>3152</v>
      </c>
      <c r="V45" s="83"/>
      <c r="W45" s="83"/>
      <c r="X45" s="82" t="s">
        <v>3151</v>
      </c>
      <c r="Y45" s="82" t="s">
        <v>3154</v>
      </c>
      <c r="Z45" s="82" t="s">
        <v>3154</v>
      </c>
      <c r="AA45" s="82" t="s">
        <v>3151</v>
      </c>
      <c r="AB45" s="82" t="s">
        <v>3151</v>
      </c>
      <c r="AC45" s="65" t="s">
        <v>3355</v>
      </c>
      <c r="AD45" s="65" t="s">
        <v>3166</v>
      </c>
      <c r="AE45" s="53" t="s">
        <v>270</v>
      </c>
      <c r="AF45" s="82"/>
      <c r="AG45" s="82"/>
      <c r="AH45" s="82"/>
      <c r="AI45" s="82"/>
      <c r="AJ45" s="82"/>
      <c r="AK45" s="82"/>
      <c r="AL45" s="86"/>
      <c r="AM45" s="86"/>
      <c r="AN45" s="86"/>
      <c r="AO45" s="86"/>
      <c r="AP45" s="86"/>
      <c r="AQ45" s="86"/>
      <c r="AR45" s="86"/>
      <c r="AS45" s="86"/>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row>
    <row r="46" spans="1:71" ht="84" customHeight="1">
      <c r="A46" s="50" t="s">
        <v>177</v>
      </c>
      <c r="B46" s="51" t="s">
        <v>3347</v>
      </c>
      <c r="C46" s="51" t="s">
        <v>3145</v>
      </c>
      <c r="D46" s="51" t="s">
        <v>3161</v>
      </c>
      <c r="E46" s="51" t="s">
        <v>3360</v>
      </c>
      <c r="F46" s="51" t="s">
        <v>3177</v>
      </c>
      <c r="G46" s="80" t="s">
        <v>3192</v>
      </c>
      <c r="H46" s="51" t="s">
        <v>3361</v>
      </c>
      <c r="I46" s="81" t="s">
        <v>98</v>
      </c>
      <c r="J46" s="53" t="s">
        <v>3362</v>
      </c>
      <c r="K46" s="82" t="s">
        <v>3151</v>
      </c>
      <c r="L46" s="82" t="s">
        <v>3152</v>
      </c>
      <c r="M46" s="83">
        <v>46246</v>
      </c>
      <c r="N46" s="83">
        <v>46246</v>
      </c>
      <c r="O46" s="55">
        <v>0</v>
      </c>
      <c r="P46" s="53" t="s">
        <v>3152</v>
      </c>
      <c r="Q46" s="82" t="s">
        <v>3152</v>
      </c>
      <c r="R46" s="83" t="s">
        <v>3152</v>
      </c>
      <c r="S46" s="83" t="s">
        <v>3152</v>
      </c>
      <c r="T46" s="83" t="s">
        <v>3152</v>
      </c>
      <c r="U46" s="83" t="s">
        <v>3152</v>
      </c>
      <c r="V46" s="83"/>
      <c r="W46" s="83"/>
      <c r="X46" s="82" t="s">
        <v>3151</v>
      </c>
      <c r="Y46" s="82" t="s">
        <v>3154</v>
      </c>
      <c r="Z46" s="82" t="s">
        <v>3154</v>
      </c>
      <c r="AA46" s="82" t="s">
        <v>3151</v>
      </c>
      <c r="AB46" s="82" t="s">
        <v>3151</v>
      </c>
      <c r="AC46" s="65" t="s">
        <v>3355</v>
      </c>
      <c r="AD46" s="65" t="s">
        <v>3152</v>
      </c>
      <c r="AE46" s="53" t="s">
        <v>270</v>
      </c>
      <c r="AF46" s="82"/>
      <c r="AG46" s="82"/>
      <c r="AH46" s="82"/>
      <c r="AI46" s="82"/>
      <c r="AJ46" s="82"/>
      <c r="AK46" s="82"/>
      <c r="AL46" s="86"/>
      <c r="AM46" s="86"/>
      <c r="AN46" s="86"/>
      <c r="AO46" s="86"/>
      <c r="AP46" s="86"/>
      <c r="AQ46" s="86"/>
      <c r="AR46" s="86"/>
      <c r="AS46" s="86"/>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row>
    <row r="47" spans="1:71" ht="84" customHeight="1">
      <c r="A47" s="50" t="s">
        <v>67</v>
      </c>
      <c r="B47" s="50" t="s">
        <v>3363</v>
      </c>
      <c r="C47" s="50" t="s">
        <v>3145</v>
      </c>
      <c r="D47" s="50" t="s">
        <v>3161</v>
      </c>
      <c r="E47" s="50" t="s">
        <v>3364</v>
      </c>
      <c r="F47" s="51" t="s">
        <v>3170</v>
      </c>
      <c r="G47" s="49" t="s">
        <v>3365</v>
      </c>
      <c r="H47" s="51" t="s">
        <v>3205</v>
      </c>
      <c r="I47" s="91" t="s">
        <v>62</v>
      </c>
      <c r="J47" s="65" t="s">
        <v>3366</v>
      </c>
      <c r="K47" s="53" t="s">
        <v>270</v>
      </c>
      <c r="L47" s="53" t="s">
        <v>3367</v>
      </c>
      <c r="M47" s="54">
        <v>46246</v>
      </c>
      <c r="N47" s="54"/>
      <c r="O47" s="55">
        <v>0</v>
      </c>
      <c r="P47" s="53" t="s">
        <v>270</v>
      </c>
      <c r="Q47" s="53" t="s">
        <v>3152</v>
      </c>
      <c r="R47" s="54" t="s">
        <v>3152</v>
      </c>
      <c r="S47" s="57" t="s">
        <v>3152</v>
      </c>
      <c r="T47" s="57" t="s">
        <v>3152</v>
      </c>
      <c r="U47" s="57" t="s">
        <v>3152</v>
      </c>
      <c r="V47" s="57" t="s">
        <v>3152</v>
      </c>
      <c r="W47" s="57" t="s">
        <v>3152</v>
      </c>
      <c r="X47" s="53" t="s">
        <v>270</v>
      </c>
      <c r="Y47" s="53" t="s">
        <v>270</v>
      </c>
      <c r="Z47" s="53" t="s">
        <v>270</v>
      </c>
      <c r="AA47" s="53" t="s">
        <v>270</v>
      </c>
      <c r="AB47" s="53" t="s">
        <v>270</v>
      </c>
      <c r="AC47" s="66" t="s">
        <v>3368</v>
      </c>
      <c r="AD47" s="65"/>
      <c r="AE47" s="53" t="s">
        <v>3303</v>
      </c>
      <c r="AF47" s="82"/>
      <c r="AG47" s="82"/>
      <c r="AH47" s="82"/>
      <c r="AI47" s="82"/>
      <c r="AJ47" s="53" t="s">
        <v>3369</v>
      </c>
      <c r="AK47" s="82"/>
      <c r="AL47" s="86"/>
      <c r="AM47" s="86"/>
      <c r="AN47" s="86"/>
      <c r="AO47" s="86"/>
      <c r="AP47" s="86"/>
      <c r="AQ47" s="86"/>
      <c r="AR47" s="86"/>
      <c r="AS47" s="86"/>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row>
    <row r="48" spans="1:71" ht="84" customHeight="1">
      <c r="A48" s="50" t="s">
        <v>67</v>
      </c>
      <c r="B48" s="50" t="s">
        <v>3363</v>
      </c>
      <c r="C48" s="50" t="s">
        <v>3145</v>
      </c>
      <c r="D48" s="50" t="s">
        <v>3161</v>
      </c>
      <c r="E48" s="50" t="s">
        <v>3370</v>
      </c>
      <c r="F48" s="51" t="s">
        <v>3170</v>
      </c>
      <c r="G48" s="49" t="s">
        <v>3192</v>
      </c>
      <c r="H48" s="51" t="s">
        <v>138</v>
      </c>
      <c r="I48" s="81" t="s">
        <v>45</v>
      </c>
      <c r="J48" s="53" t="s">
        <v>3371</v>
      </c>
      <c r="K48" s="53" t="s">
        <v>270</v>
      </c>
      <c r="L48" s="53" t="s">
        <v>3372</v>
      </c>
      <c r="M48" s="54">
        <v>46246</v>
      </c>
      <c r="N48" s="54"/>
      <c r="O48" s="55">
        <v>0</v>
      </c>
      <c r="P48" s="53" t="s">
        <v>270</v>
      </c>
      <c r="Q48" s="53" t="s">
        <v>3152</v>
      </c>
      <c r="R48" s="54" t="s">
        <v>3152</v>
      </c>
      <c r="S48" s="57" t="s">
        <v>3152</v>
      </c>
      <c r="T48" s="57" t="s">
        <v>3152</v>
      </c>
      <c r="U48" s="57" t="s">
        <v>3152</v>
      </c>
      <c r="V48" s="57" t="s">
        <v>3152</v>
      </c>
      <c r="W48" s="57" t="s">
        <v>3152</v>
      </c>
      <c r="X48" s="53" t="s">
        <v>270</v>
      </c>
      <c r="Y48" s="53" t="s">
        <v>270</v>
      </c>
      <c r="Z48" s="53" t="s">
        <v>270</v>
      </c>
      <c r="AA48" s="53" t="s">
        <v>270</v>
      </c>
      <c r="AB48" s="53" t="s">
        <v>270</v>
      </c>
      <c r="AC48" s="65" t="s">
        <v>3373</v>
      </c>
      <c r="AD48" s="65"/>
      <c r="AE48" s="53" t="s">
        <v>3303</v>
      </c>
      <c r="AF48" s="82"/>
      <c r="AG48" s="82"/>
      <c r="AH48" s="82"/>
      <c r="AI48" s="82"/>
      <c r="AJ48" s="53" t="s">
        <v>3369</v>
      </c>
      <c r="AK48" s="82"/>
      <c r="AL48" s="86"/>
      <c r="AM48" s="86"/>
      <c r="AN48" s="86"/>
      <c r="AO48" s="86"/>
      <c r="AP48" s="86"/>
      <c r="AQ48" s="86"/>
      <c r="AR48" s="86"/>
      <c r="AS48" s="86"/>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row>
    <row r="49" spans="1:71" ht="84" customHeight="1">
      <c r="A49" s="49" t="s">
        <v>67</v>
      </c>
      <c r="B49" s="50" t="s">
        <v>3363</v>
      </c>
      <c r="C49" s="51" t="s">
        <v>3145</v>
      </c>
      <c r="D49" s="51" t="s">
        <v>3146</v>
      </c>
      <c r="E49" s="51" t="s">
        <v>3147</v>
      </c>
      <c r="F49" s="80" t="s">
        <v>3148</v>
      </c>
      <c r="G49" s="51" t="s">
        <v>3313</v>
      </c>
      <c r="H49" s="51" t="s">
        <v>138</v>
      </c>
      <c r="I49" s="91" t="s">
        <v>3300</v>
      </c>
      <c r="J49" s="90" t="s">
        <v>3374</v>
      </c>
      <c r="K49" s="53" t="s">
        <v>3375</v>
      </c>
      <c r="L49" s="53" t="s">
        <v>3376</v>
      </c>
      <c r="M49" s="54">
        <v>46246</v>
      </c>
      <c r="N49" s="54"/>
      <c r="O49" s="55">
        <v>300000000</v>
      </c>
      <c r="P49" s="53" t="s">
        <v>3154</v>
      </c>
      <c r="Q49" s="53" t="s">
        <v>3151</v>
      </c>
      <c r="R49" s="54">
        <v>46255</v>
      </c>
      <c r="S49" s="57" t="s">
        <v>3354</v>
      </c>
      <c r="T49" s="57"/>
      <c r="U49" s="57"/>
      <c r="V49" s="57"/>
      <c r="W49" s="57"/>
      <c r="X49" s="53" t="s">
        <v>3151</v>
      </c>
      <c r="Y49" s="53" t="s">
        <v>3154</v>
      </c>
      <c r="Z49" s="53" t="s">
        <v>3151</v>
      </c>
      <c r="AA49" s="53" t="s">
        <v>3154</v>
      </c>
      <c r="AB49" s="53" t="s">
        <v>3154</v>
      </c>
      <c r="AC49" s="66" t="s">
        <v>3368</v>
      </c>
      <c r="AD49" s="65" t="s">
        <v>3157</v>
      </c>
      <c r="AE49" s="53" t="s">
        <v>3158</v>
      </c>
      <c r="AF49" s="84" t="s">
        <v>3377</v>
      </c>
      <c r="AG49" s="82"/>
      <c r="AH49" s="82"/>
      <c r="AI49" s="53"/>
      <c r="AJ49" s="53" t="s">
        <v>3378</v>
      </c>
      <c r="AK49" s="82"/>
      <c r="AL49" s="86"/>
      <c r="AM49" s="86"/>
      <c r="AN49" s="86"/>
      <c r="AO49" s="86"/>
      <c r="AP49" s="86"/>
      <c r="AQ49" s="86"/>
      <c r="AR49" s="86"/>
      <c r="AS49" s="86"/>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row>
    <row r="50" spans="1:71" ht="84" customHeight="1">
      <c r="A50" s="49" t="s">
        <v>67</v>
      </c>
      <c r="B50" s="50" t="s">
        <v>3363</v>
      </c>
      <c r="C50" s="51" t="s">
        <v>3145</v>
      </c>
      <c r="D50" s="51" t="s">
        <v>3161</v>
      </c>
      <c r="E50" s="51" t="s">
        <v>3379</v>
      </c>
      <c r="F50" s="80" t="s">
        <v>3148</v>
      </c>
      <c r="G50" s="50" t="s">
        <v>3192</v>
      </c>
      <c r="H50" s="87" t="s">
        <v>138</v>
      </c>
      <c r="I50" s="91" t="s">
        <v>45</v>
      </c>
      <c r="J50" s="53" t="s">
        <v>3380</v>
      </c>
      <c r="K50" s="53" t="s">
        <v>3151</v>
      </c>
      <c r="L50" s="53" t="s">
        <v>3381</v>
      </c>
      <c r="M50" s="54">
        <v>46246</v>
      </c>
      <c r="N50" s="54"/>
      <c r="O50" s="55">
        <v>300000000</v>
      </c>
      <c r="P50" s="53" t="s">
        <v>3154</v>
      </c>
      <c r="Q50" s="53" t="s">
        <v>270</v>
      </c>
      <c r="R50" s="54"/>
      <c r="S50" s="57" t="s">
        <v>3217</v>
      </c>
      <c r="T50" s="57"/>
      <c r="U50" s="57"/>
      <c r="V50" s="57"/>
      <c r="W50" s="57"/>
      <c r="X50" s="53" t="s">
        <v>3154</v>
      </c>
      <c r="Y50" s="53" t="s">
        <v>3154</v>
      </c>
      <c r="Z50" s="53" t="s">
        <v>3151</v>
      </c>
      <c r="AA50" s="53" t="s">
        <v>3151</v>
      </c>
      <c r="AB50" s="53" t="s">
        <v>270</v>
      </c>
      <c r="AC50" s="66" t="s">
        <v>3368</v>
      </c>
      <c r="AD50" s="65" t="s">
        <v>3157</v>
      </c>
      <c r="AE50" s="53" t="s">
        <v>3158</v>
      </c>
      <c r="AF50" s="84" t="s">
        <v>3382</v>
      </c>
      <c r="AG50" s="82"/>
      <c r="AH50" s="82"/>
      <c r="AI50" s="53"/>
      <c r="AJ50" s="53" t="s">
        <v>3151</v>
      </c>
      <c r="AK50" s="82"/>
      <c r="AL50" s="86"/>
      <c r="AM50" s="86"/>
      <c r="AN50" s="86"/>
      <c r="AO50" s="86"/>
      <c r="AP50" s="86"/>
      <c r="AQ50" s="86"/>
      <c r="AR50" s="86"/>
      <c r="AS50" s="86"/>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row>
    <row r="51" spans="1:71" ht="84" customHeight="1">
      <c r="A51" s="50" t="s">
        <v>67</v>
      </c>
      <c r="B51" s="50" t="s">
        <v>3363</v>
      </c>
      <c r="C51" s="50" t="s">
        <v>3145</v>
      </c>
      <c r="D51" s="50" t="s">
        <v>3161</v>
      </c>
      <c r="E51" s="50" t="s">
        <v>3383</v>
      </c>
      <c r="F51" s="51" t="s">
        <v>3170</v>
      </c>
      <c r="G51" s="50" t="s">
        <v>3298</v>
      </c>
      <c r="H51" s="87" t="s">
        <v>138</v>
      </c>
      <c r="I51" s="91" t="s">
        <v>45</v>
      </c>
      <c r="J51" s="65" t="s">
        <v>3384</v>
      </c>
      <c r="K51" s="53" t="s">
        <v>270</v>
      </c>
      <c r="L51" s="53" t="s">
        <v>3385</v>
      </c>
      <c r="M51" s="54">
        <v>46246</v>
      </c>
      <c r="N51" s="54"/>
      <c r="O51" s="55">
        <v>0</v>
      </c>
      <c r="P51" s="53" t="s">
        <v>270</v>
      </c>
      <c r="Q51" s="53" t="s">
        <v>3152</v>
      </c>
      <c r="R51" s="54" t="s">
        <v>3152</v>
      </c>
      <c r="S51" s="57" t="s">
        <v>3152</v>
      </c>
      <c r="T51" s="57" t="s">
        <v>3152</v>
      </c>
      <c r="U51" s="57" t="s">
        <v>3152</v>
      </c>
      <c r="V51" s="57" t="s">
        <v>3152</v>
      </c>
      <c r="W51" s="57" t="s">
        <v>3152</v>
      </c>
      <c r="X51" s="53" t="s">
        <v>3151</v>
      </c>
      <c r="Y51" s="53" t="s">
        <v>3154</v>
      </c>
      <c r="Z51" s="53" t="s">
        <v>3154</v>
      </c>
      <c r="AA51" s="53" t="s">
        <v>3151</v>
      </c>
      <c r="AB51" s="53" t="s">
        <v>3154</v>
      </c>
      <c r="AC51" s="66" t="s">
        <v>3368</v>
      </c>
      <c r="AD51" s="65"/>
      <c r="AE51" s="53" t="s">
        <v>270</v>
      </c>
      <c r="AF51" s="82"/>
      <c r="AG51" s="82"/>
      <c r="AH51" s="82"/>
      <c r="AI51" s="82"/>
      <c r="AJ51" s="53" t="s">
        <v>3369</v>
      </c>
      <c r="AK51" s="82"/>
      <c r="AL51" s="86"/>
      <c r="AM51" s="86"/>
      <c r="AN51" s="86"/>
      <c r="AO51" s="86"/>
      <c r="AP51" s="86"/>
      <c r="AQ51" s="86"/>
      <c r="AR51" s="86"/>
      <c r="AS51" s="86"/>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row>
    <row r="52" spans="1:71" ht="84" customHeight="1">
      <c r="A52" s="50" t="s">
        <v>67</v>
      </c>
      <c r="B52" s="50" t="s">
        <v>3386</v>
      </c>
      <c r="C52" s="50" t="s">
        <v>3145</v>
      </c>
      <c r="D52" s="50" t="s">
        <v>3161</v>
      </c>
      <c r="E52" s="50" t="s">
        <v>3387</v>
      </c>
      <c r="F52" s="51" t="s">
        <v>3170</v>
      </c>
      <c r="G52" s="49" t="s">
        <v>3192</v>
      </c>
      <c r="H52" s="87" t="s">
        <v>138</v>
      </c>
      <c r="I52" s="91" t="s">
        <v>98</v>
      </c>
      <c r="J52" s="53" t="s">
        <v>3388</v>
      </c>
      <c r="K52" s="53" t="s">
        <v>3151</v>
      </c>
      <c r="L52" s="53" t="s">
        <v>3389</v>
      </c>
      <c r="M52" s="54">
        <v>46246</v>
      </c>
      <c r="N52" s="54"/>
      <c r="O52" s="55">
        <v>0</v>
      </c>
      <c r="P52" s="53" t="s">
        <v>270</v>
      </c>
      <c r="Q52" s="53" t="s">
        <v>3152</v>
      </c>
      <c r="R52" s="54" t="s">
        <v>3152</v>
      </c>
      <c r="S52" s="57" t="s">
        <v>3152</v>
      </c>
      <c r="T52" s="57" t="s">
        <v>3152</v>
      </c>
      <c r="U52" s="57" t="s">
        <v>3152</v>
      </c>
      <c r="V52" s="57" t="s">
        <v>3152</v>
      </c>
      <c r="W52" s="57" t="s">
        <v>3152</v>
      </c>
      <c r="X52" s="53" t="s">
        <v>3151</v>
      </c>
      <c r="Y52" s="53" t="s">
        <v>3154</v>
      </c>
      <c r="Z52" s="53" t="s">
        <v>3154</v>
      </c>
      <c r="AA52" s="53" t="s">
        <v>3151</v>
      </c>
      <c r="AB52" s="53" t="s">
        <v>3154</v>
      </c>
      <c r="AC52" s="66" t="s">
        <v>3368</v>
      </c>
      <c r="AD52" s="65"/>
      <c r="AE52" s="53" t="s">
        <v>270</v>
      </c>
      <c r="AF52" s="82"/>
      <c r="AG52" s="82"/>
      <c r="AH52" s="82"/>
      <c r="AI52" s="82"/>
      <c r="AJ52" s="82" t="s">
        <v>3151</v>
      </c>
      <c r="AK52" s="82"/>
      <c r="AL52" s="86"/>
      <c r="AM52" s="86"/>
      <c r="AN52" s="86"/>
      <c r="AO52" s="86"/>
      <c r="AP52" s="86"/>
      <c r="AQ52" s="86"/>
      <c r="AR52" s="86"/>
      <c r="AS52" s="86"/>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row>
    <row r="53" spans="1:71" ht="84" customHeight="1">
      <c r="A53" s="49" t="s">
        <v>67</v>
      </c>
      <c r="B53" s="50" t="s">
        <v>3363</v>
      </c>
      <c r="C53" s="51" t="s">
        <v>3145</v>
      </c>
      <c r="D53" s="51" t="s">
        <v>3161</v>
      </c>
      <c r="E53" s="51" t="s">
        <v>3390</v>
      </c>
      <c r="F53" s="80" t="s">
        <v>3148</v>
      </c>
      <c r="G53" s="49" t="s">
        <v>3192</v>
      </c>
      <c r="H53" s="87" t="s">
        <v>138</v>
      </c>
      <c r="I53" s="43" t="s">
        <v>98</v>
      </c>
      <c r="J53" s="65" t="s">
        <v>3391</v>
      </c>
      <c r="K53" s="82" t="s">
        <v>3151</v>
      </c>
      <c r="L53" s="53" t="s">
        <v>3392</v>
      </c>
      <c r="M53" s="83">
        <v>46246</v>
      </c>
      <c r="N53" s="83"/>
      <c r="O53" s="55">
        <v>250000000</v>
      </c>
      <c r="P53" s="82" t="s">
        <v>3184</v>
      </c>
      <c r="Q53" s="53" t="s">
        <v>3152</v>
      </c>
      <c r="R53" s="54" t="s">
        <v>3152</v>
      </c>
      <c r="S53" s="57" t="s">
        <v>285</v>
      </c>
      <c r="T53" s="53" t="s">
        <v>3152</v>
      </c>
      <c r="U53" s="54" t="s">
        <v>3152</v>
      </c>
      <c r="V53" s="57" t="s">
        <v>3152</v>
      </c>
      <c r="W53" s="57" t="s">
        <v>3152</v>
      </c>
      <c r="X53" s="82" t="s">
        <v>3151</v>
      </c>
      <c r="Y53" s="82" t="s">
        <v>3154</v>
      </c>
      <c r="Z53" s="82" t="s">
        <v>3154</v>
      </c>
      <c r="AA53" s="82" t="s">
        <v>3154</v>
      </c>
      <c r="AB53" s="82" t="s">
        <v>3154</v>
      </c>
      <c r="AC53" s="66" t="s">
        <v>3368</v>
      </c>
      <c r="AD53" s="65" t="s">
        <v>3157</v>
      </c>
      <c r="AE53" s="53" t="s">
        <v>3158</v>
      </c>
      <c r="AF53" s="84" t="s">
        <v>3393</v>
      </c>
      <c r="AG53" s="82"/>
      <c r="AH53" s="82"/>
      <c r="AI53" s="53"/>
      <c r="AJ53" s="53" t="s">
        <v>3151</v>
      </c>
      <c r="AK53" s="82"/>
      <c r="AL53" s="86"/>
      <c r="AM53" s="86"/>
      <c r="AN53" s="86"/>
      <c r="AO53" s="86"/>
      <c r="AP53" s="86"/>
      <c r="AQ53" s="86"/>
      <c r="AR53" s="86"/>
      <c r="AS53" s="86"/>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row>
    <row r="54" spans="1:71" ht="84" customHeight="1">
      <c r="A54" s="50" t="s">
        <v>67</v>
      </c>
      <c r="B54" s="51" t="s">
        <v>3394</v>
      </c>
      <c r="C54" s="51" t="s">
        <v>3145</v>
      </c>
      <c r="D54" s="51" t="s">
        <v>3161</v>
      </c>
      <c r="E54" s="51" t="s">
        <v>3395</v>
      </c>
      <c r="F54" s="80" t="s">
        <v>3148</v>
      </c>
      <c r="G54" s="49" t="s">
        <v>3192</v>
      </c>
      <c r="H54" s="87" t="s">
        <v>138</v>
      </c>
      <c r="I54" s="81" t="s">
        <v>98</v>
      </c>
      <c r="J54" s="53" t="s">
        <v>3396</v>
      </c>
      <c r="K54" s="82" t="s">
        <v>3151</v>
      </c>
      <c r="L54" s="53" t="s">
        <v>3397</v>
      </c>
      <c r="M54" s="83">
        <v>46247</v>
      </c>
      <c r="N54" s="83"/>
      <c r="O54" s="55">
        <v>50000000</v>
      </c>
      <c r="P54" s="53" t="s">
        <v>3184</v>
      </c>
      <c r="Q54" s="53" t="s">
        <v>3152</v>
      </c>
      <c r="R54" s="54" t="s">
        <v>3152</v>
      </c>
      <c r="S54" s="57" t="s">
        <v>3152</v>
      </c>
      <c r="T54" s="57" t="s">
        <v>3152</v>
      </c>
      <c r="U54" s="57" t="s">
        <v>3152</v>
      </c>
      <c r="V54" s="57" t="s">
        <v>3152</v>
      </c>
      <c r="W54" s="57" t="s">
        <v>3152</v>
      </c>
      <c r="X54" s="82" t="s">
        <v>285</v>
      </c>
      <c r="Y54" s="82" t="s">
        <v>3154</v>
      </c>
      <c r="Z54" s="82" t="s">
        <v>3154</v>
      </c>
      <c r="AA54" s="82" t="s">
        <v>3151</v>
      </c>
      <c r="AB54" s="82" t="s">
        <v>3154</v>
      </c>
      <c r="AC54" s="66" t="s">
        <v>3368</v>
      </c>
      <c r="AD54" s="65"/>
      <c r="AE54" s="53" t="s">
        <v>3398</v>
      </c>
      <c r="AF54" s="84" t="s">
        <v>3399</v>
      </c>
      <c r="AG54" s="82"/>
      <c r="AH54" s="82"/>
      <c r="AI54" s="82"/>
      <c r="AJ54" s="82" t="s">
        <v>3151</v>
      </c>
      <c r="AK54" s="82"/>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row>
    <row r="55" spans="1:71" ht="84" customHeight="1">
      <c r="A55" s="49" t="s">
        <v>67</v>
      </c>
      <c r="B55" s="51" t="s">
        <v>3394</v>
      </c>
      <c r="C55" s="50" t="s">
        <v>3145</v>
      </c>
      <c r="D55" s="51"/>
      <c r="E55" s="51" t="s">
        <v>3400</v>
      </c>
      <c r="F55" s="80" t="s">
        <v>3148</v>
      </c>
      <c r="G55" s="49" t="s">
        <v>3149</v>
      </c>
      <c r="H55" s="87" t="s">
        <v>138</v>
      </c>
      <c r="I55" s="81" t="s">
        <v>45</v>
      </c>
      <c r="J55" s="53" t="s">
        <v>3401</v>
      </c>
      <c r="K55" s="82" t="s">
        <v>50</v>
      </c>
      <c r="L55" s="53" t="s">
        <v>3402</v>
      </c>
      <c r="M55" s="83" t="s">
        <v>3403</v>
      </c>
      <c r="N55" s="83"/>
      <c r="O55" s="55"/>
      <c r="P55" s="53" t="s">
        <v>3184</v>
      </c>
      <c r="Q55" s="82"/>
      <c r="R55" s="83"/>
      <c r="S55" s="57"/>
      <c r="T55" s="57"/>
      <c r="U55" s="57"/>
      <c r="V55" s="57"/>
      <c r="W55" s="57"/>
      <c r="X55" s="82"/>
      <c r="Y55" s="82"/>
      <c r="Z55" s="82"/>
      <c r="AA55" s="82"/>
      <c r="AB55" s="82"/>
      <c r="AC55" s="66" t="s">
        <v>3368</v>
      </c>
      <c r="AD55" s="65"/>
      <c r="AE55" s="53"/>
      <c r="AF55" s="84"/>
      <c r="AG55" s="82"/>
      <c r="AH55" s="82"/>
      <c r="AI55" s="53"/>
      <c r="AJ55" s="53"/>
      <c r="AK55" s="82"/>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row>
    <row r="56" spans="1:71" ht="84" customHeight="1">
      <c r="A56" s="50" t="s">
        <v>67</v>
      </c>
      <c r="B56" s="50" t="s">
        <v>292</v>
      </c>
      <c r="C56" s="50" t="s">
        <v>3145</v>
      </c>
      <c r="D56" s="50" t="s">
        <v>3161</v>
      </c>
      <c r="E56" s="50" t="s">
        <v>3404</v>
      </c>
      <c r="F56" s="51" t="s">
        <v>3170</v>
      </c>
      <c r="G56" s="49" t="s">
        <v>3298</v>
      </c>
      <c r="H56" s="87" t="s">
        <v>138</v>
      </c>
      <c r="I56" s="91" t="s">
        <v>45</v>
      </c>
      <c r="J56" s="65" t="s">
        <v>3405</v>
      </c>
      <c r="K56" s="53" t="s">
        <v>3151</v>
      </c>
      <c r="L56" s="53" t="s">
        <v>3406</v>
      </c>
      <c r="M56" s="54">
        <v>46246</v>
      </c>
      <c r="N56" s="54"/>
      <c r="O56" s="55">
        <v>0</v>
      </c>
      <c r="P56" s="53" t="s">
        <v>270</v>
      </c>
      <c r="Q56" s="53" t="s">
        <v>3152</v>
      </c>
      <c r="R56" s="54" t="s">
        <v>3152</v>
      </c>
      <c r="S56" s="57" t="s">
        <v>3152</v>
      </c>
      <c r="T56" s="57" t="s">
        <v>3152</v>
      </c>
      <c r="U56" s="57"/>
      <c r="V56" s="57"/>
      <c r="W56" s="57"/>
      <c r="X56" s="82" t="s">
        <v>285</v>
      </c>
      <c r="Y56" s="53" t="s">
        <v>3154</v>
      </c>
      <c r="Z56" s="53" t="s">
        <v>3154</v>
      </c>
      <c r="AA56" s="53" t="s">
        <v>3151</v>
      </c>
      <c r="AB56" s="53" t="s">
        <v>270</v>
      </c>
      <c r="AC56" s="66" t="s">
        <v>3368</v>
      </c>
      <c r="AD56" s="65"/>
      <c r="AE56" s="53" t="s">
        <v>270</v>
      </c>
      <c r="AF56" s="84"/>
      <c r="AG56" s="82"/>
      <c r="AH56" s="82"/>
      <c r="AI56" s="82"/>
      <c r="AJ56" s="82" t="s">
        <v>3151</v>
      </c>
      <c r="AK56" s="82"/>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row>
    <row r="57" spans="1:71" ht="84" customHeight="1">
      <c r="A57" s="49" t="s">
        <v>67</v>
      </c>
      <c r="B57" s="50" t="s">
        <v>3407</v>
      </c>
      <c r="C57" s="50" t="s">
        <v>3145</v>
      </c>
      <c r="D57" s="50" t="s">
        <v>3161</v>
      </c>
      <c r="E57" s="50" t="s">
        <v>3408</v>
      </c>
      <c r="F57" s="49" t="s">
        <v>3148</v>
      </c>
      <c r="G57" s="49" t="s">
        <v>3192</v>
      </c>
      <c r="H57" s="60" t="s">
        <v>3409</v>
      </c>
      <c r="I57" s="101" t="s">
        <v>98</v>
      </c>
      <c r="J57" s="53" t="s">
        <v>3410</v>
      </c>
      <c r="K57" s="82" t="s">
        <v>270</v>
      </c>
      <c r="L57" s="53" t="s">
        <v>3411</v>
      </c>
      <c r="M57" s="54">
        <v>46246</v>
      </c>
      <c r="N57" s="54"/>
      <c r="O57" s="55">
        <v>250000000</v>
      </c>
      <c r="P57" s="82" t="s">
        <v>3184</v>
      </c>
      <c r="Q57" s="82"/>
      <c r="R57" s="83"/>
      <c r="S57" s="57"/>
      <c r="T57" s="57"/>
      <c r="U57" s="57"/>
      <c r="V57" s="57"/>
      <c r="W57" s="57"/>
      <c r="X57" s="82" t="s">
        <v>3151</v>
      </c>
      <c r="Y57" s="82" t="s">
        <v>3151</v>
      </c>
      <c r="Z57" s="82" t="s">
        <v>3154</v>
      </c>
      <c r="AA57" s="82" t="s">
        <v>3151</v>
      </c>
      <c r="AB57" s="82" t="s">
        <v>270</v>
      </c>
      <c r="AC57" s="66" t="s">
        <v>3368</v>
      </c>
      <c r="AD57" s="65" t="s">
        <v>3157</v>
      </c>
      <c r="AE57" s="53" t="s">
        <v>3158</v>
      </c>
      <c r="AF57" s="84" t="s">
        <v>3412</v>
      </c>
      <c r="AG57" s="82"/>
      <c r="AH57" s="82"/>
      <c r="AI57" s="53"/>
      <c r="AJ57" s="53" t="s">
        <v>3413</v>
      </c>
      <c r="AK57" s="82"/>
      <c r="AL57" s="86"/>
      <c r="AM57" s="86"/>
      <c r="AN57" s="86"/>
      <c r="AO57" s="86"/>
      <c r="AP57" s="86"/>
      <c r="AQ57" s="86"/>
      <c r="AR57" s="86"/>
      <c r="AS57" s="86"/>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row>
    <row r="58" spans="1:71" ht="84" customHeight="1">
      <c r="A58" s="50" t="s">
        <v>67</v>
      </c>
      <c r="B58" s="51" t="s">
        <v>3414</v>
      </c>
      <c r="C58" s="51" t="s">
        <v>3145</v>
      </c>
      <c r="D58" s="51" t="s">
        <v>3161</v>
      </c>
      <c r="E58" s="51" t="s">
        <v>3415</v>
      </c>
      <c r="F58" s="51" t="s">
        <v>3170</v>
      </c>
      <c r="G58" s="49" t="s">
        <v>3192</v>
      </c>
      <c r="H58" s="60" t="s">
        <v>3409</v>
      </c>
      <c r="I58" s="81" t="s">
        <v>98</v>
      </c>
      <c r="J58" s="53" t="s">
        <v>3416</v>
      </c>
      <c r="K58" s="82" t="s">
        <v>3151</v>
      </c>
      <c r="L58" s="53" t="s">
        <v>3417</v>
      </c>
      <c r="M58" s="54">
        <v>46246</v>
      </c>
      <c r="N58" s="54"/>
      <c r="O58" s="55">
        <v>0</v>
      </c>
      <c r="P58" s="53" t="s">
        <v>270</v>
      </c>
      <c r="Q58" s="53" t="s">
        <v>3152</v>
      </c>
      <c r="R58" s="53" t="s">
        <v>3152</v>
      </c>
      <c r="S58" s="57" t="s">
        <v>3152</v>
      </c>
      <c r="T58" s="57" t="s">
        <v>3152</v>
      </c>
      <c r="U58" s="57"/>
      <c r="V58" s="57"/>
      <c r="W58" s="57"/>
      <c r="X58" s="82" t="s">
        <v>3151</v>
      </c>
      <c r="Y58" s="82" t="s">
        <v>3154</v>
      </c>
      <c r="Z58" s="82" t="s">
        <v>3154</v>
      </c>
      <c r="AA58" s="82" t="s">
        <v>3151</v>
      </c>
      <c r="AB58" s="82" t="s">
        <v>270</v>
      </c>
      <c r="AC58" s="66" t="s">
        <v>3368</v>
      </c>
      <c r="AD58" s="65"/>
      <c r="AE58" s="53" t="s">
        <v>3398</v>
      </c>
      <c r="AF58" s="84" t="s">
        <v>3418</v>
      </c>
      <c r="AG58" s="82"/>
      <c r="AH58" s="82"/>
      <c r="AI58" s="82"/>
      <c r="AJ58" s="82" t="s">
        <v>3151</v>
      </c>
      <c r="AK58" s="82"/>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row>
    <row r="59" spans="1:71" ht="84" customHeight="1">
      <c r="A59" s="50" t="s">
        <v>67</v>
      </c>
      <c r="B59" s="50" t="s">
        <v>3419</v>
      </c>
      <c r="C59" s="50" t="s">
        <v>3145</v>
      </c>
      <c r="D59" s="50" t="s">
        <v>3161</v>
      </c>
      <c r="E59" s="50" t="s">
        <v>3420</v>
      </c>
      <c r="F59" s="51" t="s">
        <v>3170</v>
      </c>
      <c r="G59" s="49" t="s">
        <v>3192</v>
      </c>
      <c r="H59" s="60" t="s">
        <v>3409</v>
      </c>
      <c r="I59" s="43" t="s">
        <v>98</v>
      </c>
      <c r="J59" s="53" t="s">
        <v>3421</v>
      </c>
      <c r="K59" s="82" t="s">
        <v>3154</v>
      </c>
      <c r="L59" s="53" t="s">
        <v>3422</v>
      </c>
      <c r="M59" s="54">
        <v>46246</v>
      </c>
      <c r="N59" s="54"/>
      <c r="O59" s="55">
        <v>0</v>
      </c>
      <c r="P59" s="53" t="s">
        <v>270</v>
      </c>
      <c r="Q59" s="53" t="s">
        <v>3152</v>
      </c>
      <c r="R59" s="53" t="s">
        <v>3152</v>
      </c>
      <c r="S59" s="57" t="s">
        <v>3152</v>
      </c>
      <c r="T59" s="57" t="s">
        <v>3152</v>
      </c>
      <c r="U59" s="57"/>
      <c r="V59" s="57"/>
      <c r="W59" s="57"/>
      <c r="X59" s="82" t="s">
        <v>3151</v>
      </c>
      <c r="Y59" s="82" t="s">
        <v>3154</v>
      </c>
      <c r="Z59" s="82" t="s">
        <v>3154</v>
      </c>
      <c r="AA59" s="82" t="s">
        <v>3154</v>
      </c>
      <c r="AB59" s="82" t="s">
        <v>270</v>
      </c>
      <c r="AC59" s="66" t="s">
        <v>3368</v>
      </c>
      <c r="AD59" s="65"/>
      <c r="AE59" s="53" t="s">
        <v>270</v>
      </c>
      <c r="AF59" s="82"/>
      <c r="AG59" s="82"/>
      <c r="AH59" s="82"/>
      <c r="AI59" s="82"/>
      <c r="AJ59" s="82" t="s">
        <v>3151</v>
      </c>
      <c r="AK59" s="82"/>
      <c r="AL59" s="86"/>
      <c r="AM59" s="86"/>
      <c r="AN59" s="86"/>
      <c r="AO59" s="86"/>
      <c r="AP59" s="86"/>
      <c r="AQ59" s="86"/>
      <c r="AR59" s="86"/>
      <c r="AS59" s="86"/>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row>
    <row r="60" spans="1:71" ht="84" customHeight="1">
      <c r="A60" s="50" t="s">
        <v>67</v>
      </c>
      <c r="B60" s="50" t="s">
        <v>3423</v>
      </c>
      <c r="C60" s="50" t="s">
        <v>3145</v>
      </c>
      <c r="D60" s="50" t="s">
        <v>3161</v>
      </c>
      <c r="E60" s="50" t="s">
        <v>3424</v>
      </c>
      <c r="F60" s="51" t="s">
        <v>3170</v>
      </c>
      <c r="G60" s="49" t="s">
        <v>3192</v>
      </c>
      <c r="H60" s="60" t="s">
        <v>3409</v>
      </c>
      <c r="I60" s="43" t="s">
        <v>98</v>
      </c>
      <c r="J60" s="53" t="s">
        <v>3425</v>
      </c>
      <c r="K60" s="82" t="s">
        <v>3154</v>
      </c>
      <c r="L60" s="53" t="s">
        <v>3426</v>
      </c>
      <c r="M60" s="54">
        <v>46246</v>
      </c>
      <c r="N60" s="54"/>
      <c r="O60" s="55">
        <v>0</v>
      </c>
      <c r="P60" s="53" t="s">
        <v>270</v>
      </c>
      <c r="Q60" s="53" t="s">
        <v>3152</v>
      </c>
      <c r="R60" s="53" t="s">
        <v>3152</v>
      </c>
      <c r="S60" s="57" t="s">
        <v>3152</v>
      </c>
      <c r="T60" s="57" t="s">
        <v>3152</v>
      </c>
      <c r="U60" s="57"/>
      <c r="V60" s="57"/>
      <c r="W60" s="57"/>
      <c r="X60" s="82" t="s">
        <v>3151</v>
      </c>
      <c r="Y60" s="82" t="s">
        <v>3154</v>
      </c>
      <c r="Z60" s="82" t="s">
        <v>3154</v>
      </c>
      <c r="AA60" s="82" t="s">
        <v>3154</v>
      </c>
      <c r="AB60" s="82" t="s">
        <v>270</v>
      </c>
      <c r="AC60" s="66" t="s">
        <v>3368</v>
      </c>
      <c r="AD60" s="65"/>
      <c r="AE60" s="53" t="s">
        <v>270</v>
      </c>
      <c r="AF60" s="82"/>
      <c r="AG60" s="82"/>
      <c r="AH60" s="82"/>
      <c r="AI60" s="82"/>
      <c r="AJ60" s="82" t="s">
        <v>3151</v>
      </c>
      <c r="AK60" s="82"/>
      <c r="AL60" s="86"/>
      <c r="AM60" s="86"/>
      <c r="AN60" s="86"/>
      <c r="AO60" s="86"/>
      <c r="AP60" s="86"/>
      <c r="AQ60" s="86"/>
      <c r="AR60" s="86"/>
      <c r="AS60" s="86"/>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row>
    <row r="61" spans="1:71" ht="84" customHeight="1">
      <c r="A61" s="49" t="s">
        <v>67</v>
      </c>
      <c r="B61" s="50" t="s">
        <v>3407</v>
      </c>
      <c r="C61" s="50" t="s">
        <v>3145</v>
      </c>
      <c r="D61" s="50" t="s">
        <v>3146</v>
      </c>
      <c r="E61" s="50" t="s">
        <v>3427</v>
      </c>
      <c r="F61" s="49" t="s">
        <v>3148</v>
      </c>
      <c r="G61" s="49" t="s">
        <v>3192</v>
      </c>
      <c r="H61" s="60" t="s">
        <v>3409</v>
      </c>
      <c r="I61" s="43" t="s">
        <v>98</v>
      </c>
      <c r="J61" s="53" t="s">
        <v>3428</v>
      </c>
      <c r="K61" s="82" t="s">
        <v>3154</v>
      </c>
      <c r="L61" s="53" t="s">
        <v>3152</v>
      </c>
      <c r="M61" s="54">
        <v>46246</v>
      </c>
      <c r="N61" s="54"/>
      <c r="O61" s="55">
        <v>150000000</v>
      </c>
      <c r="P61" s="82" t="s">
        <v>3184</v>
      </c>
      <c r="Q61" s="82"/>
      <c r="R61" s="83"/>
      <c r="S61" s="57" t="s">
        <v>3152</v>
      </c>
      <c r="T61" s="57" t="s">
        <v>3152</v>
      </c>
      <c r="U61" s="57"/>
      <c r="V61" s="57"/>
      <c r="W61" s="57"/>
      <c r="X61" s="82" t="s">
        <v>3151</v>
      </c>
      <c r="Y61" s="82" t="s">
        <v>3154</v>
      </c>
      <c r="Z61" s="82" t="s">
        <v>3154</v>
      </c>
      <c r="AA61" s="82" t="s">
        <v>3154</v>
      </c>
      <c r="AB61" s="82" t="s">
        <v>270</v>
      </c>
      <c r="AC61" s="66" t="s">
        <v>3368</v>
      </c>
      <c r="AD61" s="65" t="s">
        <v>3157</v>
      </c>
      <c r="AE61" s="53" t="s">
        <v>3429</v>
      </c>
      <c r="AF61" s="82"/>
      <c r="AG61" s="82"/>
      <c r="AH61" s="82"/>
      <c r="AI61" s="53"/>
      <c r="AJ61" s="53" t="s">
        <v>3151</v>
      </c>
      <c r="AK61" s="82"/>
      <c r="AL61" s="86"/>
      <c r="AM61" s="86"/>
      <c r="AN61" s="86"/>
      <c r="AO61" s="86"/>
      <c r="AP61" s="86"/>
      <c r="AQ61" s="86"/>
      <c r="AR61" s="86"/>
      <c r="AS61" s="86"/>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row>
    <row r="62" spans="1:71" ht="84" customHeight="1">
      <c r="A62" s="50" t="s">
        <v>67</v>
      </c>
      <c r="B62" s="50" t="s">
        <v>3430</v>
      </c>
      <c r="C62" s="50" t="s">
        <v>3145</v>
      </c>
      <c r="D62" s="50" t="s">
        <v>3431</v>
      </c>
      <c r="E62" s="50" t="s">
        <v>3432</v>
      </c>
      <c r="F62" s="51" t="s">
        <v>3170</v>
      </c>
      <c r="G62" s="57" t="s">
        <v>3192</v>
      </c>
      <c r="H62" s="87" t="s">
        <v>3152</v>
      </c>
      <c r="I62" s="43" t="s">
        <v>98</v>
      </c>
      <c r="J62" s="65" t="s">
        <v>3433</v>
      </c>
      <c r="K62" s="99" t="s">
        <v>3154</v>
      </c>
      <c r="L62" s="99" t="s">
        <v>3152</v>
      </c>
      <c r="M62" s="99"/>
      <c r="N62" s="99"/>
      <c r="O62" s="55">
        <v>0</v>
      </c>
      <c r="P62" s="65" t="s">
        <v>270</v>
      </c>
      <c r="Q62" s="53" t="s">
        <v>3152</v>
      </c>
      <c r="R62" s="53" t="s">
        <v>3152</v>
      </c>
      <c r="S62" s="57" t="s">
        <v>3152</v>
      </c>
      <c r="T62" s="57" t="s">
        <v>3152</v>
      </c>
      <c r="U62" s="57"/>
      <c r="V62" s="57"/>
      <c r="W62" s="57"/>
      <c r="X62" s="99" t="s">
        <v>3151</v>
      </c>
      <c r="Y62" s="99" t="s">
        <v>3154</v>
      </c>
      <c r="Z62" s="99" t="s">
        <v>3154</v>
      </c>
      <c r="AA62" s="99" t="s">
        <v>3154</v>
      </c>
      <c r="AB62" s="99"/>
      <c r="AC62" s="66" t="s">
        <v>3368</v>
      </c>
      <c r="AD62" s="65"/>
      <c r="AE62" s="65" t="s">
        <v>270</v>
      </c>
      <c r="AF62" s="99"/>
      <c r="AG62" s="99"/>
      <c r="AH62" s="99"/>
      <c r="AI62" s="82"/>
      <c r="AJ62" s="82" t="s">
        <v>3151</v>
      </c>
      <c r="AK62" s="82"/>
      <c r="AL62" s="86"/>
      <c r="AM62" s="86"/>
      <c r="AN62" s="86"/>
      <c r="AO62" s="86"/>
      <c r="AP62" s="86"/>
      <c r="AQ62" s="86"/>
      <c r="AR62" s="86"/>
      <c r="AS62" s="86"/>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row>
    <row r="63" spans="1:71" ht="84" customHeight="1">
      <c r="A63" s="50" t="s">
        <v>67</v>
      </c>
      <c r="B63" s="50" t="s">
        <v>3363</v>
      </c>
      <c r="C63" s="50" t="s">
        <v>3145</v>
      </c>
      <c r="D63" s="50" t="s">
        <v>3146</v>
      </c>
      <c r="E63" s="50" t="s">
        <v>3434</v>
      </c>
      <c r="F63" s="51" t="s">
        <v>3170</v>
      </c>
      <c r="G63" s="57" t="s">
        <v>3435</v>
      </c>
      <c r="H63" s="87" t="s">
        <v>3152</v>
      </c>
      <c r="I63" s="43" t="s">
        <v>98</v>
      </c>
      <c r="J63" s="65" t="s">
        <v>3433</v>
      </c>
      <c r="K63" s="99" t="s">
        <v>3154</v>
      </c>
      <c r="L63" s="99" t="s">
        <v>3152</v>
      </c>
      <c r="M63" s="99"/>
      <c r="N63" s="99"/>
      <c r="O63" s="55">
        <v>0</v>
      </c>
      <c r="P63" s="65" t="s">
        <v>270</v>
      </c>
      <c r="Q63" s="53" t="s">
        <v>3152</v>
      </c>
      <c r="R63" s="53" t="s">
        <v>3152</v>
      </c>
      <c r="S63" s="57" t="s">
        <v>3152</v>
      </c>
      <c r="T63" s="57" t="s">
        <v>3152</v>
      </c>
      <c r="U63" s="57"/>
      <c r="V63" s="57"/>
      <c r="W63" s="57"/>
      <c r="X63" s="99" t="s">
        <v>3151</v>
      </c>
      <c r="Y63" s="99" t="s">
        <v>3154</v>
      </c>
      <c r="Z63" s="99" t="s">
        <v>3154</v>
      </c>
      <c r="AA63" s="99" t="s">
        <v>3154</v>
      </c>
      <c r="AB63" s="99"/>
      <c r="AC63" s="66" t="s">
        <v>3368</v>
      </c>
      <c r="AD63" s="65"/>
      <c r="AE63" s="65" t="s">
        <v>270</v>
      </c>
      <c r="AF63" s="65" t="s">
        <v>71</v>
      </c>
      <c r="AG63" s="99"/>
      <c r="AH63" s="99"/>
      <c r="AI63" s="82"/>
      <c r="AJ63" s="82" t="s">
        <v>3151</v>
      </c>
      <c r="AK63" s="82"/>
      <c r="AL63" s="86"/>
      <c r="AM63" s="86"/>
      <c r="AN63" s="86"/>
      <c r="AO63" s="86"/>
      <c r="AP63" s="86"/>
      <c r="AQ63" s="86"/>
      <c r="AR63" s="86"/>
      <c r="AS63" s="86"/>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row>
  </sheetData>
  <protectedRanges>
    <protectedRange sqref="A1:B1" name="Rango1_1"/>
    <protectedRange sqref="D1" name="Rango1_4"/>
    <protectedRange sqref="B2:D2 F2:F3 A2:A11" name="Rango1_1_1"/>
    <protectedRange sqref="B4:E4" name="Rango1_2"/>
    <protectedRange sqref="G7:H7 G3:G6 B11:G11 B9:E10 G9:H9" name="Rango1_4_1"/>
    <protectedRange sqref="H13" name="Rango1_4_2"/>
    <protectedRange sqref="G13" name="Rango1_1_1_1"/>
    <protectedRange sqref="B16:E16 H16" name="Rango1_1_1_2"/>
    <protectedRange sqref="H17:H18" name="Rango1_1_1_3"/>
    <protectedRange sqref="H19" name="Rango1_4_3"/>
    <protectedRange sqref="B21:E21" name="Rango1_5"/>
    <protectedRange sqref="H20:H21" name="Rango1_1_1_4"/>
    <protectedRange sqref="D22 H22" name="Rango1_4_4"/>
    <protectedRange sqref="G22" name="Rango1_1_1_5"/>
    <protectedRange sqref="H23" name="Rango1_1_1_6"/>
    <protectedRange sqref="H24" name="Rango1_1_1_7"/>
    <protectedRange sqref="H25" name="Rango1_4_5"/>
    <protectedRange sqref="G25 Y25:AB25 J25:N25 P25:W25" name="Rango1_1_1_8"/>
    <protectedRange sqref="H27" name="Rango1_4_6"/>
    <protectedRange sqref="G27 Z27:AB27" name="Rango1_1_1_9"/>
    <protectedRange sqref="H28" name="Rango1_4_7"/>
    <protectedRange sqref="Z28:AB28" name="Rango1_1_1_10"/>
    <protectedRange sqref="A29:H29" name="Rango1_6"/>
    <protectedRange sqref="G30:H30 A30" name="Rango1_6_1"/>
    <protectedRange sqref="G33" name="Rango1_1_1_11"/>
    <protectedRange sqref="B33:E33" name="Rango1_13"/>
    <protectedRange sqref="H36" name="Rango1_4_8"/>
    <protectedRange sqref="H38:H39" name="Rango1_4_9"/>
    <protectedRange sqref="B39:E39" name="Rango1_22"/>
    <protectedRange sqref="B41:F41 B40:E40 B42:E42" name="Rango1_22_1"/>
    <protectedRange sqref="H43:H44" name="Rango1_4_10"/>
    <protectedRange sqref="G43:G44" name="Rango1_1_1_12"/>
    <protectedRange sqref="A43:A45" name="Rango1_10"/>
    <protectedRange sqref="A46" name="Rango1_10_1"/>
    <protectedRange sqref="A47:E48 G47:G48" name="Rango1_17"/>
    <protectedRange sqref="H50" name="Rango1_4_11"/>
    <protectedRange sqref="G50" name="Rango1_1_1_13"/>
    <protectedRange sqref="A49:B50" name="Rango1_17_1"/>
    <protectedRange sqref="H51:H57" name="Rango1_4_12"/>
    <protectedRange sqref="G51:G57" name="Rango1_1_1_14"/>
    <protectedRange sqref="B57:F57 C55 B51:E52 B53 A51:A57 B56:E56" name="Rango1_17_2"/>
    <protectedRange sqref="H58:H61" name="Rango1_4_13"/>
    <protectedRange sqref="G58:G61" name="Rango1_1_1_15"/>
    <protectedRange sqref="B61:F61 A58:A61 B59:E60" name="Rango1_17_3"/>
    <protectedRange sqref="H62:H63" name="Rango1_4_14"/>
    <protectedRange sqref="B62:E62 C63:E63" name="Rango1_14"/>
    <protectedRange sqref="B63 A62:A63" name="Rango1_17_4"/>
  </protectedRanges>
  <autoFilter ref="A1:BS1" xr:uid="{E29AB3BC-E687-48F6-B581-C5DF0EC4E6F1}"/>
  <conditionalFormatting sqref="I2:I24 I26:I63">
    <cfRule type="containsText" dxfId="19" priority="6" operator="containsText" text="LEVE">
      <formula>NOT(ISERROR(SEARCH("LEVE",I2)))</formula>
    </cfRule>
    <cfRule type="containsText" dxfId="18" priority="7" operator="containsText" text="MODERADO">
      <formula>NOT(ISERROR(SEARCH("MODERADO",I2)))</formula>
    </cfRule>
    <cfRule type="containsText" dxfId="17" priority="8" operator="containsText" text="COLAPSO">
      <formula>NOT(ISERROR(SEARCH("COLAPSO",I2)))</formula>
    </cfRule>
    <cfRule type="containsText" dxfId="16" priority="9" operator="containsText" text="SEVERO">
      <formula>NOT(ISERROR(SEARCH("SEVERO",I2)))</formula>
    </cfRule>
    <cfRule type="cellIs" dxfId="15" priority="10" operator="greaterThan">
      <formula>"FUERTE"</formula>
    </cfRule>
  </conditionalFormatting>
  <conditionalFormatting sqref="I19:I21 I23:I24 I62:I63">
    <cfRule type="containsText" dxfId="14" priority="1" operator="containsText" text="LEVE">
      <formula>NOT(ISERROR(SEARCH("LEVE",I19)))</formula>
    </cfRule>
    <cfRule type="containsText" dxfId="13" priority="2" operator="containsText" text="MODERADO">
      <formula>NOT(ISERROR(SEARCH("MODERADO",I19)))</formula>
    </cfRule>
    <cfRule type="containsText" dxfId="12" priority="3" operator="containsText" text="COLAPSO">
      <formula>NOT(ISERROR(SEARCH("COLAPSO",I19)))</formula>
    </cfRule>
    <cfRule type="containsText" dxfId="11" priority="4" operator="containsText" text="SEVERO">
      <formula>NOT(ISERROR(SEARCH("SEVERO",I19)))</formula>
    </cfRule>
    <cfRule type="cellIs" dxfId="10" priority="5" operator="greaterThan">
      <formula>"FUERTE"</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5A8D5-B48E-4D88-B5C8-A71F25684288}">
  <dimension ref="A1:J6"/>
  <sheetViews>
    <sheetView workbookViewId="0">
      <selection activeCell="C3" sqref="C3"/>
    </sheetView>
  </sheetViews>
  <sheetFormatPr baseColWidth="10" defaultColWidth="11.42578125" defaultRowHeight="15"/>
  <cols>
    <col min="1" max="2" width="20" style="40" customWidth="1"/>
    <col min="3" max="3" width="30.42578125" style="40" customWidth="1"/>
    <col min="4" max="4" width="20" style="44" customWidth="1"/>
    <col min="5" max="5" width="35.28515625" style="40" customWidth="1"/>
    <col min="6" max="6" width="20" style="44" customWidth="1"/>
    <col min="7" max="7" width="45.5703125" style="40" customWidth="1"/>
    <col min="8" max="8" width="38.7109375" style="40" customWidth="1"/>
    <col min="9" max="9" width="39.5703125" style="40" customWidth="1"/>
    <col min="10" max="10" width="47.7109375" style="40" customWidth="1"/>
    <col min="11" max="16384" width="11.42578125" style="40"/>
  </cols>
  <sheetData>
    <row r="1" spans="1:10" ht="45">
      <c r="A1" s="37" t="s">
        <v>3079</v>
      </c>
      <c r="B1" s="38" t="s">
        <v>394</v>
      </c>
      <c r="C1" s="39" t="s">
        <v>3080</v>
      </c>
      <c r="D1" s="39" t="s">
        <v>3081</v>
      </c>
      <c r="E1" s="39" t="s">
        <v>3082</v>
      </c>
      <c r="F1" s="39" t="s">
        <v>3083</v>
      </c>
      <c r="G1" s="39" t="s">
        <v>3084</v>
      </c>
      <c r="H1" s="39" t="s">
        <v>3085</v>
      </c>
      <c r="I1" s="39" t="s">
        <v>3086</v>
      </c>
      <c r="J1" s="39" t="s">
        <v>3087</v>
      </c>
    </row>
    <row r="2" spans="1:10" ht="65.25" customHeight="1">
      <c r="A2" s="41" t="s">
        <v>3088</v>
      </c>
      <c r="B2" s="41" t="s">
        <v>3089</v>
      </c>
      <c r="C2" s="42" t="s">
        <v>3090</v>
      </c>
      <c r="D2" s="43" t="s">
        <v>3091</v>
      </c>
      <c r="E2" s="41" t="s">
        <v>3092</v>
      </c>
      <c r="F2" s="43" t="s">
        <v>3093</v>
      </c>
      <c r="G2" s="42" t="s">
        <v>3094</v>
      </c>
      <c r="H2" s="42" t="s">
        <v>3095</v>
      </c>
      <c r="I2" s="42" t="s">
        <v>3096</v>
      </c>
      <c r="J2" s="42" t="s">
        <v>3097</v>
      </c>
    </row>
    <row r="3" spans="1:10" ht="65.25" customHeight="1">
      <c r="A3" s="41" t="s">
        <v>3088</v>
      </c>
      <c r="B3" s="41" t="s">
        <v>3098</v>
      </c>
      <c r="C3" s="41" t="s">
        <v>3090</v>
      </c>
      <c r="D3" s="43" t="s">
        <v>3091</v>
      </c>
      <c r="E3" s="41" t="s">
        <v>3099</v>
      </c>
      <c r="F3" s="43" t="s">
        <v>3100</v>
      </c>
      <c r="G3" s="42" t="s">
        <v>3101</v>
      </c>
      <c r="H3" s="42" t="s">
        <v>3102</v>
      </c>
      <c r="I3" s="42" t="s">
        <v>3096</v>
      </c>
      <c r="J3" s="42" t="s">
        <v>3103</v>
      </c>
    </row>
    <row r="4" spans="1:10" ht="65.25" customHeight="1">
      <c r="A4" s="41" t="s">
        <v>3088</v>
      </c>
      <c r="B4" s="41" t="s">
        <v>1650</v>
      </c>
      <c r="C4" s="41" t="s">
        <v>3090</v>
      </c>
      <c r="D4" s="43" t="s">
        <v>3091</v>
      </c>
      <c r="E4" s="41" t="s">
        <v>3104</v>
      </c>
      <c r="F4" s="43" t="s">
        <v>3093</v>
      </c>
      <c r="G4" s="42" t="s">
        <v>3105</v>
      </c>
      <c r="H4" s="42" t="s">
        <v>3095</v>
      </c>
      <c r="I4" s="42" t="s">
        <v>3106</v>
      </c>
      <c r="J4" s="42" t="s">
        <v>3107</v>
      </c>
    </row>
    <row r="5" spans="1:10" ht="65.25" customHeight="1">
      <c r="A5" s="41" t="s">
        <v>3088</v>
      </c>
      <c r="B5" s="41" t="s">
        <v>185</v>
      </c>
      <c r="C5" s="41" t="s">
        <v>3090</v>
      </c>
      <c r="D5" s="43" t="s">
        <v>3108</v>
      </c>
      <c r="E5" s="41" t="s">
        <v>3109</v>
      </c>
      <c r="F5" s="43" t="s">
        <v>3100</v>
      </c>
      <c r="G5" s="42" t="s">
        <v>3110</v>
      </c>
      <c r="H5" s="42" t="s">
        <v>3111</v>
      </c>
      <c r="I5" s="42" t="s">
        <v>3096</v>
      </c>
      <c r="J5" s="42" t="s">
        <v>3112</v>
      </c>
    </row>
    <row r="6" spans="1:10">
      <c r="A6" s="41"/>
      <c r="B6" s="41"/>
      <c r="C6" s="41"/>
      <c r="D6" s="43"/>
      <c r="E6" s="41"/>
      <c r="F6" s="43"/>
      <c r="G6" s="41"/>
      <c r="H6" s="41"/>
      <c r="I6" s="41"/>
      <c r="J6" s="4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BC715-0938-4CCD-9BAB-7195D28CC9C1}">
  <dimension ref="A1:M3449"/>
  <sheetViews>
    <sheetView workbookViewId="0">
      <selection activeCell="B1" sqref="B1"/>
    </sheetView>
  </sheetViews>
  <sheetFormatPr baseColWidth="10" defaultColWidth="8.85546875" defaultRowHeight="15"/>
  <cols>
    <col min="1" max="1" width="16" bestFit="1" customWidth="1"/>
    <col min="2" max="2" width="21.140625" customWidth="1"/>
    <col min="3" max="3" width="52.7109375" bestFit="1" customWidth="1"/>
    <col min="4" max="4" width="19.42578125" style="29" customWidth="1"/>
    <col min="5" max="5" width="78.5703125" style="29" bestFit="1" customWidth="1"/>
    <col min="6" max="6" width="23.7109375" style="29" bestFit="1" customWidth="1"/>
    <col min="8" max="8" width="14.140625" bestFit="1" customWidth="1"/>
    <col min="9" max="9" width="37" bestFit="1" customWidth="1"/>
    <col min="10" max="10" width="21.7109375" bestFit="1" customWidth="1"/>
    <col min="11" max="11" width="21.7109375" customWidth="1"/>
    <col min="12" max="12" width="255.7109375" bestFit="1" customWidth="1"/>
  </cols>
  <sheetData>
    <row r="1" spans="1:12" ht="75">
      <c r="A1" s="25" t="s">
        <v>306</v>
      </c>
      <c r="B1" s="25" t="s">
        <v>307</v>
      </c>
      <c r="C1" s="25" t="s">
        <v>308</v>
      </c>
      <c r="D1" s="26" t="s">
        <v>309</v>
      </c>
      <c r="E1" s="27" t="s">
        <v>310</v>
      </c>
      <c r="F1" s="27" t="s">
        <v>311</v>
      </c>
      <c r="G1" s="25" t="s">
        <v>312</v>
      </c>
      <c r="H1" s="25" t="s">
        <v>313</v>
      </c>
      <c r="I1" s="25" t="s">
        <v>314</v>
      </c>
      <c r="J1" s="25" t="s">
        <v>315</v>
      </c>
      <c r="K1" s="25" t="s">
        <v>316</v>
      </c>
      <c r="L1" s="25" t="s">
        <v>317</v>
      </c>
    </row>
    <row r="2" spans="1:12">
      <c r="A2" t="s">
        <v>318</v>
      </c>
      <c r="B2" t="s">
        <v>319</v>
      </c>
      <c r="C2" t="s">
        <v>320</v>
      </c>
      <c r="D2" s="28">
        <v>761091155799</v>
      </c>
      <c r="E2" s="29" t="s">
        <v>321</v>
      </c>
      <c r="F2" s="29" t="s">
        <v>322</v>
      </c>
      <c r="G2">
        <v>15</v>
      </c>
      <c r="H2" t="s">
        <v>323</v>
      </c>
      <c r="I2" t="s">
        <v>324</v>
      </c>
      <c r="J2" t="s">
        <v>325</v>
      </c>
      <c r="K2" t="s">
        <v>326</v>
      </c>
      <c r="L2" t="s">
        <v>327</v>
      </c>
    </row>
    <row r="3" spans="1:12">
      <c r="A3" t="s">
        <v>318</v>
      </c>
      <c r="B3" t="s">
        <v>319</v>
      </c>
      <c r="C3" t="s">
        <v>328</v>
      </c>
      <c r="D3" s="28">
        <v>761091155800</v>
      </c>
      <c r="E3" s="29" t="s">
        <v>329</v>
      </c>
      <c r="F3" s="29" t="s">
        <v>322</v>
      </c>
      <c r="G3">
        <v>20</v>
      </c>
      <c r="H3" t="s">
        <v>323</v>
      </c>
      <c r="I3" t="s">
        <v>324</v>
      </c>
      <c r="J3" t="s">
        <v>325</v>
      </c>
      <c r="K3" t="s">
        <v>326</v>
      </c>
      <c r="L3" t="s">
        <v>327</v>
      </c>
    </row>
    <row r="4" spans="1:12">
      <c r="A4" t="s">
        <v>318</v>
      </c>
      <c r="B4" t="s">
        <v>319</v>
      </c>
      <c r="C4" t="s">
        <v>330</v>
      </c>
      <c r="D4" s="28">
        <v>761091155801</v>
      </c>
      <c r="E4" s="29" t="s">
        <v>329</v>
      </c>
      <c r="F4" s="29" t="s">
        <v>322</v>
      </c>
      <c r="G4">
        <v>20</v>
      </c>
      <c r="H4" t="s">
        <v>323</v>
      </c>
      <c r="I4" t="s">
        <v>45</v>
      </c>
      <c r="J4" t="s">
        <v>325</v>
      </c>
      <c r="K4" t="s">
        <v>326</v>
      </c>
      <c r="L4" t="s">
        <v>327</v>
      </c>
    </row>
    <row r="5" spans="1:12">
      <c r="A5" t="s">
        <v>318</v>
      </c>
      <c r="B5" t="s">
        <v>319</v>
      </c>
      <c r="C5" t="s">
        <v>331</v>
      </c>
      <c r="D5" s="28">
        <v>761091155802</v>
      </c>
      <c r="E5" s="29" t="s">
        <v>329</v>
      </c>
      <c r="F5" s="29" t="s">
        <v>322</v>
      </c>
      <c r="G5">
        <v>20</v>
      </c>
      <c r="H5" t="s">
        <v>323</v>
      </c>
      <c r="I5" t="s">
        <v>324</v>
      </c>
      <c r="J5" t="s">
        <v>325</v>
      </c>
      <c r="K5" t="s">
        <v>326</v>
      </c>
      <c r="L5" t="s">
        <v>327</v>
      </c>
    </row>
    <row r="6" spans="1:12">
      <c r="A6" t="s">
        <v>318</v>
      </c>
      <c r="B6" t="s">
        <v>319</v>
      </c>
      <c r="C6" t="s">
        <v>332</v>
      </c>
      <c r="D6" s="28">
        <v>761091155803</v>
      </c>
      <c r="E6" s="29" t="s">
        <v>329</v>
      </c>
      <c r="F6" s="29" t="s">
        <v>322</v>
      </c>
      <c r="G6">
        <v>20</v>
      </c>
      <c r="H6" t="s">
        <v>323</v>
      </c>
      <c r="I6" t="s">
        <v>324</v>
      </c>
      <c r="J6" t="s">
        <v>325</v>
      </c>
      <c r="K6" t="s">
        <v>326</v>
      </c>
      <c r="L6" t="s">
        <v>327</v>
      </c>
    </row>
    <row r="7" spans="1:12">
      <c r="A7" t="s">
        <v>318</v>
      </c>
      <c r="B7" t="s">
        <v>319</v>
      </c>
      <c r="C7" t="s">
        <v>333</v>
      </c>
      <c r="D7" s="28">
        <v>761091155804</v>
      </c>
      <c r="E7" s="29" t="s">
        <v>329</v>
      </c>
      <c r="F7" s="29" t="s">
        <v>322</v>
      </c>
      <c r="G7">
        <v>20</v>
      </c>
      <c r="H7" t="s">
        <v>323</v>
      </c>
      <c r="I7" t="s">
        <v>45</v>
      </c>
      <c r="J7" t="s">
        <v>325</v>
      </c>
      <c r="K7" t="s">
        <v>326</v>
      </c>
      <c r="L7" t="s">
        <v>327</v>
      </c>
    </row>
    <row r="8" spans="1:12">
      <c r="A8" t="s">
        <v>318</v>
      </c>
      <c r="B8" t="s">
        <v>319</v>
      </c>
      <c r="C8" t="s">
        <v>334</v>
      </c>
      <c r="D8" s="28">
        <v>761091155806</v>
      </c>
      <c r="E8" s="29" t="s">
        <v>329</v>
      </c>
      <c r="F8" s="29" t="s">
        <v>322</v>
      </c>
      <c r="G8">
        <v>20</v>
      </c>
      <c r="H8" t="s">
        <v>323</v>
      </c>
      <c r="I8" t="s">
        <v>324</v>
      </c>
      <c r="J8" t="s">
        <v>325</v>
      </c>
      <c r="K8" t="s">
        <v>326</v>
      </c>
      <c r="L8" t="s">
        <v>327</v>
      </c>
    </row>
    <row r="9" spans="1:12">
      <c r="A9" t="s">
        <v>318</v>
      </c>
      <c r="B9" t="s">
        <v>319</v>
      </c>
      <c r="C9" t="s">
        <v>335</v>
      </c>
      <c r="D9" s="28">
        <v>761091155807</v>
      </c>
      <c r="E9" s="29" t="s">
        <v>329</v>
      </c>
      <c r="F9" s="29" t="s">
        <v>322</v>
      </c>
      <c r="G9">
        <v>20</v>
      </c>
      <c r="H9" t="s">
        <v>323</v>
      </c>
      <c r="I9" t="s">
        <v>324</v>
      </c>
      <c r="J9" t="s">
        <v>325</v>
      </c>
      <c r="K9" t="s">
        <v>326</v>
      </c>
      <c r="L9" t="s">
        <v>327</v>
      </c>
    </row>
    <row r="10" spans="1:12">
      <c r="A10" t="s">
        <v>318</v>
      </c>
      <c r="B10" t="s">
        <v>319</v>
      </c>
      <c r="C10" t="s">
        <v>336</v>
      </c>
      <c r="D10" s="28">
        <v>7610900073598</v>
      </c>
      <c r="E10" s="29" t="s">
        <v>329</v>
      </c>
      <c r="F10" s="29" t="s">
        <v>322</v>
      </c>
      <c r="G10">
        <v>21</v>
      </c>
      <c r="H10" t="s">
        <v>323</v>
      </c>
      <c r="I10" t="s">
        <v>45</v>
      </c>
      <c r="J10" t="s">
        <v>325</v>
      </c>
      <c r="K10" t="s">
        <v>337</v>
      </c>
      <c r="L10" t="s">
        <v>327</v>
      </c>
    </row>
    <row r="11" spans="1:12">
      <c r="A11" t="s">
        <v>318</v>
      </c>
      <c r="B11" t="s">
        <v>319</v>
      </c>
      <c r="C11" t="s">
        <v>338</v>
      </c>
      <c r="D11" s="28">
        <v>7610900073601</v>
      </c>
      <c r="E11" s="29" t="s">
        <v>329</v>
      </c>
      <c r="F11" s="29" t="s">
        <v>322</v>
      </c>
      <c r="G11">
        <v>16</v>
      </c>
      <c r="H11" t="s">
        <v>323</v>
      </c>
      <c r="I11" t="s">
        <v>45</v>
      </c>
      <c r="J11" t="s">
        <v>325</v>
      </c>
      <c r="K11" t="s">
        <v>337</v>
      </c>
      <c r="L11" t="s">
        <v>327</v>
      </c>
    </row>
    <row r="12" spans="1:12">
      <c r="A12" t="s">
        <v>318</v>
      </c>
      <c r="B12" t="s">
        <v>319</v>
      </c>
      <c r="C12" t="s">
        <v>339</v>
      </c>
      <c r="D12" s="28">
        <v>7610900073663</v>
      </c>
      <c r="E12" s="29" t="s">
        <v>329</v>
      </c>
      <c r="F12" s="29" t="s">
        <v>322</v>
      </c>
      <c r="G12">
        <v>10</v>
      </c>
      <c r="H12" t="s">
        <v>323</v>
      </c>
      <c r="I12" t="s">
        <v>45</v>
      </c>
      <c r="J12" t="s">
        <v>325</v>
      </c>
      <c r="K12" t="s">
        <v>337</v>
      </c>
      <c r="L12" t="s">
        <v>327</v>
      </c>
    </row>
    <row r="13" spans="1:12">
      <c r="A13" t="s">
        <v>318</v>
      </c>
      <c r="B13" t="s">
        <v>319</v>
      </c>
      <c r="C13" t="s">
        <v>340</v>
      </c>
      <c r="D13" s="28">
        <v>7610900073675</v>
      </c>
      <c r="E13" s="29" t="s">
        <v>329</v>
      </c>
      <c r="F13" s="29" t="s">
        <v>322</v>
      </c>
      <c r="G13">
        <v>14</v>
      </c>
      <c r="H13" t="s">
        <v>323</v>
      </c>
      <c r="I13" t="s">
        <v>45</v>
      </c>
      <c r="J13" t="s">
        <v>325</v>
      </c>
      <c r="K13" t="s">
        <v>337</v>
      </c>
      <c r="L13" t="s">
        <v>327</v>
      </c>
    </row>
    <row r="14" spans="1:12">
      <c r="A14" t="s">
        <v>318</v>
      </c>
      <c r="B14" t="s">
        <v>319</v>
      </c>
      <c r="C14" t="s">
        <v>341</v>
      </c>
      <c r="D14" s="28">
        <v>7610900073681</v>
      </c>
      <c r="E14" s="29" t="s">
        <v>329</v>
      </c>
      <c r="F14" s="29" t="s">
        <v>322</v>
      </c>
      <c r="G14">
        <v>22</v>
      </c>
      <c r="H14" t="s">
        <v>323</v>
      </c>
      <c r="I14" t="s">
        <v>45</v>
      </c>
      <c r="J14" t="s">
        <v>325</v>
      </c>
      <c r="K14" t="s">
        <v>337</v>
      </c>
      <c r="L14" t="s">
        <v>327</v>
      </c>
    </row>
    <row r="15" spans="1:12">
      <c r="A15" t="s">
        <v>318</v>
      </c>
      <c r="B15" t="s">
        <v>319</v>
      </c>
      <c r="C15" t="s">
        <v>342</v>
      </c>
      <c r="D15" s="28">
        <v>7610900073685</v>
      </c>
      <c r="E15" s="29" t="s">
        <v>329</v>
      </c>
      <c r="F15" s="29" t="s">
        <v>322</v>
      </c>
      <c r="G15">
        <v>21</v>
      </c>
      <c r="H15" t="s">
        <v>323</v>
      </c>
      <c r="I15" t="s">
        <v>45</v>
      </c>
      <c r="J15" t="s">
        <v>325</v>
      </c>
      <c r="K15" t="s">
        <v>337</v>
      </c>
      <c r="L15" t="s">
        <v>327</v>
      </c>
    </row>
    <row r="16" spans="1:12">
      <c r="A16" t="s">
        <v>318</v>
      </c>
      <c r="B16" t="s">
        <v>319</v>
      </c>
      <c r="C16" t="s">
        <v>343</v>
      </c>
      <c r="D16" s="28">
        <v>7610900073704</v>
      </c>
      <c r="E16" s="29" t="s">
        <v>329</v>
      </c>
      <c r="F16" s="29" t="s">
        <v>322</v>
      </c>
      <c r="G16">
        <v>18</v>
      </c>
      <c r="H16" t="s">
        <v>323</v>
      </c>
      <c r="I16" t="s">
        <v>45</v>
      </c>
      <c r="J16" t="s">
        <v>325</v>
      </c>
      <c r="K16" t="s">
        <v>337</v>
      </c>
      <c r="L16" t="s">
        <v>327</v>
      </c>
    </row>
    <row r="17" spans="1:12">
      <c r="A17" t="s">
        <v>318</v>
      </c>
      <c r="B17" t="s">
        <v>319</v>
      </c>
      <c r="C17" t="s">
        <v>344</v>
      </c>
      <c r="D17" s="28">
        <v>7610900073715</v>
      </c>
      <c r="E17" s="29" t="s">
        <v>329</v>
      </c>
      <c r="F17" s="29" t="s">
        <v>322</v>
      </c>
      <c r="G17">
        <v>26</v>
      </c>
      <c r="H17" t="s">
        <v>323</v>
      </c>
      <c r="I17" t="s">
        <v>45</v>
      </c>
      <c r="J17" t="s">
        <v>325</v>
      </c>
      <c r="K17" t="s">
        <v>337</v>
      </c>
      <c r="L17" t="s">
        <v>327</v>
      </c>
    </row>
    <row r="18" spans="1:12">
      <c r="A18" t="s">
        <v>318</v>
      </c>
      <c r="B18" t="s">
        <v>319</v>
      </c>
      <c r="C18" t="s">
        <v>345</v>
      </c>
      <c r="D18" s="28">
        <v>7610900079443</v>
      </c>
      <c r="E18" s="29" t="s">
        <v>329</v>
      </c>
      <c r="F18" s="29" t="s">
        <v>322</v>
      </c>
      <c r="G18">
        <v>23</v>
      </c>
      <c r="H18" t="s">
        <v>323</v>
      </c>
      <c r="I18" t="s">
        <v>45</v>
      </c>
      <c r="J18" t="s">
        <v>325</v>
      </c>
      <c r="K18" t="s">
        <v>337</v>
      </c>
      <c r="L18" t="s">
        <v>327</v>
      </c>
    </row>
    <row r="19" spans="1:12">
      <c r="A19" t="s">
        <v>318</v>
      </c>
      <c r="B19" t="s">
        <v>319</v>
      </c>
      <c r="C19" t="s">
        <v>346</v>
      </c>
      <c r="D19" s="28">
        <v>7610900079446</v>
      </c>
      <c r="E19" s="29" t="s">
        <v>329</v>
      </c>
      <c r="F19" s="29" t="s">
        <v>322</v>
      </c>
      <c r="G19">
        <v>14</v>
      </c>
      <c r="H19" t="s">
        <v>323</v>
      </c>
      <c r="I19" t="s">
        <v>45</v>
      </c>
      <c r="J19" t="s">
        <v>325</v>
      </c>
      <c r="K19" t="s">
        <v>337</v>
      </c>
      <c r="L19" t="s">
        <v>327</v>
      </c>
    </row>
    <row r="20" spans="1:12">
      <c r="A20" t="s">
        <v>318</v>
      </c>
      <c r="B20" t="s">
        <v>319</v>
      </c>
      <c r="C20" t="s">
        <v>347</v>
      </c>
      <c r="D20" s="28">
        <v>7610900079461</v>
      </c>
      <c r="E20" s="29" t="s">
        <v>329</v>
      </c>
      <c r="F20" s="29" t="s">
        <v>322</v>
      </c>
      <c r="G20">
        <v>22</v>
      </c>
      <c r="H20" t="s">
        <v>323</v>
      </c>
      <c r="I20" t="s">
        <v>45</v>
      </c>
      <c r="J20" t="s">
        <v>325</v>
      </c>
      <c r="K20" t="s">
        <v>337</v>
      </c>
      <c r="L20" t="s">
        <v>327</v>
      </c>
    </row>
    <row r="21" spans="1:12">
      <c r="A21" t="s">
        <v>318</v>
      </c>
      <c r="B21" t="s">
        <v>319</v>
      </c>
      <c r="C21" t="s">
        <v>348</v>
      </c>
      <c r="D21" s="28">
        <v>7610900079465</v>
      </c>
      <c r="E21" s="29" t="s">
        <v>329</v>
      </c>
      <c r="F21" s="29" t="s">
        <v>322</v>
      </c>
      <c r="G21">
        <v>14</v>
      </c>
      <c r="H21" t="s">
        <v>323</v>
      </c>
      <c r="I21" t="s">
        <v>45</v>
      </c>
      <c r="J21" t="s">
        <v>325</v>
      </c>
      <c r="K21" t="s">
        <v>337</v>
      </c>
      <c r="L21" t="s">
        <v>327</v>
      </c>
    </row>
    <row r="22" spans="1:12">
      <c r="A22" t="s">
        <v>318</v>
      </c>
      <c r="B22" t="s">
        <v>319</v>
      </c>
      <c r="C22" t="s">
        <v>349</v>
      </c>
      <c r="D22" s="28">
        <v>7610900079470</v>
      </c>
      <c r="E22" s="29" t="s">
        <v>329</v>
      </c>
      <c r="F22" s="29" t="s">
        <v>322</v>
      </c>
      <c r="G22">
        <v>22</v>
      </c>
      <c r="H22" t="s">
        <v>323</v>
      </c>
      <c r="I22" t="s">
        <v>45</v>
      </c>
      <c r="J22" t="s">
        <v>325</v>
      </c>
      <c r="K22" t="s">
        <v>337</v>
      </c>
      <c r="L22" t="s">
        <v>327</v>
      </c>
    </row>
    <row r="23" spans="1:12">
      <c r="A23" t="s">
        <v>318</v>
      </c>
      <c r="B23" t="s">
        <v>319</v>
      </c>
      <c r="C23" t="s">
        <v>350</v>
      </c>
      <c r="D23" s="28">
        <v>7610900079472</v>
      </c>
      <c r="E23" s="29" t="s">
        <v>329</v>
      </c>
      <c r="F23" s="29" t="s">
        <v>322</v>
      </c>
      <c r="G23">
        <v>22</v>
      </c>
      <c r="H23" t="s">
        <v>323</v>
      </c>
      <c r="I23" t="s">
        <v>45</v>
      </c>
      <c r="J23" t="s">
        <v>325</v>
      </c>
      <c r="K23" t="s">
        <v>337</v>
      </c>
      <c r="L23" t="s">
        <v>327</v>
      </c>
    </row>
    <row r="24" spans="1:12">
      <c r="A24" t="s">
        <v>318</v>
      </c>
      <c r="B24" t="s">
        <v>319</v>
      </c>
      <c r="C24" t="s">
        <v>351</v>
      </c>
      <c r="D24" s="28">
        <v>7610900079476</v>
      </c>
      <c r="E24" s="29" t="s">
        <v>329</v>
      </c>
      <c r="F24" s="29" t="s">
        <v>322</v>
      </c>
      <c r="G24">
        <v>20</v>
      </c>
      <c r="H24" t="s">
        <v>323</v>
      </c>
      <c r="I24" t="s">
        <v>45</v>
      </c>
      <c r="J24" t="s">
        <v>325</v>
      </c>
      <c r="K24" t="s">
        <v>337</v>
      </c>
      <c r="L24" t="s">
        <v>327</v>
      </c>
    </row>
    <row r="25" spans="1:12">
      <c r="A25" t="s">
        <v>318</v>
      </c>
      <c r="B25" t="s">
        <v>319</v>
      </c>
      <c r="C25" t="s">
        <v>352</v>
      </c>
      <c r="D25" s="28">
        <v>7610900079482</v>
      </c>
      <c r="E25" s="29" t="s">
        <v>329</v>
      </c>
      <c r="F25" s="29" t="s">
        <v>322</v>
      </c>
      <c r="G25">
        <v>20</v>
      </c>
      <c r="H25" t="s">
        <v>323</v>
      </c>
      <c r="I25" t="s">
        <v>45</v>
      </c>
      <c r="J25" t="s">
        <v>325</v>
      </c>
      <c r="K25" t="s">
        <v>337</v>
      </c>
      <c r="L25" t="s">
        <v>327</v>
      </c>
    </row>
    <row r="26" spans="1:12">
      <c r="A26" t="s">
        <v>318</v>
      </c>
      <c r="B26" t="s">
        <v>319</v>
      </c>
      <c r="C26" t="s">
        <v>353</v>
      </c>
      <c r="D26" s="28">
        <v>7610900079486</v>
      </c>
      <c r="E26" s="29" t="s">
        <v>329</v>
      </c>
      <c r="F26" s="29" t="s">
        <v>322</v>
      </c>
      <c r="G26">
        <v>10</v>
      </c>
      <c r="H26" t="s">
        <v>323</v>
      </c>
      <c r="I26" t="s">
        <v>45</v>
      </c>
      <c r="J26" t="s">
        <v>325</v>
      </c>
      <c r="K26" t="s">
        <v>337</v>
      </c>
      <c r="L26" t="s">
        <v>327</v>
      </c>
    </row>
    <row r="27" spans="1:12">
      <c r="A27" t="s">
        <v>318</v>
      </c>
      <c r="B27" t="s">
        <v>319</v>
      </c>
      <c r="C27" t="s">
        <v>328</v>
      </c>
      <c r="D27" s="28">
        <v>7610900079487</v>
      </c>
      <c r="E27" s="29" t="s">
        <v>329</v>
      </c>
      <c r="F27" s="29" t="s">
        <v>322</v>
      </c>
      <c r="G27">
        <v>13</v>
      </c>
      <c r="H27" t="s">
        <v>323</v>
      </c>
      <c r="I27" t="s">
        <v>45</v>
      </c>
      <c r="J27" t="s">
        <v>325</v>
      </c>
      <c r="K27" t="s">
        <v>337</v>
      </c>
      <c r="L27" t="s">
        <v>327</v>
      </c>
    </row>
    <row r="28" spans="1:12">
      <c r="A28" t="s">
        <v>318</v>
      </c>
      <c r="B28" t="s">
        <v>319</v>
      </c>
      <c r="C28" t="s">
        <v>354</v>
      </c>
      <c r="D28" s="28">
        <v>7610900079492</v>
      </c>
      <c r="E28" s="29" t="s">
        <v>329</v>
      </c>
      <c r="F28" s="29" t="s">
        <v>322</v>
      </c>
      <c r="G28">
        <v>21</v>
      </c>
      <c r="H28" t="s">
        <v>323</v>
      </c>
      <c r="I28" t="s">
        <v>45</v>
      </c>
      <c r="J28" t="s">
        <v>325</v>
      </c>
      <c r="K28" t="s">
        <v>337</v>
      </c>
      <c r="L28" t="s">
        <v>327</v>
      </c>
    </row>
    <row r="29" spans="1:12">
      <c r="A29" t="s">
        <v>318</v>
      </c>
      <c r="B29" t="s">
        <v>319</v>
      </c>
      <c r="C29" t="s">
        <v>332</v>
      </c>
      <c r="D29" s="28">
        <v>7610900079502</v>
      </c>
      <c r="E29" s="29" t="s">
        <v>329</v>
      </c>
      <c r="F29" s="29" t="s">
        <v>322</v>
      </c>
      <c r="G29">
        <v>17</v>
      </c>
      <c r="H29" t="s">
        <v>323</v>
      </c>
      <c r="I29" t="s">
        <v>45</v>
      </c>
      <c r="J29" t="s">
        <v>325</v>
      </c>
      <c r="K29" t="s">
        <v>337</v>
      </c>
      <c r="L29" t="s">
        <v>327</v>
      </c>
    </row>
    <row r="30" spans="1:12">
      <c r="A30" t="s">
        <v>318</v>
      </c>
      <c r="B30" t="s">
        <v>319</v>
      </c>
      <c r="C30" t="s">
        <v>355</v>
      </c>
      <c r="D30" s="28">
        <v>7610900079507</v>
      </c>
      <c r="E30" s="29" t="s">
        <v>329</v>
      </c>
      <c r="F30" s="29" t="s">
        <v>322</v>
      </c>
      <c r="G30">
        <v>16</v>
      </c>
      <c r="H30" t="s">
        <v>323</v>
      </c>
      <c r="I30" t="s">
        <v>45</v>
      </c>
      <c r="J30" t="s">
        <v>325</v>
      </c>
      <c r="K30" t="s">
        <v>337</v>
      </c>
      <c r="L30" t="s">
        <v>327</v>
      </c>
    </row>
    <row r="31" spans="1:12">
      <c r="A31" t="s">
        <v>318</v>
      </c>
      <c r="B31" t="s">
        <v>319</v>
      </c>
      <c r="C31" t="s">
        <v>356</v>
      </c>
      <c r="D31" s="28">
        <v>7610900079689</v>
      </c>
      <c r="E31" s="29" t="s">
        <v>329</v>
      </c>
      <c r="F31" s="29" t="s">
        <v>322</v>
      </c>
      <c r="G31">
        <v>17</v>
      </c>
      <c r="H31" t="s">
        <v>323</v>
      </c>
      <c r="I31" t="s">
        <v>45</v>
      </c>
      <c r="J31" t="s">
        <v>325</v>
      </c>
      <c r="K31" t="s">
        <v>337</v>
      </c>
      <c r="L31" t="s">
        <v>327</v>
      </c>
    </row>
    <row r="32" spans="1:12">
      <c r="A32" t="s">
        <v>318</v>
      </c>
      <c r="B32" t="s">
        <v>319</v>
      </c>
      <c r="C32" t="s">
        <v>357</v>
      </c>
      <c r="D32" s="28">
        <v>7610900079698</v>
      </c>
      <c r="E32" s="29" t="s">
        <v>329</v>
      </c>
      <c r="F32" s="29" t="s">
        <v>322</v>
      </c>
      <c r="G32">
        <v>18</v>
      </c>
      <c r="H32" t="s">
        <v>323</v>
      </c>
      <c r="I32" t="s">
        <v>45</v>
      </c>
      <c r="J32" t="s">
        <v>325</v>
      </c>
      <c r="K32" t="s">
        <v>337</v>
      </c>
      <c r="L32" t="s">
        <v>327</v>
      </c>
    </row>
    <row r="33" spans="1:12">
      <c r="A33" t="s">
        <v>318</v>
      </c>
      <c r="B33" t="s">
        <v>319</v>
      </c>
      <c r="C33" t="s">
        <v>358</v>
      </c>
      <c r="D33" s="28">
        <v>7610900079704</v>
      </c>
      <c r="E33" s="29" t="s">
        <v>329</v>
      </c>
      <c r="F33" s="29" t="s">
        <v>322</v>
      </c>
      <c r="G33">
        <v>24</v>
      </c>
      <c r="H33" t="s">
        <v>323</v>
      </c>
      <c r="I33" t="s">
        <v>45</v>
      </c>
      <c r="J33" t="s">
        <v>325</v>
      </c>
      <c r="K33" t="s">
        <v>337</v>
      </c>
      <c r="L33" t="s">
        <v>327</v>
      </c>
    </row>
    <row r="34" spans="1:12">
      <c r="A34" t="s">
        <v>318</v>
      </c>
      <c r="B34" t="s">
        <v>319</v>
      </c>
      <c r="C34" t="s">
        <v>359</v>
      </c>
      <c r="D34" s="28">
        <v>7610900079730</v>
      </c>
      <c r="E34" s="29" t="s">
        <v>329</v>
      </c>
      <c r="F34" s="29" t="s">
        <v>322</v>
      </c>
      <c r="G34">
        <v>23</v>
      </c>
      <c r="H34" t="s">
        <v>323</v>
      </c>
      <c r="I34" t="s">
        <v>45</v>
      </c>
      <c r="J34" t="s">
        <v>325</v>
      </c>
      <c r="K34" t="s">
        <v>337</v>
      </c>
      <c r="L34" t="s">
        <v>327</v>
      </c>
    </row>
    <row r="35" spans="1:12">
      <c r="A35" t="s">
        <v>318</v>
      </c>
      <c r="B35" t="s">
        <v>319</v>
      </c>
      <c r="C35" t="s">
        <v>360</v>
      </c>
      <c r="D35" s="28">
        <v>761091153069</v>
      </c>
      <c r="E35" s="29" t="s">
        <v>329</v>
      </c>
      <c r="F35" s="29" t="s">
        <v>322</v>
      </c>
      <c r="G35">
        <v>19</v>
      </c>
      <c r="H35" t="s">
        <v>323</v>
      </c>
      <c r="I35" t="s">
        <v>45</v>
      </c>
      <c r="J35" t="s">
        <v>325</v>
      </c>
      <c r="K35" t="s">
        <v>337</v>
      </c>
      <c r="L35" t="s">
        <v>327</v>
      </c>
    </row>
    <row r="36" spans="1:12">
      <c r="A36" t="s">
        <v>318</v>
      </c>
      <c r="B36" t="s">
        <v>319</v>
      </c>
      <c r="C36" t="s">
        <v>361</v>
      </c>
      <c r="D36" s="28">
        <v>761091153070</v>
      </c>
      <c r="E36" s="29" t="s">
        <v>329</v>
      </c>
      <c r="F36" s="29" t="s">
        <v>322</v>
      </c>
      <c r="G36">
        <v>17</v>
      </c>
      <c r="H36" t="s">
        <v>323</v>
      </c>
      <c r="I36" t="s">
        <v>45</v>
      </c>
      <c r="J36" t="s">
        <v>325</v>
      </c>
      <c r="K36" t="s">
        <v>337</v>
      </c>
      <c r="L36" t="s">
        <v>327</v>
      </c>
    </row>
    <row r="37" spans="1:12">
      <c r="A37" t="s">
        <v>318</v>
      </c>
      <c r="B37" t="s">
        <v>319</v>
      </c>
      <c r="C37" t="s">
        <v>362</v>
      </c>
      <c r="D37" s="28">
        <v>7610900091472</v>
      </c>
      <c r="E37" s="29" t="s">
        <v>363</v>
      </c>
      <c r="F37" s="29" t="s">
        <v>364</v>
      </c>
      <c r="G37">
        <v>137</v>
      </c>
      <c r="H37" t="s">
        <v>323</v>
      </c>
      <c r="I37" t="s">
        <v>324</v>
      </c>
      <c r="J37" t="s">
        <v>325</v>
      </c>
      <c r="K37" t="s">
        <v>365</v>
      </c>
      <c r="L37" t="s">
        <v>327</v>
      </c>
    </row>
    <row r="38" spans="1:12">
      <c r="A38" t="s">
        <v>318</v>
      </c>
      <c r="B38" t="s">
        <v>319</v>
      </c>
      <c r="C38" t="s">
        <v>366</v>
      </c>
      <c r="D38" s="28">
        <v>7610900117251</v>
      </c>
      <c r="E38" s="29" t="s">
        <v>363</v>
      </c>
      <c r="F38" s="29" t="s">
        <v>364</v>
      </c>
      <c r="G38">
        <v>112</v>
      </c>
      <c r="H38" t="s">
        <v>323</v>
      </c>
      <c r="I38" t="s">
        <v>45</v>
      </c>
      <c r="J38" t="s">
        <v>325</v>
      </c>
      <c r="K38" t="s">
        <v>365</v>
      </c>
      <c r="L38" t="s">
        <v>327</v>
      </c>
    </row>
    <row r="39" spans="1:12">
      <c r="A39" t="s">
        <v>318</v>
      </c>
      <c r="B39" t="s">
        <v>319</v>
      </c>
      <c r="C39" t="s">
        <v>367</v>
      </c>
      <c r="D39" s="28">
        <v>7610900120138</v>
      </c>
      <c r="E39" s="29" t="s">
        <v>368</v>
      </c>
      <c r="F39" s="29" t="s">
        <v>364</v>
      </c>
      <c r="G39">
        <v>69</v>
      </c>
      <c r="H39" t="s">
        <v>323</v>
      </c>
      <c r="I39" t="s">
        <v>45</v>
      </c>
      <c r="J39" t="s">
        <v>325</v>
      </c>
      <c r="K39" t="s">
        <v>369</v>
      </c>
      <c r="L39" t="s">
        <v>327</v>
      </c>
    </row>
    <row r="40" spans="1:12">
      <c r="A40" t="s">
        <v>318</v>
      </c>
      <c r="B40" t="s">
        <v>319</v>
      </c>
      <c r="C40" t="s">
        <v>370</v>
      </c>
      <c r="D40" s="28">
        <v>7610900071815</v>
      </c>
      <c r="E40" s="29" t="s">
        <v>371</v>
      </c>
      <c r="F40" s="29" t="s">
        <v>372</v>
      </c>
      <c r="G40">
        <v>13</v>
      </c>
      <c r="H40" t="s">
        <v>323</v>
      </c>
      <c r="I40" t="s">
        <v>45</v>
      </c>
      <c r="J40" t="s">
        <v>325</v>
      </c>
      <c r="K40" t="s">
        <v>285</v>
      </c>
      <c r="L40" t="s">
        <v>327</v>
      </c>
    </row>
    <row r="41" spans="1:12">
      <c r="A41" t="s">
        <v>318</v>
      </c>
      <c r="B41" t="s">
        <v>319</v>
      </c>
      <c r="C41" t="s">
        <v>373</v>
      </c>
      <c r="D41" s="28">
        <v>7610900071963</v>
      </c>
      <c r="E41" s="29" t="s">
        <v>371</v>
      </c>
      <c r="F41" s="29" t="s">
        <v>372</v>
      </c>
      <c r="G41">
        <v>8</v>
      </c>
      <c r="H41" t="s">
        <v>323</v>
      </c>
      <c r="I41" t="s">
        <v>45</v>
      </c>
      <c r="J41" t="s">
        <v>325</v>
      </c>
      <c r="K41" t="s">
        <v>285</v>
      </c>
      <c r="L41" t="s">
        <v>327</v>
      </c>
    </row>
    <row r="42" spans="1:12">
      <c r="A42" t="s">
        <v>318</v>
      </c>
      <c r="B42" t="s">
        <v>319</v>
      </c>
      <c r="C42" t="s">
        <v>374</v>
      </c>
      <c r="D42" s="28">
        <v>7610900071971</v>
      </c>
      <c r="E42" s="29" t="s">
        <v>371</v>
      </c>
      <c r="F42" s="29" t="s">
        <v>372</v>
      </c>
      <c r="G42">
        <v>11</v>
      </c>
      <c r="H42" t="s">
        <v>323</v>
      </c>
      <c r="I42" t="s">
        <v>324</v>
      </c>
      <c r="J42" t="s">
        <v>325</v>
      </c>
      <c r="K42" t="s">
        <v>285</v>
      </c>
      <c r="L42" t="s">
        <v>327</v>
      </c>
    </row>
    <row r="43" spans="1:12">
      <c r="A43" t="s">
        <v>318</v>
      </c>
      <c r="B43" t="s">
        <v>319</v>
      </c>
      <c r="C43" t="s">
        <v>375</v>
      </c>
      <c r="D43" s="28">
        <v>7610900091705</v>
      </c>
      <c r="E43" s="29" t="s">
        <v>371</v>
      </c>
      <c r="F43" s="29" t="s">
        <v>372</v>
      </c>
      <c r="G43">
        <v>9</v>
      </c>
      <c r="H43" t="s">
        <v>323</v>
      </c>
      <c r="I43" t="s">
        <v>324</v>
      </c>
      <c r="J43" t="s">
        <v>325</v>
      </c>
      <c r="K43" t="s">
        <v>285</v>
      </c>
      <c r="L43" t="s">
        <v>327</v>
      </c>
    </row>
    <row r="44" spans="1:12">
      <c r="A44" t="s">
        <v>318</v>
      </c>
      <c r="B44" t="s">
        <v>319</v>
      </c>
      <c r="C44" t="s">
        <v>376</v>
      </c>
      <c r="D44" s="28">
        <v>761091112791</v>
      </c>
      <c r="E44" s="29" t="s">
        <v>371</v>
      </c>
      <c r="F44" s="29" t="s">
        <v>372</v>
      </c>
      <c r="G44">
        <v>8</v>
      </c>
      <c r="H44" t="s">
        <v>323</v>
      </c>
      <c r="I44" t="s">
        <v>45</v>
      </c>
      <c r="J44" t="s">
        <v>325</v>
      </c>
      <c r="K44" t="s">
        <v>285</v>
      </c>
      <c r="L44" t="s">
        <v>327</v>
      </c>
    </row>
    <row r="45" spans="1:12">
      <c r="A45" t="s">
        <v>318</v>
      </c>
      <c r="B45" t="s">
        <v>319</v>
      </c>
      <c r="C45" t="s">
        <v>377</v>
      </c>
      <c r="D45" s="28">
        <v>761091112792</v>
      </c>
      <c r="E45" s="29" t="s">
        <v>371</v>
      </c>
      <c r="F45" s="29" t="s">
        <v>372</v>
      </c>
      <c r="G45">
        <v>7</v>
      </c>
      <c r="H45" t="s">
        <v>323</v>
      </c>
      <c r="I45" t="s">
        <v>45</v>
      </c>
      <c r="J45" t="s">
        <v>325</v>
      </c>
      <c r="K45" t="s">
        <v>285</v>
      </c>
      <c r="L45" t="s">
        <v>327</v>
      </c>
    </row>
    <row r="46" spans="1:12">
      <c r="A46" t="s">
        <v>318</v>
      </c>
      <c r="B46" t="s">
        <v>319</v>
      </c>
      <c r="C46" t="s">
        <v>378</v>
      </c>
      <c r="D46" s="28">
        <v>761091112793</v>
      </c>
      <c r="E46" s="29" t="s">
        <v>371</v>
      </c>
      <c r="F46" s="29" t="s">
        <v>372</v>
      </c>
      <c r="G46">
        <v>8</v>
      </c>
      <c r="H46" t="s">
        <v>323</v>
      </c>
      <c r="I46" t="s">
        <v>45</v>
      </c>
      <c r="J46" t="s">
        <v>325</v>
      </c>
      <c r="K46" t="s">
        <v>285</v>
      </c>
      <c r="L46" t="s">
        <v>327</v>
      </c>
    </row>
    <row r="47" spans="1:12">
      <c r="A47" t="s">
        <v>318</v>
      </c>
      <c r="B47" t="s">
        <v>319</v>
      </c>
      <c r="C47" t="s">
        <v>379</v>
      </c>
      <c r="D47" s="28">
        <v>7610900069436</v>
      </c>
      <c r="E47" s="29" t="s">
        <v>371</v>
      </c>
      <c r="F47" s="29" t="s">
        <v>372</v>
      </c>
      <c r="G47">
        <v>11</v>
      </c>
      <c r="H47" t="s">
        <v>323</v>
      </c>
      <c r="I47" t="s">
        <v>45</v>
      </c>
      <c r="J47" t="s">
        <v>325</v>
      </c>
      <c r="K47" t="s">
        <v>285</v>
      </c>
      <c r="L47" t="s">
        <v>327</v>
      </c>
    </row>
    <row r="48" spans="1:12">
      <c r="A48" t="s">
        <v>318</v>
      </c>
      <c r="B48" t="s">
        <v>319</v>
      </c>
      <c r="C48" t="s">
        <v>380</v>
      </c>
      <c r="D48" s="28">
        <v>7610900069442</v>
      </c>
      <c r="E48" s="29" t="s">
        <v>371</v>
      </c>
      <c r="F48" s="29" t="s">
        <v>372</v>
      </c>
      <c r="G48">
        <v>10</v>
      </c>
      <c r="H48" t="s">
        <v>323</v>
      </c>
      <c r="I48" t="s">
        <v>45</v>
      </c>
      <c r="J48" t="s">
        <v>325</v>
      </c>
      <c r="K48" t="s">
        <v>285</v>
      </c>
      <c r="L48" t="s">
        <v>327</v>
      </c>
    </row>
    <row r="49" spans="1:12">
      <c r="A49" t="s">
        <v>318</v>
      </c>
      <c r="B49" t="s">
        <v>319</v>
      </c>
      <c r="C49" t="s">
        <v>381</v>
      </c>
      <c r="D49" s="28">
        <v>7610900082455</v>
      </c>
      <c r="E49" s="29" t="s">
        <v>371</v>
      </c>
      <c r="F49" s="29" t="s">
        <v>372</v>
      </c>
      <c r="G49">
        <v>7</v>
      </c>
      <c r="H49" t="s">
        <v>323</v>
      </c>
      <c r="I49" t="s">
        <v>45</v>
      </c>
      <c r="J49" t="s">
        <v>325</v>
      </c>
      <c r="K49" t="s">
        <v>285</v>
      </c>
      <c r="L49" t="s">
        <v>327</v>
      </c>
    </row>
    <row r="50" spans="1:12">
      <c r="A50" t="s">
        <v>318</v>
      </c>
      <c r="B50" t="s">
        <v>319</v>
      </c>
      <c r="C50" t="s">
        <v>382</v>
      </c>
      <c r="D50" s="28">
        <v>7610900082456</v>
      </c>
      <c r="E50" s="29" t="s">
        <v>371</v>
      </c>
      <c r="F50" s="29" t="s">
        <v>372</v>
      </c>
      <c r="G50">
        <v>10</v>
      </c>
      <c r="H50" t="s">
        <v>323</v>
      </c>
      <c r="I50" t="s">
        <v>45</v>
      </c>
      <c r="J50" t="s">
        <v>325</v>
      </c>
      <c r="K50" t="s">
        <v>285</v>
      </c>
      <c r="L50" t="s">
        <v>327</v>
      </c>
    </row>
    <row r="51" spans="1:12">
      <c r="A51" t="s">
        <v>318</v>
      </c>
      <c r="B51" t="s">
        <v>319</v>
      </c>
      <c r="C51" t="s">
        <v>383</v>
      </c>
      <c r="D51" s="28">
        <v>7610900083502</v>
      </c>
      <c r="E51" s="29" t="s">
        <v>371</v>
      </c>
      <c r="F51" s="29" t="s">
        <v>372</v>
      </c>
      <c r="G51">
        <v>9</v>
      </c>
      <c r="H51" t="s">
        <v>323</v>
      </c>
      <c r="I51" t="s">
        <v>45</v>
      </c>
      <c r="J51" t="s">
        <v>325</v>
      </c>
      <c r="K51" t="s">
        <v>285</v>
      </c>
      <c r="L51" t="s">
        <v>327</v>
      </c>
    </row>
    <row r="52" spans="1:12">
      <c r="A52" t="s">
        <v>318</v>
      </c>
      <c r="B52" t="s">
        <v>319</v>
      </c>
      <c r="C52" t="s">
        <v>384</v>
      </c>
      <c r="D52" s="28">
        <v>7610900084310</v>
      </c>
      <c r="E52" s="29" t="s">
        <v>371</v>
      </c>
      <c r="F52" s="29" t="s">
        <v>372</v>
      </c>
      <c r="G52">
        <v>11</v>
      </c>
      <c r="H52" t="s">
        <v>323</v>
      </c>
      <c r="I52" t="s">
        <v>45</v>
      </c>
      <c r="J52" t="s">
        <v>325</v>
      </c>
      <c r="K52" t="s">
        <v>285</v>
      </c>
      <c r="L52" t="s">
        <v>327</v>
      </c>
    </row>
    <row r="53" spans="1:12">
      <c r="A53" t="s">
        <v>318</v>
      </c>
      <c r="B53" t="s">
        <v>319</v>
      </c>
      <c r="C53" t="s">
        <v>385</v>
      </c>
      <c r="D53" s="28">
        <v>7610900084312</v>
      </c>
      <c r="E53" s="29" t="s">
        <v>371</v>
      </c>
      <c r="F53" s="29" t="s">
        <v>372</v>
      </c>
      <c r="G53">
        <v>8</v>
      </c>
      <c r="H53" t="s">
        <v>323</v>
      </c>
      <c r="I53" t="s">
        <v>45</v>
      </c>
      <c r="J53" t="s">
        <v>325</v>
      </c>
      <c r="K53" t="s">
        <v>285</v>
      </c>
      <c r="L53" t="s">
        <v>327</v>
      </c>
    </row>
    <row r="54" spans="1:12">
      <c r="A54" t="s">
        <v>318</v>
      </c>
      <c r="B54" t="s">
        <v>319</v>
      </c>
      <c r="C54" t="s">
        <v>386</v>
      </c>
      <c r="D54" s="28">
        <v>7610900084313</v>
      </c>
      <c r="E54" s="29" t="s">
        <v>371</v>
      </c>
      <c r="F54" s="29" t="s">
        <v>372</v>
      </c>
      <c r="G54">
        <v>10</v>
      </c>
      <c r="H54" t="s">
        <v>323</v>
      </c>
      <c r="I54" t="s">
        <v>45</v>
      </c>
      <c r="J54" t="s">
        <v>325</v>
      </c>
      <c r="K54" t="s">
        <v>285</v>
      </c>
      <c r="L54" t="s">
        <v>327</v>
      </c>
    </row>
    <row r="55" spans="1:12">
      <c r="A55" t="s">
        <v>318</v>
      </c>
      <c r="B55" t="s">
        <v>319</v>
      </c>
      <c r="C55" t="s">
        <v>387</v>
      </c>
      <c r="D55" s="28">
        <v>7610900084316</v>
      </c>
      <c r="E55" s="29" t="s">
        <v>371</v>
      </c>
      <c r="F55" s="29" t="s">
        <v>372</v>
      </c>
      <c r="G55">
        <v>11</v>
      </c>
      <c r="H55" t="s">
        <v>323</v>
      </c>
      <c r="I55" t="s">
        <v>45</v>
      </c>
      <c r="J55" t="s">
        <v>325</v>
      </c>
      <c r="K55" t="s">
        <v>285</v>
      </c>
      <c r="L55" t="s">
        <v>327</v>
      </c>
    </row>
    <row r="56" spans="1:12">
      <c r="A56" t="s">
        <v>318</v>
      </c>
      <c r="B56" t="s">
        <v>319</v>
      </c>
      <c r="C56" t="s">
        <v>388</v>
      </c>
      <c r="D56" s="28">
        <v>7610900084317</v>
      </c>
      <c r="E56" s="29" t="s">
        <v>371</v>
      </c>
      <c r="F56" s="29" t="s">
        <v>372</v>
      </c>
      <c r="G56">
        <v>11</v>
      </c>
      <c r="H56" t="s">
        <v>323</v>
      </c>
      <c r="I56" t="s">
        <v>45</v>
      </c>
      <c r="J56" t="s">
        <v>325</v>
      </c>
      <c r="K56" t="s">
        <v>285</v>
      </c>
      <c r="L56" t="s">
        <v>327</v>
      </c>
    </row>
    <row r="57" spans="1:12">
      <c r="A57" t="s">
        <v>318</v>
      </c>
      <c r="B57" t="s">
        <v>319</v>
      </c>
      <c r="C57" t="s">
        <v>389</v>
      </c>
      <c r="D57" s="28">
        <v>7610900084318</v>
      </c>
      <c r="E57" s="29" t="s">
        <v>371</v>
      </c>
      <c r="F57" s="29" t="s">
        <v>372</v>
      </c>
      <c r="G57">
        <v>11</v>
      </c>
      <c r="H57" t="s">
        <v>323</v>
      </c>
      <c r="I57" t="s">
        <v>45</v>
      </c>
      <c r="J57" t="s">
        <v>325</v>
      </c>
      <c r="K57" t="s">
        <v>285</v>
      </c>
      <c r="L57" t="s">
        <v>327</v>
      </c>
    </row>
    <row r="58" spans="1:12">
      <c r="A58" t="s">
        <v>318</v>
      </c>
      <c r="B58" t="s">
        <v>319</v>
      </c>
      <c r="C58" t="s">
        <v>390</v>
      </c>
      <c r="D58" s="28">
        <v>7610900084321</v>
      </c>
      <c r="E58" s="29" t="s">
        <v>371</v>
      </c>
      <c r="F58" s="29" t="s">
        <v>372</v>
      </c>
      <c r="G58">
        <v>10</v>
      </c>
      <c r="H58" t="s">
        <v>323</v>
      </c>
      <c r="I58" t="s">
        <v>45</v>
      </c>
      <c r="J58" t="s">
        <v>325</v>
      </c>
      <c r="K58" t="s">
        <v>285</v>
      </c>
      <c r="L58" t="s">
        <v>327</v>
      </c>
    </row>
    <row r="59" spans="1:12">
      <c r="A59" t="s">
        <v>318</v>
      </c>
      <c r="B59" t="s">
        <v>319</v>
      </c>
      <c r="C59" t="s">
        <v>391</v>
      </c>
      <c r="D59" s="28">
        <v>7610900084323</v>
      </c>
      <c r="E59" s="29" t="s">
        <v>371</v>
      </c>
      <c r="F59" s="29" t="s">
        <v>372</v>
      </c>
      <c r="G59">
        <v>10</v>
      </c>
      <c r="H59" t="s">
        <v>323</v>
      </c>
      <c r="I59" t="s">
        <v>45</v>
      </c>
      <c r="J59" t="s">
        <v>325</v>
      </c>
      <c r="K59" t="s">
        <v>285</v>
      </c>
      <c r="L59" t="s">
        <v>327</v>
      </c>
    </row>
    <row r="60" spans="1:12">
      <c r="A60" t="s">
        <v>318</v>
      </c>
      <c r="B60" t="s">
        <v>319</v>
      </c>
      <c r="C60" t="s">
        <v>392</v>
      </c>
      <c r="D60" s="28">
        <v>7610900114406</v>
      </c>
      <c r="E60" s="29" t="s">
        <v>393</v>
      </c>
      <c r="F60" s="29" t="s">
        <v>372</v>
      </c>
      <c r="G60">
        <v>41</v>
      </c>
      <c r="H60" t="s">
        <v>323</v>
      </c>
      <c r="I60" t="s">
        <v>45</v>
      </c>
      <c r="J60" t="s">
        <v>325</v>
      </c>
      <c r="K60" t="s">
        <v>394</v>
      </c>
      <c r="L60" t="s">
        <v>327</v>
      </c>
    </row>
    <row r="61" spans="1:12">
      <c r="A61" t="s">
        <v>318</v>
      </c>
      <c r="B61" t="s">
        <v>319</v>
      </c>
      <c r="C61" t="s">
        <v>395</v>
      </c>
      <c r="D61" s="28">
        <v>7610900114441</v>
      </c>
      <c r="E61" s="29" t="s">
        <v>393</v>
      </c>
      <c r="F61" s="29" t="s">
        <v>372</v>
      </c>
      <c r="G61">
        <v>41</v>
      </c>
      <c r="H61" t="s">
        <v>323</v>
      </c>
      <c r="I61" t="s">
        <v>45</v>
      </c>
      <c r="J61" t="s">
        <v>325</v>
      </c>
      <c r="K61" t="s">
        <v>394</v>
      </c>
      <c r="L61" t="s">
        <v>327</v>
      </c>
    </row>
    <row r="62" spans="1:12">
      <c r="A62" t="s">
        <v>318</v>
      </c>
      <c r="B62" t="s">
        <v>319</v>
      </c>
      <c r="C62" t="s">
        <v>396</v>
      </c>
      <c r="D62" s="28">
        <v>7610900128890</v>
      </c>
      <c r="E62" s="29" t="s">
        <v>393</v>
      </c>
      <c r="F62" s="29" t="s">
        <v>372</v>
      </c>
      <c r="G62">
        <v>41</v>
      </c>
      <c r="H62" t="s">
        <v>323</v>
      </c>
      <c r="I62" t="s">
        <v>45</v>
      </c>
      <c r="J62" t="s">
        <v>325</v>
      </c>
      <c r="K62" t="s">
        <v>337</v>
      </c>
      <c r="L62" t="s">
        <v>327</v>
      </c>
    </row>
    <row r="63" spans="1:12">
      <c r="A63" t="s">
        <v>318</v>
      </c>
      <c r="B63" t="s">
        <v>319</v>
      </c>
      <c r="C63" t="s">
        <v>397</v>
      </c>
      <c r="D63" s="28">
        <v>7610900128900</v>
      </c>
      <c r="E63" s="29" t="s">
        <v>393</v>
      </c>
      <c r="F63" s="29" t="s">
        <v>372</v>
      </c>
      <c r="G63">
        <v>41</v>
      </c>
      <c r="H63" t="s">
        <v>323</v>
      </c>
      <c r="I63" t="s">
        <v>98</v>
      </c>
      <c r="J63" t="s">
        <v>325</v>
      </c>
      <c r="K63" t="s">
        <v>394</v>
      </c>
      <c r="L63" t="s">
        <v>327</v>
      </c>
    </row>
    <row r="64" spans="1:12">
      <c r="A64" t="s">
        <v>318</v>
      </c>
      <c r="B64" t="s">
        <v>319</v>
      </c>
      <c r="C64" t="s">
        <v>398</v>
      </c>
      <c r="D64" s="28">
        <v>7610900128920</v>
      </c>
      <c r="E64" s="29" t="s">
        <v>393</v>
      </c>
      <c r="F64" s="29" t="s">
        <v>372</v>
      </c>
      <c r="G64">
        <v>41</v>
      </c>
      <c r="H64" t="s">
        <v>323</v>
      </c>
      <c r="I64" t="s">
        <v>45</v>
      </c>
      <c r="J64" t="s">
        <v>325</v>
      </c>
      <c r="K64" t="s">
        <v>394</v>
      </c>
      <c r="L64" t="s">
        <v>327</v>
      </c>
    </row>
    <row r="65" spans="1:12">
      <c r="A65" t="s">
        <v>318</v>
      </c>
      <c r="B65" t="s">
        <v>319</v>
      </c>
      <c r="C65" t="s">
        <v>399</v>
      </c>
      <c r="D65" s="28">
        <v>7610900138643</v>
      </c>
      <c r="E65" s="29" t="s">
        <v>393</v>
      </c>
      <c r="F65" s="29" t="s">
        <v>372</v>
      </c>
      <c r="G65">
        <v>41</v>
      </c>
      <c r="H65" t="s">
        <v>323</v>
      </c>
      <c r="I65" t="s">
        <v>45</v>
      </c>
      <c r="J65" t="s">
        <v>325</v>
      </c>
      <c r="K65" t="s">
        <v>394</v>
      </c>
      <c r="L65" t="s">
        <v>327</v>
      </c>
    </row>
    <row r="66" spans="1:12">
      <c r="A66" t="s">
        <v>318</v>
      </c>
      <c r="B66" t="s">
        <v>319</v>
      </c>
      <c r="C66" t="s">
        <v>400</v>
      </c>
      <c r="D66" s="28">
        <v>7610900138646</v>
      </c>
      <c r="E66" s="29" t="s">
        <v>393</v>
      </c>
      <c r="F66" s="29" t="s">
        <v>372</v>
      </c>
      <c r="G66">
        <v>41</v>
      </c>
      <c r="H66" t="s">
        <v>323</v>
      </c>
      <c r="I66" t="s">
        <v>45</v>
      </c>
      <c r="J66" t="s">
        <v>325</v>
      </c>
      <c r="K66" t="s">
        <v>337</v>
      </c>
      <c r="L66" t="s">
        <v>327</v>
      </c>
    </row>
    <row r="67" spans="1:12">
      <c r="A67" t="s">
        <v>318</v>
      </c>
      <c r="B67" t="s">
        <v>319</v>
      </c>
      <c r="C67" t="s">
        <v>401</v>
      </c>
      <c r="D67" s="28">
        <v>7610900138648</v>
      </c>
      <c r="E67" s="29" t="s">
        <v>393</v>
      </c>
      <c r="F67" s="29" t="s">
        <v>372</v>
      </c>
      <c r="G67">
        <v>41</v>
      </c>
      <c r="H67" t="s">
        <v>323</v>
      </c>
      <c r="I67" t="s">
        <v>45</v>
      </c>
      <c r="J67" t="s">
        <v>325</v>
      </c>
      <c r="K67" t="s">
        <v>337</v>
      </c>
      <c r="L67" t="s">
        <v>327</v>
      </c>
    </row>
    <row r="68" spans="1:12">
      <c r="A68" t="s">
        <v>318</v>
      </c>
      <c r="B68" t="s">
        <v>319</v>
      </c>
      <c r="C68" t="s">
        <v>402</v>
      </c>
      <c r="D68" s="28">
        <v>761091113501</v>
      </c>
      <c r="E68" s="29" t="s">
        <v>393</v>
      </c>
      <c r="F68" s="29" t="s">
        <v>372</v>
      </c>
      <c r="G68">
        <v>41</v>
      </c>
      <c r="H68" t="s">
        <v>323</v>
      </c>
      <c r="I68" t="s">
        <v>45</v>
      </c>
      <c r="J68" t="s">
        <v>325</v>
      </c>
      <c r="K68" t="s">
        <v>365</v>
      </c>
      <c r="L68" t="s">
        <v>327</v>
      </c>
    </row>
    <row r="69" spans="1:12">
      <c r="A69" t="s">
        <v>318</v>
      </c>
      <c r="B69" t="s">
        <v>319</v>
      </c>
      <c r="C69" t="s">
        <v>403</v>
      </c>
      <c r="D69" s="28">
        <v>761091113508</v>
      </c>
      <c r="E69" s="29" t="s">
        <v>393</v>
      </c>
      <c r="F69" s="29" t="s">
        <v>372</v>
      </c>
      <c r="G69">
        <v>41</v>
      </c>
      <c r="H69" t="s">
        <v>323</v>
      </c>
      <c r="I69" t="s">
        <v>45</v>
      </c>
      <c r="J69" t="s">
        <v>325</v>
      </c>
      <c r="K69" t="s">
        <v>365</v>
      </c>
      <c r="L69" t="s">
        <v>327</v>
      </c>
    </row>
    <row r="70" spans="1:12">
      <c r="A70" t="s">
        <v>318</v>
      </c>
      <c r="B70" t="s">
        <v>319</v>
      </c>
      <c r="C70" t="s">
        <v>404</v>
      </c>
      <c r="D70" s="28">
        <v>761091133278</v>
      </c>
      <c r="E70" s="29" t="s">
        <v>393</v>
      </c>
      <c r="F70" s="29" t="s">
        <v>372</v>
      </c>
      <c r="G70">
        <v>11</v>
      </c>
      <c r="H70" t="s">
        <v>323</v>
      </c>
      <c r="I70" t="s">
        <v>45</v>
      </c>
      <c r="J70" t="s">
        <v>325</v>
      </c>
      <c r="K70" t="s">
        <v>365</v>
      </c>
      <c r="L70" t="s">
        <v>327</v>
      </c>
    </row>
    <row r="71" spans="1:12">
      <c r="A71" t="s">
        <v>318</v>
      </c>
      <c r="B71" t="s">
        <v>319</v>
      </c>
      <c r="C71" t="s">
        <v>405</v>
      </c>
      <c r="D71" s="28">
        <v>7610900050250</v>
      </c>
      <c r="E71" s="29" t="s">
        <v>368</v>
      </c>
      <c r="F71" s="29" t="s">
        <v>364</v>
      </c>
      <c r="G71">
        <v>76</v>
      </c>
      <c r="H71" t="s">
        <v>323</v>
      </c>
      <c r="I71" t="s">
        <v>45</v>
      </c>
      <c r="J71" t="s">
        <v>325</v>
      </c>
      <c r="K71" t="s">
        <v>394</v>
      </c>
      <c r="L71" t="s">
        <v>327</v>
      </c>
    </row>
    <row r="72" spans="1:12">
      <c r="A72" t="s">
        <v>318</v>
      </c>
      <c r="B72" t="s">
        <v>319</v>
      </c>
      <c r="C72" t="s">
        <v>406</v>
      </c>
      <c r="D72" s="28">
        <v>7610900091683</v>
      </c>
      <c r="E72" s="29" t="s">
        <v>368</v>
      </c>
      <c r="F72" s="29" t="s">
        <v>364</v>
      </c>
      <c r="G72">
        <v>111</v>
      </c>
      <c r="H72" t="s">
        <v>323</v>
      </c>
      <c r="I72" t="s">
        <v>45</v>
      </c>
      <c r="J72" t="s">
        <v>325</v>
      </c>
      <c r="K72" t="s">
        <v>394</v>
      </c>
      <c r="L72" t="s">
        <v>327</v>
      </c>
    </row>
    <row r="73" spans="1:12">
      <c r="A73" t="s">
        <v>318</v>
      </c>
      <c r="B73" t="s">
        <v>319</v>
      </c>
      <c r="C73" t="s">
        <v>407</v>
      </c>
      <c r="D73" s="28">
        <v>7610900107484</v>
      </c>
      <c r="E73" s="29" t="s">
        <v>363</v>
      </c>
      <c r="F73" s="29" t="s">
        <v>364</v>
      </c>
      <c r="G73">
        <v>103</v>
      </c>
      <c r="H73" t="s">
        <v>323</v>
      </c>
      <c r="I73" t="s">
        <v>45</v>
      </c>
      <c r="J73" t="s">
        <v>325</v>
      </c>
      <c r="K73" t="s">
        <v>365</v>
      </c>
      <c r="L73" t="s">
        <v>327</v>
      </c>
    </row>
    <row r="74" spans="1:12">
      <c r="A74" t="s">
        <v>318</v>
      </c>
      <c r="B74" t="s">
        <v>319</v>
      </c>
      <c r="C74" t="s">
        <v>408</v>
      </c>
      <c r="D74" s="28">
        <v>7610900117245</v>
      </c>
      <c r="E74" s="29" t="s">
        <v>363</v>
      </c>
      <c r="F74" s="29" t="s">
        <v>364</v>
      </c>
      <c r="G74">
        <v>143</v>
      </c>
      <c r="H74" t="s">
        <v>323</v>
      </c>
      <c r="I74" t="s">
        <v>45</v>
      </c>
      <c r="J74" t="s">
        <v>325</v>
      </c>
      <c r="K74" t="s">
        <v>365</v>
      </c>
      <c r="L74" t="s">
        <v>327</v>
      </c>
    </row>
    <row r="75" spans="1:12">
      <c r="A75" t="s">
        <v>318</v>
      </c>
      <c r="B75" t="s">
        <v>319</v>
      </c>
      <c r="C75" t="s">
        <v>409</v>
      </c>
      <c r="D75" s="28">
        <v>7610900021330</v>
      </c>
      <c r="E75" s="29" t="s">
        <v>368</v>
      </c>
      <c r="F75" s="29" t="s">
        <v>364</v>
      </c>
      <c r="G75">
        <v>72</v>
      </c>
      <c r="H75" t="s">
        <v>323</v>
      </c>
      <c r="I75" t="s">
        <v>45</v>
      </c>
      <c r="J75" t="s">
        <v>325</v>
      </c>
      <c r="K75" t="s">
        <v>394</v>
      </c>
      <c r="L75" t="s">
        <v>327</v>
      </c>
    </row>
    <row r="76" spans="1:12">
      <c r="A76" t="s">
        <v>318</v>
      </c>
      <c r="B76" t="s">
        <v>319</v>
      </c>
      <c r="C76" t="s">
        <v>410</v>
      </c>
      <c r="D76" s="28">
        <v>7610900021380</v>
      </c>
      <c r="E76" s="29" t="s">
        <v>368</v>
      </c>
      <c r="F76" s="29" t="s">
        <v>364</v>
      </c>
      <c r="G76">
        <v>119</v>
      </c>
      <c r="H76" t="s">
        <v>323</v>
      </c>
      <c r="I76" t="s">
        <v>45</v>
      </c>
      <c r="J76" t="s">
        <v>325</v>
      </c>
      <c r="K76" t="s">
        <v>394</v>
      </c>
      <c r="L76" t="s">
        <v>327</v>
      </c>
    </row>
    <row r="77" spans="1:12">
      <c r="A77" t="s">
        <v>318</v>
      </c>
      <c r="B77" t="s">
        <v>319</v>
      </c>
      <c r="C77" t="s">
        <v>411</v>
      </c>
      <c r="D77" s="28">
        <v>7610900091487</v>
      </c>
      <c r="E77" s="29" t="s">
        <v>368</v>
      </c>
      <c r="F77" s="29" t="s">
        <v>364</v>
      </c>
      <c r="G77">
        <v>51</v>
      </c>
      <c r="H77" t="s">
        <v>323</v>
      </c>
      <c r="I77" t="s">
        <v>98</v>
      </c>
      <c r="J77" t="s">
        <v>325</v>
      </c>
      <c r="K77" t="s">
        <v>394</v>
      </c>
      <c r="L77" t="s">
        <v>327</v>
      </c>
    </row>
    <row r="78" spans="1:12">
      <c r="A78" t="s">
        <v>318</v>
      </c>
      <c r="B78" t="s">
        <v>319</v>
      </c>
      <c r="C78" t="s">
        <v>412</v>
      </c>
      <c r="D78" s="28">
        <v>7610900117412</v>
      </c>
      <c r="E78" s="29" t="s">
        <v>363</v>
      </c>
      <c r="F78" s="29" t="s">
        <v>364</v>
      </c>
      <c r="G78">
        <v>70</v>
      </c>
      <c r="H78" t="s">
        <v>323</v>
      </c>
      <c r="I78" t="s">
        <v>45</v>
      </c>
      <c r="J78" t="s">
        <v>325</v>
      </c>
      <c r="K78" t="s">
        <v>365</v>
      </c>
      <c r="L78" t="s">
        <v>327</v>
      </c>
    </row>
    <row r="79" spans="1:12">
      <c r="A79" t="s">
        <v>318</v>
      </c>
      <c r="B79" t="s">
        <v>319</v>
      </c>
      <c r="C79" t="s">
        <v>413</v>
      </c>
      <c r="D79" s="28">
        <v>7610900117415</v>
      </c>
      <c r="E79" s="29" t="s">
        <v>363</v>
      </c>
      <c r="F79" s="29" t="s">
        <v>364</v>
      </c>
      <c r="G79">
        <v>50</v>
      </c>
      <c r="H79" t="s">
        <v>323</v>
      </c>
      <c r="I79" t="s">
        <v>45</v>
      </c>
      <c r="J79" t="s">
        <v>325</v>
      </c>
      <c r="K79" t="s">
        <v>365</v>
      </c>
      <c r="L79" t="s">
        <v>327</v>
      </c>
    </row>
    <row r="80" spans="1:12">
      <c r="A80" t="s">
        <v>318</v>
      </c>
      <c r="B80" t="s">
        <v>319</v>
      </c>
      <c r="C80" t="s">
        <v>414</v>
      </c>
      <c r="D80" s="28">
        <v>761091132041</v>
      </c>
      <c r="E80" s="29" t="s">
        <v>363</v>
      </c>
      <c r="F80" s="29" t="s">
        <v>364</v>
      </c>
      <c r="G80">
        <v>57</v>
      </c>
      <c r="H80" t="s">
        <v>323</v>
      </c>
      <c r="I80" t="s">
        <v>45</v>
      </c>
      <c r="J80" t="s">
        <v>325</v>
      </c>
      <c r="K80" t="s">
        <v>365</v>
      </c>
      <c r="L80" t="s">
        <v>327</v>
      </c>
    </row>
    <row r="81" spans="1:12">
      <c r="A81" t="s">
        <v>318</v>
      </c>
      <c r="B81" t="s">
        <v>319</v>
      </c>
      <c r="C81" t="s">
        <v>415</v>
      </c>
      <c r="D81" s="28">
        <v>7610900077042</v>
      </c>
      <c r="E81" s="29" t="s">
        <v>371</v>
      </c>
      <c r="F81" s="29" t="s">
        <v>372</v>
      </c>
      <c r="G81">
        <v>8</v>
      </c>
      <c r="H81" t="s">
        <v>323</v>
      </c>
      <c r="I81" t="s">
        <v>45</v>
      </c>
      <c r="J81" t="s">
        <v>325</v>
      </c>
      <c r="K81" t="s">
        <v>285</v>
      </c>
      <c r="L81" t="s">
        <v>327</v>
      </c>
    </row>
    <row r="82" spans="1:12">
      <c r="A82" t="s">
        <v>318</v>
      </c>
      <c r="B82" t="s">
        <v>319</v>
      </c>
      <c r="C82" t="s">
        <v>416</v>
      </c>
      <c r="D82" s="28">
        <v>7610900077045</v>
      </c>
      <c r="E82" s="29" t="s">
        <v>371</v>
      </c>
      <c r="F82" s="29" t="s">
        <v>372</v>
      </c>
      <c r="G82">
        <v>0</v>
      </c>
      <c r="H82" t="s">
        <v>323</v>
      </c>
      <c r="I82" t="s">
        <v>45</v>
      </c>
      <c r="J82" t="s">
        <v>325</v>
      </c>
      <c r="K82" t="s">
        <v>285</v>
      </c>
      <c r="L82" t="s">
        <v>327</v>
      </c>
    </row>
    <row r="83" spans="1:12">
      <c r="A83" t="s">
        <v>318</v>
      </c>
      <c r="B83" t="s">
        <v>319</v>
      </c>
      <c r="C83" t="s">
        <v>417</v>
      </c>
      <c r="D83" s="28">
        <v>7610900077825</v>
      </c>
      <c r="E83" s="29" t="s">
        <v>371</v>
      </c>
      <c r="F83" s="29" t="s">
        <v>372</v>
      </c>
      <c r="G83">
        <v>6</v>
      </c>
      <c r="H83" t="s">
        <v>323</v>
      </c>
      <c r="I83" t="s">
        <v>45</v>
      </c>
      <c r="J83" t="s">
        <v>325</v>
      </c>
      <c r="K83" t="s">
        <v>285</v>
      </c>
      <c r="L83" t="s">
        <v>327</v>
      </c>
    </row>
    <row r="84" spans="1:12">
      <c r="A84" t="s">
        <v>318</v>
      </c>
      <c r="B84" t="s">
        <v>319</v>
      </c>
      <c r="C84" t="s">
        <v>418</v>
      </c>
      <c r="D84" s="28">
        <v>7610900077828</v>
      </c>
      <c r="E84" s="29" t="s">
        <v>371</v>
      </c>
      <c r="F84" s="29" t="s">
        <v>372</v>
      </c>
      <c r="G84">
        <v>12</v>
      </c>
      <c r="H84" t="s">
        <v>323</v>
      </c>
      <c r="I84" t="s">
        <v>45</v>
      </c>
      <c r="J84" t="s">
        <v>325</v>
      </c>
      <c r="K84" t="s">
        <v>285</v>
      </c>
      <c r="L84" t="s">
        <v>327</v>
      </c>
    </row>
    <row r="85" spans="1:12">
      <c r="A85" t="s">
        <v>318</v>
      </c>
      <c r="B85" t="s">
        <v>319</v>
      </c>
      <c r="C85" t="s">
        <v>419</v>
      </c>
      <c r="D85" s="28">
        <v>7610900077829</v>
      </c>
      <c r="E85" s="29" t="s">
        <v>371</v>
      </c>
      <c r="F85" s="29" t="s">
        <v>372</v>
      </c>
      <c r="G85">
        <v>10</v>
      </c>
      <c r="H85" t="s">
        <v>323</v>
      </c>
      <c r="I85" t="s">
        <v>45</v>
      </c>
      <c r="J85" t="s">
        <v>325</v>
      </c>
      <c r="K85" t="s">
        <v>285</v>
      </c>
      <c r="L85" t="s">
        <v>327</v>
      </c>
    </row>
    <row r="86" spans="1:12">
      <c r="A86" t="s">
        <v>318</v>
      </c>
      <c r="B86" t="s">
        <v>319</v>
      </c>
      <c r="C86" t="s">
        <v>379</v>
      </c>
      <c r="D86" s="28">
        <v>7610900077831</v>
      </c>
      <c r="E86" s="29" t="s">
        <v>371</v>
      </c>
      <c r="F86" s="29" t="s">
        <v>372</v>
      </c>
      <c r="G86">
        <v>11</v>
      </c>
      <c r="H86" t="s">
        <v>323</v>
      </c>
      <c r="I86" t="s">
        <v>45</v>
      </c>
      <c r="J86" t="s">
        <v>325</v>
      </c>
      <c r="K86" t="s">
        <v>285</v>
      </c>
      <c r="L86" t="s">
        <v>327</v>
      </c>
    </row>
    <row r="87" spans="1:12">
      <c r="A87" t="s">
        <v>318</v>
      </c>
      <c r="B87" t="s">
        <v>319</v>
      </c>
      <c r="C87" t="s">
        <v>420</v>
      </c>
      <c r="D87" s="28">
        <v>7610900077833</v>
      </c>
      <c r="E87" s="29" t="s">
        <v>371</v>
      </c>
      <c r="F87" s="29" t="s">
        <v>372</v>
      </c>
      <c r="G87">
        <v>10</v>
      </c>
      <c r="H87" t="s">
        <v>323</v>
      </c>
      <c r="I87" t="s">
        <v>45</v>
      </c>
      <c r="J87" t="s">
        <v>325</v>
      </c>
      <c r="K87" t="s">
        <v>285</v>
      </c>
      <c r="L87" t="s">
        <v>327</v>
      </c>
    </row>
    <row r="88" spans="1:12">
      <c r="A88" t="s">
        <v>318</v>
      </c>
      <c r="B88" t="s">
        <v>319</v>
      </c>
      <c r="C88" t="s">
        <v>421</v>
      </c>
      <c r="D88" s="28">
        <v>7610900077842</v>
      </c>
      <c r="E88" s="29" t="s">
        <v>371</v>
      </c>
      <c r="F88" s="29" t="s">
        <v>372</v>
      </c>
      <c r="G88">
        <v>9</v>
      </c>
      <c r="H88" t="s">
        <v>323</v>
      </c>
      <c r="I88" t="s">
        <v>45</v>
      </c>
      <c r="J88" t="s">
        <v>325</v>
      </c>
      <c r="K88" t="s">
        <v>285</v>
      </c>
      <c r="L88" t="s">
        <v>327</v>
      </c>
    </row>
    <row r="89" spans="1:12">
      <c r="A89" t="s">
        <v>318</v>
      </c>
      <c r="B89" t="s">
        <v>319</v>
      </c>
      <c r="C89" t="s">
        <v>351</v>
      </c>
      <c r="D89" s="28">
        <v>7610900077843</v>
      </c>
      <c r="E89" s="29" t="s">
        <v>371</v>
      </c>
      <c r="F89" s="29" t="s">
        <v>372</v>
      </c>
      <c r="G89">
        <v>8</v>
      </c>
      <c r="H89" t="s">
        <v>323</v>
      </c>
      <c r="I89" t="s">
        <v>45</v>
      </c>
      <c r="J89" t="s">
        <v>325</v>
      </c>
      <c r="K89" t="s">
        <v>285</v>
      </c>
      <c r="L89" t="s">
        <v>327</v>
      </c>
    </row>
    <row r="90" spans="1:12">
      <c r="A90" t="s">
        <v>318</v>
      </c>
      <c r="B90" t="s">
        <v>319</v>
      </c>
      <c r="C90" t="s">
        <v>422</v>
      </c>
      <c r="D90" s="28">
        <v>7610900077845</v>
      </c>
      <c r="E90" s="29" t="s">
        <v>371</v>
      </c>
      <c r="F90" s="29" t="s">
        <v>372</v>
      </c>
      <c r="G90">
        <v>11</v>
      </c>
      <c r="H90" t="s">
        <v>323</v>
      </c>
      <c r="I90" t="s">
        <v>45</v>
      </c>
      <c r="J90" t="s">
        <v>325</v>
      </c>
      <c r="K90" t="s">
        <v>285</v>
      </c>
      <c r="L90" t="s">
        <v>327</v>
      </c>
    </row>
    <row r="91" spans="1:12">
      <c r="A91" t="s">
        <v>318</v>
      </c>
      <c r="B91" t="s">
        <v>319</v>
      </c>
      <c r="C91" t="s">
        <v>423</v>
      </c>
      <c r="D91" s="28">
        <v>7610900077846</v>
      </c>
      <c r="E91" s="29" t="s">
        <v>371</v>
      </c>
      <c r="F91" s="29" t="s">
        <v>372</v>
      </c>
      <c r="G91">
        <v>9</v>
      </c>
      <c r="H91" t="s">
        <v>323</v>
      </c>
      <c r="I91" t="s">
        <v>45</v>
      </c>
      <c r="J91" t="s">
        <v>325</v>
      </c>
      <c r="K91" t="s">
        <v>285</v>
      </c>
      <c r="L91" t="s">
        <v>327</v>
      </c>
    </row>
    <row r="92" spans="1:12">
      <c r="A92" t="s">
        <v>318</v>
      </c>
      <c r="B92" t="s">
        <v>319</v>
      </c>
      <c r="C92" t="s">
        <v>424</v>
      </c>
      <c r="D92" s="28">
        <v>7610900077848</v>
      </c>
      <c r="E92" s="29" t="s">
        <v>371</v>
      </c>
      <c r="F92" s="29" t="s">
        <v>372</v>
      </c>
      <c r="G92">
        <v>8</v>
      </c>
      <c r="H92" t="s">
        <v>323</v>
      </c>
      <c r="I92" t="s">
        <v>45</v>
      </c>
      <c r="J92" t="s">
        <v>325</v>
      </c>
      <c r="K92" t="s">
        <v>285</v>
      </c>
      <c r="L92" t="s">
        <v>327</v>
      </c>
    </row>
    <row r="93" spans="1:12">
      <c r="A93" t="s">
        <v>318</v>
      </c>
      <c r="B93" t="s">
        <v>319</v>
      </c>
      <c r="C93" t="s">
        <v>425</v>
      </c>
      <c r="D93" s="28">
        <v>7610900100374</v>
      </c>
      <c r="E93" s="29" t="s">
        <v>371</v>
      </c>
      <c r="F93" s="29" t="s">
        <v>372</v>
      </c>
      <c r="G93">
        <v>9</v>
      </c>
      <c r="H93" t="s">
        <v>323</v>
      </c>
      <c r="I93" t="s">
        <v>45</v>
      </c>
      <c r="J93" t="s">
        <v>325</v>
      </c>
      <c r="K93" t="s">
        <v>285</v>
      </c>
      <c r="L93" t="s">
        <v>327</v>
      </c>
    </row>
    <row r="94" spans="1:12">
      <c r="A94" t="s">
        <v>318</v>
      </c>
      <c r="B94" t="s">
        <v>319</v>
      </c>
      <c r="C94" t="s">
        <v>426</v>
      </c>
      <c r="D94" s="28">
        <v>7610900102198</v>
      </c>
      <c r="E94" s="29" t="s">
        <v>371</v>
      </c>
      <c r="F94" s="29" t="s">
        <v>372</v>
      </c>
      <c r="G94">
        <v>10</v>
      </c>
      <c r="H94" t="s">
        <v>323</v>
      </c>
      <c r="I94" t="s">
        <v>45</v>
      </c>
      <c r="J94" t="s">
        <v>325</v>
      </c>
      <c r="K94" t="s">
        <v>285</v>
      </c>
      <c r="L94" t="s">
        <v>327</v>
      </c>
    </row>
    <row r="95" spans="1:12">
      <c r="A95" t="s">
        <v>318</v>
      </c>
      <c r="B95" t="s">
        <v>319</v>
      </c>
      <c r="C95" t="s">
        <v>427</v>
      </c>
      <c r="D95" s="28">
        <v>7610900116732</v>
      </c>
      <c r="E95" s="29" t="s">
        <v>371</v>
      </c>
      <c r="F95" s="29" t="s">
        <v>372</v>
      </c>
      <c r="G95">
        <v>10</v>
      </c>
      <c r="H95" t="s">
        <v>323</v>
      </c>
      <c r="I95" t="s">
        <v>45</v>
      </c>
      <c r="J95" t="s">
        <v>325</v>
      </c>
      <c r="K95" t="s">
        <v>285</v>
      </c>
      <c r="L95" t="s">
        <v>327</v>
      </c>
    </row>
    <row r="96" spans="1:12">
      <c r="A96" t="s">
        <v>318</v>
      </c>
      <c r="B96" t="s">
        <v>319</v>
      </c>
      <c r="C96" t="s">
        <v>428</v>
      </c>
      <c r="D96" s="28">
        <v>7610900084794</v>
      </c>
      <c r="E96" s="29" t="s">
        <v>371</v>
      </c>
      <c r="F96" s="29" t="s">
        <v>372</v>
      </c>
      <c r="G96">
        <v>9</v>
      </c>
      <c r="H96" t="s">
        <v>323</v>
      </c>
      <c r="I96" t="s">
        <v>45</v>
      </c>
      <c r="J96" t="s">
        <v>325</v>
      </c>
      <c r="K96" t="s">
        <v>285</v>
      </c>
      <c r="L96" t="s">
        <v>327</v>
      </c>
    </row>
    <row r="97" spans="1:12">
      <c r="A97" t="s">
        <v>318</v>
      </c>
      <c r="B97" t="s">
        <v>319</v>
      </c>
      <c r="C97" t="s">
        <v>429</v>
      </c>
      <c r="D97" s="28">
        <v>7610900084811</v>
      </c>
      <c r="E97" s="29" t="s">
        <v>371</v>
      </c>
      <c r="F97" s="29" t="s">
        <v>372</v>
      </c>
      <c r="G97">
        <v>10</v>
      </c>
      <c r="H97" t="s">
        <v>323</v>
      </c>
      <c r="I97" t="s">
        <v>45</v>
      </c>
      <c r="J97" t="s">
        <v>325</v>
      </c>
      <c r="K97" t="s">
        <v>285</v>
      </c>
      <c r="L97" t="s">
        <v>327</v>
      </c>
    </row>
    <row r="98" spans="1:12">
      <c r="A98" t="s">
        <v>318</v>
      </c>
      <c r="B98" t="s">
        <v>319</v>
      </c>
      <c r="C98" t="s">
        <v>430</v>
      </c>
      <c r="D98" s="28">
        <v>7610900084824</v>
      </c>
      <c r="E98" s="29" t="s">
        <v>371</v>
      </c>
      <c r="F98" s="29" t="s">
        <v>372</v>
      </c>
      <c r="G98">
        <v>8</v>
      </c>
      <c r="H98" t="s">
        <v>323</v>
      </c>
      <c r="I98" t="s">
        <v>45</v>
      </c>
      <c r="J98" t="s">
        <v>325</v>
      </c>
      <c r="K98" t="s">
        <v>285</v>
      </c>
      <c r="L98" t="s">
        <v>327</v>
      </c>
    </row>
    <row r="99" spans="1:12">
      <c r="A99" t="s">
        <v>318</v>
      </c>
      <c r="B99" t="s">
        <v>319</v>
      </c>
      <c r="C99" t="s">
        <v>431</v>
      </c>
      <c r="D99" s="28">
        <v>7610900085612</v>
      </c>
      <c r="E99" s="29" t="s">
        <v>371</v>
      </c>
      <c r="F99" s="29" t="s">
        <v>372</v>
      </c>
      <c r="G99">
        <v>7</v>
      </c>
      <c r="H99" t="s">
        <v>323</v>
      </c>
      <c r="I99" t="s">
        <v>45</v>
      </c>
      <c r="J99" t="s">
        <v>325</v>
      </c>
      <c r="K99" t="s">
        <v>285</v>
      </c>
      <c r="L99" t="s">
        <v>327</v>
      </c>
    </row>
    <row r="100" spans="1:12">
      <c r="A100" t="s">
        <v>318</v>
      </c>
      <c r="B100" t="s">
        <v>319</v>
      </c>
      <c r="C100" t="s">
        <v>432</v>
      </c>
      <c r="D100" s="28">
        <v>7610900091388</v>
      </c>
      <c r="E100" s="29" t="s">
        <v>371</v>
      </c>
      <c r="F100" s="29" t="s">
        <v>372</v>
      </c>
      <c r="G100">
        <v>12</v>
      </c>
      <c r="H100" t="s">
        <v>323</v>
      </c>
      <c r="I100" t="s">
        <v>45</v>
      </c>
      <c r="J100" t="s">
        <v>325</v>
      </c>
      <c r="K100" t="s">
        <v>285</v>
      </c>
      <c r="L100" t="s">
        <v>327</v>
      </c>
    </row>
    <row r="101" spans="1:12">
      <c r="A101" t="s">
        <v>318</v>
      </c>
      <c r="B101" t="s">
        <v>319</v>
      </c>
      <c r="C101" t="s">
        <v>433</v>
      </c>
      <c r="D101" s="28">
        <v>7610900091390</v>
      </c>
      <c r="E101" s="29" t="s">
        <v>371</v>
      </c>
      <c r="F101" s="29" t="s">
        <v>372</v>
      </c>
      <c r="G101">
        <v>13</v>
      </c>
      <c r="H101" t="s">
        <v>323</v>
      </c>
      <c r="I101" t="s">
        <v>45</v>
      </c>
      <c r="J101" t="s">
        <v>325</v>
      </c>
      <c r="K101" t="s">
        <v>285</v>
      </c>
      <c r="L101" t="s">
        <v>327</v>
      </c>
    </row>
    <row r="102" spans="1:12">
      <c r="A102" t="s">
        <v>318</v>
      </c>
      <c r="B102" t="s">
        <v>319</v>
      </c>
      <c r="C102" t="s">
        <v>434</v>
      </c>
      <c r="D102" s="28">
        <v>7610900091392</v>
      </c>
      <c r="E102" s="29" t="s">
        <v>371</v>
      </c>
      <c r="F102" s="29" t="s">
        <v>372</v>
      </c>
      <c r="G102">
        <v>8</v>
      </c>
      <c r="H102" t="s">
        <v>323</v>
      </c>
      <c r="I102" t="s">
        <v>45</v>
      </c>
      <c r="J102" t="s">
        <v>325</v>
      </c>
      <c r="K102" t="s">
        <v>285</v>
      </c>
      <c r="L102" t="s">
        <v>327</v>
      </c>
    </row>
    <row r="103" spans="1:12">
      <c r="A103" t="s">
        <v>318</v>
      </c>
      <c r="B103" t="s">
        <v>319</v>
      </c>
      <c r="C103" t="s">
        <v>435</v>
      </c>
      <c r="D103" s="28">
        <v>7610900091563</v>
      </c>
      <c r="E103" s="29" t="s">
        <v>371</v>
      </c>
      <c r="F103" s="29" t="s">
        <v>372</v>
      </c>
      <c r="G103">
        <v>10</v>
      </c>
      <c r="H103" t="s">
        <v>323</v>
      </c>
      <c r="I103" t="s">
        <v>45</v>
      </c>
      <c r="J103" t="s">
        <v>325</v>
      </c>
      <c r="K103" t="s">
        <v>285</v>
      </c>
      <c r="L103" t="s">
        <v>327</v>
      </c>
    </row>
    <row r="104" spans="1:12">
      <c r="A104" t="s">
        <v>318</v>
      </c>
      <c r="B104" t="s">
        <v>319</v>
      </c>
      <c r="C104" t="s">
        <v>422</v>
      </c>
      <c r="D104" s="28">
        <v>7610900091570</v>
      </c>
      <c r="E104" s="29" t="s">
        <v>371</v>
      </c>
      <c r="F104" s="29" t="s">
        <v>372</v>
      </c>
      <c r="G104">
        <v>11</v>
      </c>
      <c r="H104" t="s">
        <v>323</v>
      </c>
      <c r="I104" t="s">
        <v>45</v>
      </c>
      <c r="J104" t="s">
        <v>325</v>
      </c>
      <c r="K104" t="s">
        <v>285</v>
      </c>
      <c r="L104" t="s">
        <v>327</v>
      </c>
    </row>
    <row r="105" spans="1:12">
      <c r="A105" t="s">
        <v>318</v>
      </c>
      <c r="B105" t="s">
        <v>319</v>
      </c>
      <c r="C105" t="s">
        <v>436</v>
      </c>
      <c r="D105" s="28">
        <v>7610900091571</v>
      </c>
      <c r="E105" s="29" t="s">
        <v>371</v>
      </c>
      <c r="F105" s="29" t="s">
        <v>372</v>
      </c>
      <c r="G105">
        <v>6</v>
      </c>
      <c r="H105" t="s">
        <v>323</v>
      </c>
      <c r="I105" t="s">
        <v>45</v>
      </c>
      <c r="J105" t="s">
        <v>325</v>
      </c>
      <c r="K105" t="s">
        <v>285</v>
      </c>
      <c r="L105" t="s">
        <v>327</v>
      </c>
    </row>
    <row r="106" spans="1:12">
      <c r="A106" t="s">
        <v>318</v>
      </c>
      <c r="B106" t="s">
        <v>319</v>
      </c>
      <c r="C106" t="s">
        <v>437</v>
      </c>
      <c r="D106" s="28">
        <v>7610900091572</v>
      </c>
      <c r="E106" s="29" t="s">
        <v>371</v>
      </c>
      <c r="F106" s="29" t="s">
        <v>372</v>
      </c>
      <c r="G106">
        <v>12</v>
      </c>
      <c r="H106" t="s">
        <v>323</v>
      </c>
      <c r="I106" t="s">
        <v>45</v>
      </c>
      <c r="J106" t="s">
        <v>325</v>
      </c>
      <c r="K106" t="s">
        <v>285</v>
      </c>
      <c r="L106" t="s">
        <v>327</v>
      </c>
    </row>
    <row r="107" spans="1:12">
      <c r="A107" t="s">
        <v>318</v>
      </c>
      <c r="B107" t="s">
        <v>319</v>
      </c>
      <c r="C107" t="s">
        <v>438</v>
      </c>
      <c r="D107" s="28">
        <v>7610900091575</v>
      </c>
      <c r="E107" s="29" t="s">
        <v>371</v>
      </c>
      <c r="F107" s="29" t="s">
        <v>372</v>
      </c>
      <c r="G107">
        <v>9</v>
      </c>
      <c r="H107" t="s">
        <v>323</v>
      </c>
      <c r="I107" t="s">
        <v>45</v>
      </c>
      <c r="J107" t="s">
        <v>325</v>
      </c>
      <c r="K107" t="s">
        <v>285</v>
      </c>
      <c r="L107" t="s">
        <v>327</v>
      </c>
    </row>
    <row r="108" spans="1:12">
      <c r="A108" t="s">
        <v>318</v>
      </c>
      <c r="B108" t="s">
        <v>319</v>
      </c>
      <c r="C108" t="s">
        <v>439</v>
      </c>
      <c r="D108" s="28">
        <v>761091126870</v>
      </c>
      <c r="E108" s="29" t="s">
        <v>371</v>
      </c>
      <c r="F108" s="29" t="s">
        <v>372</v>
      </c>
      <c r="G108">
        <v>12</v>
      </c>
      <c r="H108" t="s">
        <v>323</v>
      </c>
      <c r="I108" t="s">
        <v>45</v>
      </c>
      <c r="J108" t="s">
        <v>325</v>
      </c>
      <c r="K108" t="s">
        <v>285</v>
      </c>
      <c r="L108" t="s">
        <v>327</v>
      </c>
    </row>
    <row r="109" spans="1:12">
      <c r="A109" t="s">
        <v>318</v>
      </c>
      <c r="B109" t="s">
        <v>319</v>
      </c>
      <c r="C109" t="s">
        <v>440</v>
      </c>
      <c r="D109" s="28">
        <v>7610900099148</v>
      </c>
      <c r="E109" s="29" t="s">
        <v>441</v>
      </c>
      <c r="F109" s="29" t="s">
        <v>372</v>
      </c>
      <c r="G109">
        <v>13</v>
      </c>
      <c r="H109" t="s">
        <v>323</v>
      </c>
      <c r="I109" t="s">
        <v>45</v>
      </c>
      <c r="J109" t="s">
        <v>325</v>
      </c>
      <c r="K109" t="s">
        <v>285</v>
      </c>
      <c r="L109" t="s">
        <v>327</v>
      </c>
    </row>
    <row r="110" spans="1:12">
      <c r="A110" t="s">
        <v>318</v>
      </c>
      <c r="B110" t="s">
        <v>319</v>
      </c>
      <c r="C110" t="s">
        <v>442</v>
      </c>
      <c r="D110" s="28">
        <v>7610900099149</v>
      </c>
      <c r="E110" s="29" t="s">
        <v>441</v>
      </c>
      <c r="F110" s="29" t="s">
        <v>372</v>
      </c>
      <c r="G110">
        <v>13</v>
      </c>
      <c r="H110" t="s">
        <v>323</v>
      </c>
      <c r="I110" t="s">
        <v>45</v>
      </c>
      <c r="J110" t="s">
        <v>325</v>
      </c>
      <c r="K110" t="s">
        <v>285</v>
      </c>
      <c r="L110" t="s">
        <v>327</v>
      </c>
    </row>
    <row r="111" spans="1:12">
      <c r="A111" t="s">
        <v>318</v>
      </c>
      <c r="B111" t="s">
        <v>319</v>
      </c>
      <c r="C111" t="s">
        <v>443</v>
      </c>
      <c r="D111" s="28">
        <v>7610900099150</v>
      </c>
      <c r="E111" s="29" t="s">
        <v>371</v>
      </c>
      <c r="F111" s="29" t="s">
        <v>372</v>
      </c>
      <c r="G111">
        <v>13</v>
      </c>
      <c r="H111" t="s">
        <v>323</v>
      </c>
      <c r="I111" t="s">
        <v>45</v>
      </c>
      <c r="J111" t="s">
        <v>325</v>
      </c>
      <c r="K111" t="s">
        <v>285</v>
      </c>
      <c r="L111" t="s">
        <v>327</v>
      </c>
    </row>
    <row r="112" spans="1:12">
      <c r="A112" t="s">
        <v>318</v>
      </c>
      <c r="B112" t="s">
        <v>319</v>
      </c>
      <c r="C112" t="s">
        <v>444</v>
      </c>
      <c r="D112" s="28">
        <v>7610900099152</v>
      </c>
      <c r="E112" s="29" t="s">
        <v>371</v>
      </c>
      <c r="F112" s="29" t="s">
        <v>372</v>
      </c>
      <c r="G112">
        <v>13</v>
      </c>
      <c r="H112" t="s">
        <v>323</v>
      </c>
      <c r="I112" t="s">
        <v>45</v>
      </c>
      <c r="J112" t="s">
        <v>325</v>
      </c>
      <c r="K112" t="s">
        <v>285</v>
      </c>
      <c r="L112" t="s">
        <v>327</v>
      </c>
    </row>
    <row r="113" spans="1:12">
      <c r="A113" t="s">
        <v>318</v>
      </c>
      <c r="B113" t="s">
        <v>319</v>
      </c>
      <c r="C113" t="s">
        <v>445</v>
      </c>
      <c r="D113" s="28">
        <v>7610900099153</v>
      </c>
      <c r="E113" s="29" t="s">
        <v>371</v>
      </c>
      <c r="F113" s="29" t="s">
        <v>372</v>
      </c>
      <c r="G113">
        <v>13</v>
      </c>
      <c r="H113" t="s">
        <v>323</v>
      </c>
      <c r="I113" t="s">
        <v>45</v>
      </c>
      <c r="J113" t="s">
        <v>325</v>
      </c>
      <c r="K113" t="s">
        <v>285</v>
      </c>
      <c r="L113" t="s">
        <v>327</v>
      </c>
    </row>
    <row r="114" spans="1:12">
      <c r="A114" t="s">
        <v>318</v>
      </c>
      <c r="B114" t="s">
        <v>319</v>
      </c>
      <c r="C114" t="s">
        <v>446</v>
      </c>
      <c r="D114" s="28">
        <v>7610900099155</v>
      </c>
      <c r="E114" s="29" t="s">
        <v>371</v>
      </c>
      <c r="F114" s="29" t="s">
        <v>372</v>
      </c>
      <c r="G114">
        <v>13</v>
      </c>
      <c r="H114" t="s">
        <v>323</v>
      </c>
      <c r="I114" t="s">
        <v>45</v>
      </c>
      <c r="J114" t="s">
        <v>325</v>
      </c>
      <c r="K114" t="s">
        <v>285</v>
      </c>
      <c r="L114" t="s">
        <v>327</v>
      </c>
    </row>
    <row r="115" spans="1:12">
      <c r="A115" t="s">
        <v>318</v>
      </c>
      <c r="B115" t="s">
        <v>319</v>
      </c>
      <c r="C115" t="s">
        <v>447</v>
      </c>
      <c r="D115" s="28">
        <v>7610900099156</v>
      </c>
      <c r="E115" s="29" t="s">
        <v>441</v>
      </c>
      <c r="F115" s="29" t="s">
        <v>372</v>
      </c>
      <c r="G115">
        <v>13</v>
      </c>
      <c r="H115" t="s">
        <v>323</v>
      </c>
      <c r="I115" t="s">
        <v>45</v>
      </c>
      <c r="J115" t="s">
        <v>325</v>
      </c>
      <c r="K115" t="s">
        <v>285</v>
      </c>
      <c r="L115" t="s">
        <v>327</v>
      </c>
    </row>
    <row r="116" spans="1:12">
      <c r="A116" t="s">
        <v>318</v>
      </c>
      <c r="B116" t="s">
        <v>319</v>
      </c>
      <c r="C116" t="s">
        <v>448</v>
      </c>
      <c r="D116" s="28">
        <v>7610900099158</v>
      </c>
      <c r="E116" s="29" t="s">
        <v>441</v>
      </c>
      <c r="F116" s="29" t="s">
        <v>372</v>
      </c>
      <c r="G116">
        <v>13</v>
      </c>
      <c r="H116" t="s">
        <v>323</v>
      </c>
      <c r="I116" t="s">
        <v>45</v>
      </c>
      <c r="J116" t="s">
        <v>325</v>
      </c>
      <c r="K116" t="s">
        <v>285</v>
      </c>
      <c r="L116" t="s">
        <v>327</v>
      </c>
    </row>
    <row r="117" spans="1:12">
      <c r="A117" t="s">
        <v>318</v>
      </c>
      <c r="B117" t="s">
        <v>319</v>
      </c>
      <c r="C117" t="s">
        <v>449</v>
      </c>
      <c r="D117" s="28">
        <v>7610900099159</v>
      </c>
      <c r="E117" s="29" t="s">
        <v>371</v>
      </c>
      <c r="F117" s="29" t="s">
        <v>372</v>
      </c>
      <c r="G117">
        <v>13</v>
      </c>
      <c r="H117" t="s">
        <v>323</v>
      </c>
      <c r="I117" t="s">
        <v>45</v>
      </c>
      <c r="J117" t="s">
        <v>325</v>
      </c>
      <c r="K117" t="s">
        <v>285</v>
      </c>
      <c r="L117" t="s">
        <v>327</v>
      </c>
    </row>
    <row r="118" spans="1:12">
      <c r="A118" t="s">
        <v>318</v>
      </c>
      <c r="B118" t="s">
        <v>319</v>
      </c>
      <c r="C118" t="s">
        <v>450</v>
      </c>
      <c r="D118" s="28">
        <v>7610900099160</v>
      </c>
      <c r="E118" s="29" t="s">
        <v>441</v>
      </c>
      <c r="F118" s="29" t="s">
        <v>372</v>
      </c>
      <c r="G118">
        <v>13</v>
      </c>
      <c r="H118" t="s">
        <v>323</v>
      </c>
      <c r="I118" t="s">
        <v>45</v>
      </c>
      <c r="J118" t="s">
        <v>325</v>
      </c>
      <c r="K118" t="s">
        <v>285</v>
      </c>
      <c r="L118" t="s">
        <v>327</v>
      </c>
    </row>
    <row r="119" spans="1:12">
      <c r="A119" t="s">
        <v>318</v>
      </c>
      <c r="B119" t="s">
        <v>319</v>
      </c>
      <c r="C119" t="s">
        <v>451</v>
      </c>
      <c r="D119" s="28">
        <v>7610900099161</v>
      </c>
      <c r="E119" s="29" t="s">
        <v>371</v>
      </c>
      <c r="F119" s="29" t="s">
        <v>372</v>
      </c>
      <c r="G119">
        <v>13</v>
      </c>
      <c r="H119" t="s">
        <v>323</v>
      </c>
      <c r="I119" t="s">
        <v>45</v>
      </c>
      <c r="J119" t="s">
        <v>325</v>
      </c>
      <c r="K119" t="s">
        <v>285</v>
      </c>
      <c r="L119" t="s">
        <v>327</v>
      </c>
    </row>
    <row r="120" spans="1:12">
      <c r="A120" t="s">
        <v>318</v>
      </c>
      <c r="B120" t="s">
        <v>319</v>
      </c>
      <c r="C120" t="s">
        <v>452</v>
      </c>
      <c r="D120" s="28">
        <v>7610900099162</v>
      </c>
      <c r="E120" s="29" t="s">
        <v>441</v>
      </c>
      <c r="F120" s="29" t="s">
        <v>372</v>
      </c>
      <c r="G120">
        <v>13</v>
      </c>
      <c r="H120" t="s">
        <v>323</v>
      </c>
      <c r="I120" t="s">
        <v>45</v>
      </c>
      <c r="J120" t="s">
        <v>325</v>
      </c>
      <c r="K120" t="s">
        <v>285</v>
      </c>
      <c r="L120" t="s">
        <v>327</v>
      </c>
    </row>
    <row r="121" spans="1:12">
      <c r="A121" t="s">
        <v>318</v>
      </c>
      <c r="B121" t="s">
        <v>319</v>
      </c>
      <c r="C121" t="s">
        <v>453</v>
      </c>
      <c r="D121" s="28">
        <v>7610900099163</v>
      </c>
      <c r="E121" s="29" t="s">
        <v>371</v>
      </c>
      <c r="F121" s="29" t="s">
        <v>372</v>
      </c>
      <c r="G121">
        <v>13</v>
      </c>
      <c r="H121" t="s">
        <v>323</v>
      </c>
      <c r="I121" t="s">
        <v>45</v>
      </c>
      <c r="J121" t="s">
        <v>325</v>
      </c>
      <c r="K121" t="s">
        <v>285</v>
      </c>
      <c r="L121" t="s">
        <v>327</v>
      </c>
    </row>
    <row r="122" spans="1:12">
      <c r="A122" t="s">
        <v>318</v>
      </c>
      <c r="B122" t="s">
        <v>319</v>
      </c>
      <c r="C122" t="s">
        <v>454</v>
      </c>
      <c r="D122" s="28">
        <v>7610900099164</v>
      </c>
      <c r="E122" s="29" t="s">
        <v>371</v>
      </c>
      <c r="F122" s="29" t="s">
        <v>372</v>
      </c>
      <c r="G122">
        <v>13</v>
      </c>
      <c r="H122" t="s">
        <v>323</v>
      </c>
      <c r="I122" t="s">
        <v>45</v>
      </c>
      <c r="J122" t="s">
        <v>325</v>
      </c>
      <c r="K122" t="s">
        <v>285</v>
      </c>
      <c r="L122" t="s">
        <v>327</v>
      </c>
    </row>
    <row r="123" spans="1:12">
      <c r="A123" t="s">
        <v>318</v>
      </c>
      <c r="B123" t="s">
        <v>319</v>
      </c>
      <c r="C123" t="s">
        <v>455</v>
      </c>
      <c r="D123" s="28">
        <v>7610900099166</v>
      </c>
      <c r="E123" s="29" t="s">
        <v>371</v>
      </c>
      <c r="F123" s="29" t="s">
        <v>372</v>
      </c>
      <c r="G123">
        <v>8</v>
      </c>
      <c r="H123" t="s">
        <v>323</v>
      </c>
      <c r="I123" t="s">
        <v>45</v>
      </c>
      <c r="J123" t="s">
        <v>325</v>
      </c>
      <c r="K123" t="s">
        <v>285</v>
      </c>
      <c r="L123" t="s">
        <v>327</v>
      </c>
    </row>
    <row r="124" spans="1:12">
      <c r="A124" t="s">
        <v>318</v>
      </c>
      <c r="B124" t="s">
        <v>319</v>
      </c>
      <c r="C124" t="s">
        <v>456</v>
      </c>
      <c r="D124" s="28">
        <v>7610900099167</v>
      </c>
      <c r="E124" s="29" t="s">
        <v>371</v>
      </c>
      <c r="F124" s="29" t="s">
        <v>372</v>
      </c>
      <c r="G124">
        <v>13</v>
      </c>
      <c r="H124" t="s">
        <v>323</v>
      </c>
      <c r="I124" t="s">
        <v>45</v>
      </c>
      <c r="J124" t="s">
        <v>325</v>
      </c>
      <c r="K124" t="s">
        <v>285</v>
      </c>
      <c r="L124" t="s">
        <v>327</v>
      </c>
    </row>
    <row r="125" spans="1:12">
      <c r="A125" t="s">
        <v>318</v>
      </c>
      <c r="B125" t="s">
        <v>319</v>
      </c>
      <c r="C125" t="s">
        <v>457</v>
      </c>
      <c r="D125" s="28">
        <v>7610900099168</v>
      </c>
      <c r="E125" s="29" t="s">
        <v>371</v>
      </c>
      <c r="F125" s="29" t="s">
        <v>372</v>
      </c>
      <c r="G125">
        <v>13</v>
      </c>
      <c r="H125" t="s">
        <v>323</v>
      </c>
      <c r="I125" t="s">
        <v>45</v>
      </c>
      <c r="J125" t="s">
        <v>325</v>
      </c>
      <c r="K125" t="s">
        <v>285</v>
      </c>
      <c r="L125" t="s">
        <v>327</v>
      </c>
    </row>
    <row r="126" spans="1:12">
      <c r="A126" t="s">
        <v>318</v>
      </c>
      <c r="B126" t="s">
        <v>319</v>
      </c>
      <c r="C126" t="s">
        <v>348</v>
      </c>
      <c r="D126" s="28">
        <v>7610900099169</v>
      </c>
      <c r="E126" s="29" t="s">
        <v>371</v>
      </c>
      <c r="F126" s="29" t="s">
        <v>372</v>
      </c>
      <c r="G126">
        <v>6</v>
      </c>
      <c r="H126" t="s">
        <v>323</v>
      </c>
      <c r="I126" t="s">
        <v>45</v>
      </c>
      <c r="J126" t="s">
        <v>325</v>
      </c>
      <c r="K126" t="s">
        <v>285</v>
      </c>
      <c r="L126" t="s">
        <v>327</v>
      </c>
    </row>
    <row r="127" spans="1:12">
      <c r="A127" t="s">
        <v>318</v>
      </c>
      <c r="B127" t="s">
        <v>319</v>
      </c>
      <c r="C127" t="s">
        <v>458</v>
      </c>
      <c r="D127" s="28">
        <v>7610900126884</v>
      </c>
      <c r="E127" s="29" t="s">
        <v>393</v>
      </c>
      <c r="F127" s="29" t="s">
        <v>372</v>
      </c>
      <c r="G127">
        <v>50</v>
      </c>
      <c r="H127" t="s">
        <v>323</v>
      </c>
      <c r="I127" t="s">
        <v>45</v>
      </c>
      <c r="J127" t="s">
        <v>325</v>
      </c>
      <c r="K127" t="s">
        <v>394</v>
      </c>
      <c r="L127" t="s">
        <v>327</v>
      </c>
    </row>
    <row r="128" spans="1:12">
      <c r="A128" t="s">
        <v>318</v>
      </c>
      <c r="B128" t="s">
        <v>319</v>
      </c>
      <c r="C128" t="s">
        <v>459</v>
      </c>
      <c r="D128" s="28">
        <v>7610900126892</v>
      </c>
      <c r="E128" s="29" t="s">
        <v>393</v>
      </c>
      <c r="F128" s="29" t="s">
        <v>372</v>
      </c>
      <c r="G128">
        <v>50</v>
      </c>
      <c r="H128" t="s">
        <v>323</v>
      </c>
      <c r="I128" t="s">
        <v>45</v>
      </c>
      <c r="J128" t="s">
        <v>325</v>
      </c>
      <c r="K128" t="s">
        <v>337</v>
      </c>
      <c r="L128" t="s">
        <v>327</v>
      </c>
    </row>
    <row r="129" spans="1:12">
      <c r="A129" t="s">
        <v>318</v>
      </c>
      <c r="B129" t="s">
        <v>319</v>
      </c>
      <c r="C129" t="s">
        <v>460</v>
      </c>
      <c r="D129" s="28">
        <v>7610900128874</v>
      </c>
      <c r="E129" s="29" t="s">
        <v>393</v>
      </c>
      <c r="F129" s="29" t="s">
        <v>372</v>
      </c>
      <c r="G129">
        <v>25</v>
      </c>
      <c r="H129" t="s">
        <v>323</v>
      </c>
      <c r="I129" t="s">
        <v>45</v>
      </c>
      <c r="J129" t="s">
        <v>325</v>
      </c>
      <c r="K129" t="s">
        <v>394</v>
      </c>
      <c r="L129" t="s">
        <v>327</v>
      </c>
    </row>
    <row r="130" spans="1:12">
      <c r="A130" t="s">
        <v>318</v>
      </c>
      <c r="B130" t="s">
        <v>319</v>
      </c>
      <c r="C130" t="s">
        <v>461</v>
      </c>
      <c r="D130" s="28">
        <v>761091113511</v>
      </c>
      <c r="E130" s="29" t="s">
        <v>393</v>
      </c>
      <c r="F130" s="29" t="s">
        <v>372</v>
      </c>
      <c r="G130">
        <v>50</v>
      </c>
      <c r="H130" t="s">
        <v>323</v>
      </c>
      <c r="I130" t="s">
        <v>45</v>
      </c>
      <c r="J130" t="s">
        <v>325</v>
      </c>
      <c r="K130" t="s">
        <v>365</v>
      </c>
      <c r="L130" t="s">
        <v>327</v>
      </c>
    </row>
    <row r="131" spans="1:12">
      <c r="A131" t="s">
        <v>318</v>
      </c>
      <c r="B131" t="s">
        <v>319</v>
      </c>
      <c r="C131" t="s">
        <v>462</v>
      </c>
      <c r="D131" s="28">
        <v>761091126123</v>
      </c>
      <c r="E131" s="29" t="s">
        <v>393</v>
      </c>
      <c r="F131" s="29" t="s">
        <v>372</v>
      </c>
      <c r="G131">
        <v>25</v>
      </c>
      <c r="H131" t="s">
        <v>323</v>
      </c>
      <c r="I131" t="s">
        <v>45</v>
      </c>
      <c r="J131" t="s">
        <v>325</v>
      </c>
      <c r="K131" t="s">
        <v>365</v>
      </c>
      <c r="L131" t="s">
        <v>327</v>
      </c>
    </row>
    <row r="132" spans="1:12">
      <c r="A132" t="s">
        <v>318</v>
      </c>
      <c r="B132" t="s">
        <v>319</v>
      </c>
      <c r="C132" t="s">
        <v>463</v>
      </c>
      <c r="D132" s="28">
        <v>761091126128</v>
      </c>
      <c r="E132" s="29" t="s">
        <v>393</v>
      </c>
      <c r="F132" s="29" t="s">
        <v>372</v>
      </c>
      <c r="G132">
        <v>25</v>
      </c>
      <c r="H132" t="s">
        <v>323</v>
      </c>
      <c r="I132" t="s">
        <v>45</v>
      </c>
      <c r="J132" t="s">
        <v>325</v>
      </c>
      <c r="K132" t="s">
        <v>365</v>
      </c>
      <c r="L132" t="s">
        <v>327</v>
      </c>
    </row>
    <row r="133" spans="1:12">
      <c r="A133" t="s">
        <v>318</v>
      </c>
      <c r="B133" t="s">
        <v>319</v>
      </c>
      <c r="C133" t="s">
        <v>464</v>
      </c>
      <c r="D133" s="28">
        <v>761091126160</v>
      </c>
      <c r="E133" s="29" t="s">
        <v>393</v>
      </c>
      <c r="F133" s="29" t="s">
        <v>372</v>
      </c>
      <c r="G133">
        <v>50</v>
      </c>
      <c r="H133" t="s">
        <v>323</v>
      </c>
      <c r="I133" t="s">
        <v>45</v>
      </c>
      <c r="J133" t="s">
        <v>325</v>
      </c>
      <c r="K133" t="s">
        <v>365</v>
      </c>
      <c r="L133" t="s">
        <v>327</v>
      </c>
    </row>
    <row r="134" spans="1:12">
      <c r="A134" t="s">
        <v>318</v>
      </c>
      <c r="B134" t="s">
        <v>319</v>
      </c>
      <c r="C134" t="s">
        <v>465</v>
      </c>
      <c r="D134" s="28">
        <v>761091126165</v>
      </c>
      <c r="E134" s="29" t="s">
        <v>393</v>
      </c>
      <c r="F134" s="29" t="s">
        <v>372</v>
      </c>
      <c r="G134">
        <v>40</v>
      </c>
      <c r="H134" t="s">
        <v>323</v>
      </c>
      <c r="I134" t="s">
        <v>45</v>
      </c>
      <c r="J134" t="s">
        <v>325</v>
      </c>
      <c r="K134" t="s">
        <v>365</v>
      </c>
      <c r="L134" t="s">
        <v>327</v>
      </c>
    </row>
    <row r="135" spans="1:12">
      <c r="A135" t="s">
        <v>318</v>
      </c>
      <c r="B135" t="s">
        <v>319</v>
      </c>
      <c r="C135" t="s">
        <v>466</v>
      </c>
      <c r="D135" s="28">
        <v>761091126167</v>
      </c>
      <c r="E135" s="29" t="s">
        <v>393</v>
      </c>
      <c r="F135" s="29" t="s">
        <v>372</v>
      </c>
      <c r="G135">
        <v>25</v>
      </c>
      <c r="H135" t="s">
        <v>323</v>
      </c>
      <c r="I135" t="s">
        <v>45</v>
      </c>
      <c r="J135" t="s">
        <v>325</v>
      </c>
      <c r="K135" t="s">
        <v>365</v>
      </c>
      <c r="L135" t="s">
        <v>327</v>
      </c>
    </row>
    <row r="136" spans="1:12">
      <c r="A136" t="s">
        <v>318</v>
      </c>
      <c r="B136" t="s">
        <v>319</v>
      </c>
      <c r="C136" t="s">
        <v>467</v>
      </c>
      <c r="D136" s="28">
        <v>761091126169</v>
      </c>
      <c r="E136" s="29" t="s">
        <v>393</v>
      </c>
      <c r="F136" s="29" t="s">
        <v>372</v>
      </c>
      <c r="G136">
        <v>50</v>
      </c>
      <c r="H136" t="s">
        <v>323</v>
      </c>
      <c r="I136" t="s">
        <v>45</v>
      </c>
      <c r="J136" t="s">
        <v>325</v>
      </c>
      <c r="K136" t="s">
        <v>365</v>
      </c>
      <c r="L136" t="s">
        <v>327</v>
      </c>
    </row>
    <row r="137" spans="1:12">
      <c r="A137" t="s">
        <v>318</v>
      </c>
      <c r="B137" t="s">
        <v>319</v>
      </c>
      <c r="C137" t="s">
        <v>468</v>
      </c>
      <c r="D137" s="28">
        <v>761091126171</v>
      </c>
      <c r="E137" s="29" t="s">
        <v>393</v>
      </c>
      <c r="F137" s="29" t="s">
        <v>372</v>
      </c>
      <c r="G137">
        <v>50</v>
      </c>
      <c r="H137" t="s">
        <v>323</v>
      </c>
      <c r="I137" t="s">
        <v>45</v>
      </c>
      <c r="J137" t="s">
        <v>325</v>
      </c>
      <c r="K137" t="s">
        <v>365</v>
      </c>
      <c r="L137" t="s">
        <v>327</v>
      </c>
    </row>
    <row r="138" spans="1:12">
      <c r="A138" t="s">
        <v>318</v>
      </c>
      <c r="B138" t="s">
        <v>319</v>
      </c>
      <c r="C138" t="s">
        <v>469</v>
      </c>
      <c r="D138" s="28">
        <v>7610900069906</v>
      </c>
      <c r="E138" s="29" t="s">
        <v>393</v>
      </c>
      <c r="F138" s="29" t="s">
        <v>372</v>
      </c>
      <c r="G138">
        <v>20</v>
      </c>
      <c r="H138" t="s">
        <v>323</v>
      </c>
      <c r="I138" t="s">
        <v>45</v>
      </c>
      <c r="J138" t="s">
        <v>325</v>
      </c>
      <c r="K138" t="s">
        <v>365</v>
      </c>
      <c r="L138" t="s">
        <v>327</v>
      </c>
    </row>
    <row r="139" spans="1:12">
      <c r="A139" t="s">
        <v>318</v>
      </c>
      <c r="B139" t="s">
        <v>319</v>
      </c>
      <c r="C139" t="s">
        <v>470</v>
      </c>
      <c r="D139" s="28">
        <v>7610900112602</v>
      </c>
      <c r="E139" s="29" t="s">
        <v>393</v>
      </c>
      <c r="F139" s="29" t="s">
        <v>372</v>
      </c>
      <c r="G139">
        <v>32</v>
      </c>
      <c r="H139" t="s">
        <v>323</v>
      </c>
      <c r="I139" t="s">
        <v>45</v>
      </c>
      <c r="J139" t="s">
        <v>325</v>
      </c>
      <c r="K139" t="s">
        <v>365</v>
      </c>
      <c r="L139" t="s">
        <v>327</v>
      </c>
    </row>
    <row r="140" spans="1:12">
      <c r="A140" t="s">
        <v>318</v>
      </c>
      <c r="B140" t="s">
        <v>319</v>
      </c>
      <c r="C140" t="s">
        <v>471</v>
      </c>
      <c r="D140" s="28">
        <v>7610900114429</v>
      </c>
      <c r="E140" s="29" t="s">
        <v>393</v>
      </c>
      <c r="F140" s="29" t="s">
        <v>372</v>
      </c>
      <c r="G140">
        <v>23</v>
      </c>
      <c r="H140" t="s">
        <v>323</v>
      </c>
      <c r="I140" t="s">
        <v>45</v>
      </c>
      <c r="J140" t="s">
        <v>325</v>
      </c>
      <c r="K140" t="s">
        <v>394</v>
      </c>
      <c r="L140" t="s">
        <v>327</v>
      </c>
    </row>
    <row r="141" spans="1:12">
      <c r="A141" t="s">
        <v>318</v>
      </c>
      <c r="B141" t="s">
        <v>319</v>
      </c>
      <c r="C141" t="s">
        <v>472</v>
      </c>
      <c r="D141" s="28">
        <v>7610900126877</v>
      </c>
      <c r="E141" s="29" t="s">
        <v>393</v>
      </c>
      <c r="F141" s="29" t="s">
        <v>372</v>
      </c>
      <c r="G141">
        <v>50</v>
      </c>
      <c r="H141" t="s">
        <v>323</v>
      </c>
      <c r="I141" t="s">
        <v>45</v>
      </c>
      <c r="J141" t="s">
        <v>325</v>
      </c>
      <c r="K141" t="s">
        <v>394</v>
      </c>
      <c r="L141" t="s">
        <v>327</v>
      </c>
    </row>
    <row r="142" spans="1:12">
      <c r="A142" t="s">
        <v>318</v>
      </c>
      <c r="B142" t="s">
        <v>319</v>
      </c>
      <c r="C142" t="s">
        <v>473</v>
      </c>
      <c r="D142" s="28">
        <v>7610900128908</v>
      </c>
      <c r="E142" s="29" t="s">
        <v>393</v>
      </c>
      <c r="F142" s="29" t="s">
        <v>372</v>
      </c>
      <c r="G142">
        <v>48</v>
      </c>
      <c r="H142" t="s">
        <v>323</v>
      </c>
      <c r="I142" t="s">
        <v>45</v>
      </c>
      <c r="J142" t="s">
        <v>325</v>
      </c>
      <c r="K142" t="s">
        <v>394</v>
      </c>
      <c r="L142" t="s">
        <v>327</v>
      </c>
    </row>
    <row r="143" spans="1:12">
      <c r="A143" t="s">
        <v>318</v>
      </c>
      <c r="B143" t="s">
        <v>319</v>
      </c>
      <c r="C143" t="s">
        <v>474</v>
      </c>
      <c r="D143" s="28">
        <v>7610900131285</v>
      </c>
      <c r="E143" s="29" t="s">
        <v>393</v>
      </c>
      <c r="F143" s="29" t="s">
        <v>372</v>
      </c>
      <c r="G143">
        <v>52</v>
      </c>
      <c r="H143" t="s">
        <v>323</v>
      </c>
      <c r="I143" t="s">
        <v>45</v>
      </c>
      <c r="J143" t="s">
        <v>325</v>
      </c>
      <c r="K143" t="s">
        <v>365</v>
      </c>
      <c r="L143" t="s">
        <v>327</v>
      </c>
    </row>
    <row r="144" spans="1:12">
      <c r="A144" t="s">
        <v>318</v>
      </c>
      <c r="B144" t="s">
        <v>319</v>
      </c>
      <c r="C144" t="s">
        <v>475</v>
      </c>
      <c r="D144" s="28">
        <v>7610900135541</v>
      </c>
      <c r="E144" s="29" t="s">
        <v>393</v>
      </c>
      <c r="F144" s="29" t="s">
        <v>372</v>
      </c>
      <c r="G144">
        <v>32</v>
      </c>
      <c r="H144" t="s">
        <v>323</v>
      </c>
      <c r="I144" t="s">
        <v>45</v>
      </c>
      <c r="J144" t="s">
        <v>325</v>
      </c>
      <c r="K144" t="s">
        <v>365</v>
      </c>
      <c r="L144" t="s">
        <v>327</v>
      </c>
    </row>
    <row r="145" spans="1:12">
      <c r="A145" t="s">
        <v>318</v>
      </c>
      <c r="B145" t="s">
        <v>319</v>
      </c>
      <c r="C145" t="s">
        <v>476</v>
      </c>
      <c r="D145" s="28">
        <v>7610900135725</v>
      </c>
      <c r="E145" s="29" t="s">
        <v>393</v>
      </c>
      <c r="F145" s="29" t="s">
        <v>372</v>
      </c>
      <c r="G145">
        <v>54</v>
      </c>
      <c r="H145" t="s">
        <v>323</v>
      </c>
      <c r="I145" t="s">
        <v>45</v>
      </c>
      <c r="J145" t="s">
        <v>325</v>
      </c>
      <c r="K145" t="s">
        <v>365</v>
      </c>
      <c r="L145" t="s">
        <v>327</v>
      </c>
    </row>
    <row r="146" spans="1:12">
      <c r="A146" t="s">
        <v>318</v>
      </c>
      <c r="B146" t="s">
        <v>319</v>
      </c>
      <c r="C146" t="s">
        <v>477</v>
      </c>
      <c r="D146" s="28">
        <v>7610900135853</v>
      </c>
      <c r="E146" s="29" t="s">
        <v>393</v>
      </c>
      <c r="F146" s="29" t="s">
        <v>372</v>
      </c>
      <c r="G146">
        <v>32</v>
      </c>
      <c r="H146" t="s">
        <v>323</v>
      </c>
      <c r="I146" t="s">
        <v>45</v>
      </c>
      <c r="J146" t="s">
        <v>325</v>
      </c>
      <c r="K146" t="s">
        <v>365</v>
      </c>
      <c r="L146" t="s">
        <v>327</v>
      </c>
    </row>
    <row r="147" spans="1:12">
      <c r="A147" t="s">
        <v>318</v>
      </c>
      <c r="B147" t="s">
        <v>319</v>
      </c>
      <c r="C147" t="s">
        <v>478</v>
      </c>
      <c r="D147" s="28">
        <v>7610900135891</v>
      </c>
      <c r="E147" s="29" t="s">
        <v>393</v>
      </c>
      <c r="F147" s="29" t="s">
        <v>372</v>
      </c>
      <c r="G147">
        <v>48</v>
      </c>
      <c r="H147" t="s">
        <v>323</v>
      </c>
      <c r="I147" t="s">
        <v>45</v>
      </c>
      <c r="J147" t="s">
        <v>325</v>
      </c>
      <c r="K147" t="s">
        <v>365</v>
      </c>
      <c r="L147" t="s">
        <v>327</v>
      </c>
    </row>
    <row r="148" spans="1:12">
      <c r="A148" t="s">
        <v>318</v>
      </c>
      <c r="B148" t="s">
        <v>319</v>
      </c>
      <c r="C148" t="s">
        <v>479</v>
      </c>
      <c r="D148" s="28">
        <v>7610900138651</v>
      </c>
      <c r="E148" s="29" t="s">
        <v>393</v>
      </c>
      <c r="F148" s="29" t="s">
        <v>372</v>
      </c>
      <c r="G148">
        <v>48</v>
      </c>
      <c r="H148" t="s">
        <v>323</v>
      </c>
      <c r="I148" t="s">
        <v>45</v>
      </c>
      <c r="J148" t="s">
        <v>325</v>
      </c>
      <c r="K148" t="s">
        <v>337</v>
      </c>
      <c r="L148" t="s">
        <v>327</v>
      </c>
    </row>
    <row r="149" spans="1:12">
      <c r="A149" t="s">
        <v>318</v>
      </c>
      <c r="B149" t="s">
        <v>319</v>
      </c>
      <c r="C149" t="s">
        <v>480</v>
      </c>
      <c r="D149" s="28">
        <v>761091126163</v>
      </c>
      <c r="E149" s="29" t="s">
        <v>393</v>
      </c>
      <c r="F149" s="29" t="s">
        <v>372</v>
      </c>
      <c r="G149">
        <v>16</v>
      </c>
      <c r="H149" t="s">
        <v>323</v>
      </c>
      <c r="I149" t="s">
        <v>45</v>
      </c>
      <c r="J149" t="s">
        <v>325</v>
      </c>
      <c r="K149" t="s">
        <v>365</v>
      </c>
      <c r="L149" t="s">
        <v>327</v>
      </c>
    </row>
    <row r="150" spans="1:12">
      <c r="A150" t="s">
        <v>318</v>
      </c>
      <c r="B150" t="s">
        <v>319</v>
      </c>
      <c r="C150" t="s">
        <v>481</v>
      </c>
      <c r="D150" s="28">
        <v>7610900025664</v>
      </c>
      <c r="E150" s="29" t="s">
        <v>368</v>
      </c>
      <c r="F150" s="29" t="s">
        <v>364</v>
      </c>
      <c r="G150">
        <v>88</v>
      </c>
      <c r="H150" t="s">
        <v>323</v>
      </c>
      <c r="I150" t="s">
        <v>45</v>
      </c>
      <c r="J150" t="s">
        <v>325</v>
      </c>
      <c r="K150" t="s">
        <v>394</v>
      </c>
      <c r="L150" t="s">
        <v>327</v>
      </c>
    </row>
    <row r="151" spans="1:12">
      <c r="A151" t="s">
        <v>318</v>
      </c>
      <c r="B151" t="s">
        <v>319</v>
      </c>
      <c r="C151" t="s">
        <v>482</v>
      </c>
      <c r="D151" s="28">
        <v>7610900085972</v>
      </c>
      <c r="E151" s="29" t="s">
        <v>368</v>
      </c>
      <c r="F151" s="29" t="s">
        <v>364</v>
      </c>
      <c r="G151">
        <v>98</v>
      </c>
      <c r="H151" t="s">
        <v>323</v>
      </c>
      <c r="I151" t="s">
        <v>45</v>
      </c>
      <c r="J151" t="s">
        <v>325</v>
      </c>
      <c r="K151" t="s">
        <v>394</v>
      </c>
      <c r="L151" t="s">
        <v>327</v>
      </c>
    </row>
    <row r="152" spans="1:12">
      <c r="A152" t="s">
        <v>318</v>
      </c>
      <c r="B152" t="s">
        <v>319</v>
      </c>
      <c r="C152" t="s">
        <v>483</v>
      </c>
      <c r="D152" s="28">
        <v>7610900091481</v>
      </c>
      <c r="E152" s="29" t="s">
        <v>368</v>
      </c>
      <c r="F152" s="29" t="s">
        <v>364</v>
      </c>
      <c r="G152">
        <v>138</v>
      </c>
      <c r="H152" t="s">
        <v>323</v>
      </c>
      <c r="I152" t="s">
        <v>45</v>
      </c>
      <c r="J152" t="s">
        <v>325</v>
      </c>
      <c r="K152" t="s">
        <v>394</v>
      </c>
      <c r="L152" t="s">
        <v>327</v>
      </c>
    </row>
    <row r="153" spans="1:12">
      <c r="A153" t="s">
        <v>318</v>
      </c>
      <c r="B153" t="s">
        <v>319</v>
      </c>
      <c r="C153" t="s">
        <v>484</v>
      </c>
      <c r="D153" s="28">
        <v>7610900091488</v>
      </c>
      <c r="E153" s="29" t="s">
        <v>368</v>
      </c>
      <c r="F153" s="29" t="s">
        <v>364</v>
      </c>
      <c r="G153">
        <v>120</v>
      </c>
      <c r="H153" t="s">
        <v>323</v>
      </c>
      <c r="I153" t="s">
        <v>45</v>
      </c>
      <c r="J153" t="s">
        <v>325</v>
      </c>
      <c r="K153" t="s">
        <v>394</v>
      </c>
      <c r="L153" t="s">
        <v>327</v>
      </c>
    </row>
    <row r="154" spans="1:12">
      <c r="A154" t="s">
        <v>318</v>
      </c>
      <c r="B154" t="s">
        <v>319</v>
      </c>
      <c r="C154" t="s">
        <v>485</v>
      </c>
      <c r="D154" s="28">
        <v>7610900097207</v>
      </c>
      <c r="E154" s="29" t="s">
        <v>371</v>
      </c>
      <c r="F154" s="29" t="s">
        <v>372</v>
      </c>
      <c r="G154">
        <v>9</v>
      </c>
      <c r="H154" t="s">
        <v>323</v>
      </c>
      <c r="I154" t="s">
        <v>45</v>
      </c>
      <c r="J154" t="s">
        <v>325</v>
      </c>
      <c r="K154" t="s">
        <v>285</v>
      </c>
      <c r="L154" t="s">
        <v>327</v>
      </c>
    </row>
    <row r="155" spans="1:12">
      <c r="A155" t="s">
        <v>318</v>
      </c>
      <c r="B155" t="s">
        <v>319</v>
      </c>
      <c r="C155" t="s">
        <v>440</v>
      </c>
      <c r="D155" s="28">
        <v>7610900097208</v>
      </c>
      <c r="E155" s="29" t="s">
        <v>371</v>
      </c>
      <c r="F155" s="29" t="s">
        <v>372</v>
      </c>
      <c r="G155">
        <v>11</v>
      </c>
      <c r="H155" t="s">
        <v>323</v>
      </c>
      <c r="I155" t="s">
        <v>45</v>
      </c>
      <c r="J155" t="s">
        <v>325</v>
      </c>
      <c r="K155" t="s">
        <v>285</v>
      </c>
      <c r="L155" t="s">
        <v>327</v>
      </c>
    </row>
    <row r="156" spans="1:12">
      <c r="A156" t="s">
        <v>318</v>
      </c>
      <c r="B156" t="s">
        <v>319</v>
      </c>
      <c r="C156" t="s">
        <v>486</v>
      </c>
      <c r="D156" s="28">
        <v>7610900097209</v>
      </c>
      <c r="E156" s="29" t="s">
        <v>371</v>
      </c>
      <c r="F156" s="29" t="s">
        <v>372</v>
      </c>
      <c r="G156">
        <v>9</v>
      </c>
      <c r="H156" t="s">
        <v>323</v>
      </c>
      <c r="I156" t="s">
        <v>45</v>
      </c>
      <c r="J156" t="s">
        <v>325</v>
      </c>
      <c r="K156" t="s">
        <v>285</v>
      </c>
      <c r="L156" t="s">
        <v>327</v>
      </c>
    </row>
    <row r="157" spans="1:12">
      <c r="A157" t="s">
        <v>318</v>
      </c>
      <c r="B157" t="s">
        <v>319</v>
      </c>
      <c r="C157" t="s">
        <v>487</v>
      </c>
      <c r="D157" s="28">
        <v>7610900097210</v>
      </c>
      <c r="E157" s="29" t="s">
        <v>371</v>
      </c>
      <c r="F157" s="29" t="s">
        <v>372</v>
      </c>
      <c r="G157">
        <v>11</v>
      </c>
      <c r="H157" t="s">
        <v>323</v>
      </c>
      <c r="I157" t="s">
        <v>45</v>
      </c>
      <c r="J157" t="s">
        <v>325</v>
      </c>
      <c r="K157" t="s">
        <v>285</v>
      </c>
      <c r="L157" t="s">
        <v>327</v>
      </c>
    </row>
    <row r="158" spans="1:12">
      <c r="A158" t="s">
        <v>318</v>
      </c>
      <c r="B158" t="s">
        <v>319</v>
      </c>
      <c r="C158" t="s">
        <v>488</v>
      </c>
      <c r="D158" s="28">
        <v>7610900097211</v>
      </c>
      <c r="E158" s="29" t="s">
        <v>371</v>
      </c>
      <c r="F158" s="29" t="s">
        <v>372</v>
      </c>
      <c r="G158">
        <v>11</v>
      </c>
      <c r="H158" t="s">
        <v>323</v>
      </c>
      <c r="I158" t="s">
        <v>45</v>
      </c>
      <c r="J158" t="s">
        <v>325</v>
      </c>
      <c r="K158" t="s">
        <v>285</v>
      </c>
      <c r="L158" t="s">
        <v>327</v>
      </c>
    </row>
    <row r="159" spans="1:12">
      <c r="A159" t="s">
        <v>318</v>
      </c>
      <c r="B159" t="s">
        <v>319</v>
      </c>
      <c r="C159" t="s">
        <v>454</v>
      </c>
      <c r="D159" s="28">
        <v>7610900097212</v>
      </c>
      <c r="E159" s="29" t="s">
        <v>371</v>
      </c>
      <c r="F159" s="29" t="s">
        <v>372</v>
      </c>
      <c r="G159">
        <v>10</v>
      </c>
      <c r="H159" t="s">
        <v>323</v>
      </c>
      <c r="I159" t="s">
        <v>45</v>
      </c>
      <c r="J159" t="s">
        <v>325</v>
      </c>
      <c r="K159" t="s">
        <v>285</v>
      </c>
      <c r="L159" t="s">
        <v>327</v>
      </c>
    </row>
    <row r="160" spans="1:12">
      <c r="A160" t="s">
        <v>318</v>
      </c>
      <c r="B160" t="s">
        <v>319</v>
      </c>
      <c r="C160" t="s">
        <v>489</v>
      </c>
      <c r="D160" s="28">
        <v>7610900097214</v>
      </c>
      <c r="E160" s="29" t="s">
        <v>371</v>
      </c>
      <c r="F160" s="29" t="s">
        <v>372</v>
      </c>
      <c r="G160">
        <v>12</v>
      </c>
      <c r="H160" t="s">
        <v>323</v>
      </c>
      <c r="I160" t="s">
        <v>45</v>
      </c>
      <c r="J160" t="s">
        <v>325</v>
      </c>
      <c r="K160" t="s">
        <v>285</v>
      </c>
      <c r="L160" t="s">
        <v>327</v>
      </c>
    </row>
    <row r="161" spans="1:12">
      <c r="A161" t="s">
        <v>318</v>
      </c>
      <c r="B161" t="s">
        <v>319</v>
      </c>
      <c r="C161" t="s">
        <v>490</v>
      </c>
      <c r="D161" s="28">
        <v>7610900097215</v>
      </c>
      <c r="E161" s="29" t="s">
        <v>371</v>
      </c>
      <c r="F161" s="29" t="s">
        <v>372</v>
      </c>
      <c r="G161">
        <v>9</v>
      </c>
      <c r="H161" t="s">
        <v>323</v>
      </c>
      <c r="I161" t="s">
        <v>45</v>
      </c>
      <c r="J161" t="s">
        <v>325</v>
      </c>
      <c r="K161" t="s">
        <v>285</v>
      </c>
      <c r="L161" t="s">
        <v>327</v>
      </c>
    </row>
    <row r="162" spans="1:12">
      <c r="A162" t="s">
        <v>318</v>
      </c>
      <c r="B162" t="s">
        <v>319</v>
      </c>
      <c r="C162" t="s">
        <v>491</v>
      </c>
      <c r="D162" s="28">
        <v>7610900097216</v>
      </c>
      <c r="E162" s="29" t="s">
        <v>371</v>
      </c>
      <c r="F162" s="29" t="s">
        <v>372</v>
      </c>
      <c r="G162">
        <v>9</v>
      </c>
      <c r="H162" t="s">
        <v>323</v>
      </c>
      <c r="I162" t="s">
        <v>45</v>
      </c>
      <c r="J162" t="s">
        <v>325</v>
      </c>
      <c r="K162" t="s">
        <v>285</v>
      </c>
      <c r="L162" t="s">
        <v>327</v>
      </c>
    </row>
    <row r="163" spans="1:12">
      <c r="A163" t="s">
        <v>318</v>
      </c>
      <c r="B163" t="s">
        <v>319</v>
      </c>
      <c r="C163" t="s">
        <v>492</v>
      </c>
      <c r="D163" s="28">
        <v>7610900097217</v>
      </c>
      <c r="E163" s="29" t="s">
        <v>371</v>
      </c>
      <c r="F163" s="29" t="s">
        <v>372</v>
      </c>
      <c r="G163">
        <v>9</v>
      </c>
      <c r="H163" t="s">
        <v>323</v>
      </c>
      <c r="I163" t="s">
        <v>45</v>
      </c>
      <c r="J163" t="s">
        <v>325</v>
      </c>
      <c r="K163" t="s">
        <v>285</v>
      </c>
      <c r="L163" t="s">
        <v>327</v>
      </c>
    </row>
    <row r="164" spans="1:12">
      <c r="A164" t="s">
        <v>318</v>
      </c>
      <c r="B164" t="s">
        <v>319</v>
      </c>
      <c r="C164" t="s">
        <v>493</v>
      </c>
      <c r="D164" s="28">
        <v>7610900057707</v>
      </c>
      <c r="E164" s="29" t="s">
        <v>371</v>
      </c>
      <c r="F164" s="29" t="s">
        <v>372</v>
      </c>
      <c r="G164">
        <v>0</v>
      </c>
      <c r="H164" t="s">
        <v>323</v>
      </c>
      <c r="I164" t="s">
        <v>45</v>
      </c>
      <c r="J164" t="s">
        <v>325</v>
      </c>
      <c r="K164" t="s">
        <v>285</v>
      </c>
      <c r="L164" t="s">
        <v>327</v>
      </c>
    </row>
    <row r="165" spans="1:12">
      <c r="A165" t="s">
        <v>318</v>
      </c>
      <c r="B165" t="s">
        <v>319</v>
      </c>
      <c r="C165" t="s">
        <v>494</v>
      </c>
      <c r="D165" s="28">
        <v>7610900081544</v>
      </c>
      <c r="E165" s="29" t="s">
        <v>371</v>
      </c>
      <c r="F165" s="29" t="s">
        <v>372</v>
      </c>
      <c r="G165">
        <v>8</v>
      </c>
      <c r="H165" t="s">
        <v>323</v>
      </c>
      <c r="I165" t="s">
        <v>45</v>
      </c>
      <c r="J165" t="s">
        <v>325</v>
      </c>
      <c r="K165" t="s">
        <v>285</v>
      </c>
      <c r="L165" t="s">
        <v>327</v>
      </c>
    </row>
    <row r="166" spans="1:12">
      <c r="A166" t="s">
        <v>318</v>
      </c>
      <c r="B166" t="s">
        <v>319</v>
      </c>
      <c r="C166" t="s">
        <v>495</v>
      </c>
      <c r="D166" s="28">
        <v>7610900081832</v>
      </c>
      <c r="E166" s="29" t="s">
        <v>371</v>
      </c>
      <c r="F166" s="29" t="s">
        <v>372</v>
      </c>
      <c r="G166">
        <v>7</v>
      </c>
      <c r="H166" t="s">
        <v>323</v>
      </c>
      <c r="I166" t="s">
        <v>45</v>
      </c>
      <c r="J166" t="s">
        <v>325</v>
      </c>
      <c r="K166" t="s">
        <v>285</v>
      </c>
      <c r="L166" t="s">
        <v>327</v>
      </c>
    </row>
    <row r="167" spans="1:12">
      <c r="A167" t="s">
        <v>318</v>
      </c>
      <c r="B167" t="s">
        <v>319</v>
      </c>
      <c r="C167" t="s">
        <v>496</v>
      </c>
      <c r="D167" s="28">
        <v>7610900091700</v>
      </c>
      <c r="E167" s="29" t="s">
        <v>371</v>
      </c>
      <c r="F167" s="29" t="s">
        <v>372</v>
      </c>
      <c r="G167">
        <v>9</v>
      </c>
      <c r="H167" t="s">
        <v>323</v>
      </c>
      <c r="I167" t="s">
        <v>45</v>
      </c>
      <c r="J167" t="s">
        <v>325</v>
      </c>
      <c r="K167" t="s">
        <v>285</v>
      </c>
      <c r="L167" t="s">
        <v>327</v>
      </c>
    </row>
    <row r="168" spans="1:12">
      <c r="A168" t="s">
        <v>318</v>
      </c>
      <c r="B168" t="s">
        <v>319</v>
      </c>
      <c r="C168" t="s">
        <v>497</v>
      </c>
      <c r="D168" s="28">
        <v>7610900091704</v>
      </c>
      <c r="E168" s="29" t="s">
        <v>371</v>
      </c>
      <c r="F168" s="29" t="s">
        <v>372</v>
      </c>
      <c r="G168">
        <v>8</v>
      </c>
      <c r="H168" t="s">
        <v>323</v>
      </c>
      <c r="I168" t="s">
        <v>45</v>
      </c>
      <c r="J168" t="s">
        <v>325</v>
      </c>
      <c r="K168" t="s">
        <v>285</v>
      </c>
      <c r="L168" t="s">
        <v>327</v>
      </c>
    </row>
    <row r="169" spans="1:12">
      <c r="A169" t="s">
        <v>318</v>
      </c>
      <c r="B169" t="s">
        <v>319</v>
      </c>
      <c r="C169" t="s">
        <v>498</v>
      </c>
      <c r="D169" s="28">
        <v>7610900091708</v>
      </c>
      <c r="E169" s="29" t="s">
        <v>371</v>
      </c>
      <c r="F169" s="29" t="s">
        <v>372</v>
      </c>
      <c r="G169">
        <v>7</v>
      </c>
      <c r="H169" t="s">
        <v>323</v>
      </c>
      <c r="I169" t="s">
        <v>45</v>
      </c>
      <c r="J169" t="s">
        <v>325</v>
      </c>
      <c r="K169" t="s">
        <v>285</v>
      </c>
      <c r="L169" t="s">
        <v>327</v>
      </c>
    </row>
    <row r="170" spans="1:12">
      <c r="A170" t="s">
        <v>318</v>
      </c>
      <c r="B170" t="s">
        <v>319</v>
      </c>
      <c r="C170" t="s">
        <v>499</v>
      </c>
      <c r="D170" s="28">
        <v>7610900091710</v>
      </c>
      <c r="E170" s="29" t="s">
        <v>371</v>
      </c>
      <c r="F170" s="29" t="s">
        <v>372</v>
      </c>
      <c r="G170">
        <v>9</v>
      </c>
      <c r="H170" t="s">
        <v>323</v>
      </c>
      <c r="I170" t="s">
        <v>45</v>
      </c>
      <c r="J170" t="s">
        <v>325</v>
      </c>
      <c r="K170" t="s">
        <v>285</v>
      </c>
      <c r="L170" t="s">
        <v>327</v>
      </c>
    </row>
    <row r="171" spans="1:12">
      <c r="A171" t="s">
        <v>318</v>
      </c>
      <c r="B171" t="s">
        <v>319</v>
      </c>
      <c r="C171" t="s">
        <v>500</v>
      </c>
      <c r="D171" s="28">
        <v>7610900091713</v>
      </c>
      <c r="E171" s="29" t="s">
        <v>371</v>
      </c>
      <c r="F171" s="29" t="s">
        <v>372</v>
      </c>
      <c r="G171">
        <v>9</v>
      </c>
      <c r="H171" t="s">
        <v>323</v>
      </c>
      <c r="I171" t="s">
        <v>45</v>
      </c>
      <c r="J171" t="s">
        <v>325</v>
      </c>
      <c r="K171" t="s">
        <v>285</v>
      </c>
      <c r="L171" t="s">
        <v>327</v>
      </c>
    </row>
    <row r="172" spans="1:12">
      <c r="A172" t="s">
        <v>318</v>
      </c>
      <c r="B172" t="s">
        <v>319</v>
      </c>
      <c r="C172" t="s">
        <v>501</v>
      </c>
      <c r="D172" s="28">
        <v>7610900091715</v>
      </c>
      <c r="E172" s="29" t="s">
        <v>371</v>
      </c>
      <c r="F172" s="29" t="s">
        <v>372</v>
      </c>
      <c r="G172">
        <v>7</v>
      </c>
      <c r="H172" t="s">
        <v>323</v>
      </c>
      <c r="I172" t="s">
        <v>45</v>
      </c>
      <c r="J172" t="s">
        <v>325</v>
      </c>
      <c r="K172" t="s">
        <v>285</v>
      </c>
      <c r="L172" t="s">
        <v>327</v>
      </c>
    </row>
    <row r="173" spans="1:12">
      <c r="A173" t="s">
        <v>318</v>
      </c>
      <c r="B173" t="s">
        <v>319</v>
      </c>
      <c r="C173" t="s">
        <v>502</v>
      </c>
      <c r="D173" s="28">
        <v>7610900091717</v>
      </c>
      <c r="E173" s="29" t="s">
        <v>371</v>
      </c>
      <c r="F173" s="29" t="s">
        <v>372</v>
      </c>
      <c r="G173">
        <v>7</v>
      </c>
      <c r="H173" t="s">
        <v>323</v>
      </c>
      <c r="I173" t="s">
        <v>45</v>
      </c>
      <c r="J173" t="s">
        <v>325</v>
      </c>
      <c r="K173" t="s">
        <v>285</v>
      </c>
      <c r="L173" t="s">
        <v>327</v>
      </c>
    </row>
    <row r="174" spans="1:12">
      <c r="A174" t="s">
        <v>318</v>
      </c>
      <c r="B174" t="s">
        <v>319</v>
      </c>
      <c r="C174" t="s">
        <v>503</v>
      </c>
      <c r="D174" s="28">
        <v>7610900091718</v>
      </c>
      <c r="E174" s="29" t="s">
        <v>371</v>
      </c>
      <c r="F174" s="29" t="s">
        <v>372</v>
      </c>
      <c r="G174">
        <v>9</v>
      </c>
      <c r="H174" t="s">
        <v>323</v>
      </c>
      <c r="I174" t="s">
        <v>45</v>
      </c>
      <c r="J174" t="s">
        <v>325</v>
      </c>
      <c r="K174" t="s">
        <v>285</v>
      </c>
      <c r="L174" t="s">
        <v>327</v>
      </c>
    </row>
    <row r="175" spans="1:12">
      <c r="A175" t="s">
        <v>318</v>
      </c>
      <c r="B175" t="s">
        <v>319</v>
      </c>
      <c r="C175" t="s">
        <v>504</v>
      </c>
      <c r="D175" s="28">
        <v>7610900091719</v>
      </c>
      <c r="E175" s="29" t="s">
        <v>371</v>
      </c>
      <c r="F175" s="29" t="s">
        <v>372</v>
      </c>
      <c r="G175">
        <v>8</v>
      </c>
      <c r="H175" t="s">
        <v>323</v>
      </c>
      <c r="I175" t="s">
        <v>45</v>
      </c>
      <c r="J175" t="s">
        <v>325</v>
      </c>
      <c r="K175" t="s">
        <v>285</v>
      </c>
      <c r="L175" t="s">
        <v>327</v>
      </c>
    </row>
    <row r="176" spans="1:12">
      <c r="A176" t="s">
        <v>318</v>
      </c>
      <c r="B176" t="s">
        <v>319</v>
      </c>
      <c r="C176" t="s">
        <v>505</v>
      </c>
      <c r="D176" s="28">
        <v>7610900091721</v>
      </c>
      <c r="E176" s="29" t="s">
        <v>371</v>
      </c>
      <c r="F176" s="29" t="s">
        <v>372</v>
      </c>
      <c r="G176">
        <v>0</v>
      </c>
      <c r="H176" t="s">
        <v>323</v>
      </c>
      <c r="I176" t="s">
        <v>45</v>
      </c>
      <c r="J176" t="s">
        <v>325</v>
      </c>
      <c r="K176" t="s">
        <v>285</v>
      </c>
      <c r="L176" t="s">
        <v>327</v>
      </c>
    </row>
    <row r="177" spans="1:12">
      <c r="A177" t="s">
        <v>318</v>
      </c>
      <c r="B177" t="s">
        <v>319</v>
      </c>
      <c r="C177" t="s">
        <v>506</v>
      </c>
      <c r="D177" s="28">
        <v>7610900091726</v>
      </c>
      <c r="E177" s="29" t="s">
        <v>371</v>
      </c>
      <c r="F177" s="29" t="s">
        <v>372</v>
      </c>
      <c r="G177">
        <v>7</v>
      </c>
      <c r="H177" t="s">
        <v>323</v>
      </c>
      <c r="I177" t="s">
        <v>45</v>
      </c>
      <c r="J177" t="s">
        <v>325</v>
      </c>
      <c r="K177" t="s">
        <v>285</v>
      </c>
      <c r="L177" t="s">
        <v>327</v>
      </c>
    </row>
    <row r="178" spans="1:12">
      <c r="A178" t="s">
        <v>318</v>
      </c>
      <c r="B178" t="s">
        <v>319</v>
      </c>
      <c r="C178" t="s">
        <v>507</v>
      </c>
      <c r="D178" s="28">
        <v>7610900091729</v>
      </c>
      <c r="E178" s="29" t="s">
        <v>371</v>
      </c>
      <c r="F178" s="29" t="s">
        <v>372</v>
      </c>
      <c r="G178">
        <v>9</v>
      </c>
      <c r="H178" t="s">
        <v>323</v>
      </c>
      <c r="I178" t="s">
        <v>45</v>
      </c>
      <c r="J178" t="s">
        <v>325</v>
      </c>
      <c r="K178" t="s">
        <v>285</v>
      </c>
      <c r="L178" t="s">
        <v>327</v>
      </c>
    </row>
    <row r="179" spans="1:12">
      <c r="A179" t="s">
        <v>318</v>
      </c>
      <c r="B179" t="s">
        <v>319</v>
      </c>
      <c r="C179" t="s">
        <v>508</v>
      </c>
      <c r="D179" s="28">
        <v>7610900091734</v>
      </c>
      <c r="E179" s="29" t="s">
        <v>371</v>
      </c>
      <c r="F179" s="29" t="s">
        <v>372</v>
      </c>
      <c r="G179">
        <v>13</v>
      </c>
      <c r="H179" t="s">
        <v>323</v>
      </c>
      <c r="I179" t="s">
        <v>45</v>
      </c>
      <c r="J179" t="s">
        <v>325</v>
      </c>
      <c r="K179" t="s">
        <v>285</v>
      </c>
      <c r="L179" t="s">
        <v>327</v>
      </c>
    </row>
    <row r="180" spans="1:12">
      <c r="A180" t="s">
        <v>318</v>
      </c>
      <c r="B180" t="s">
        <v>319</v>
      </c>
      <c r="C180" t="s">
        <v>509</v>
      </c>
      <c r="D180" s="28">
        <v>7610900091735</v>
      </c>
      <c r="E180" s="29" t="s">
        <v>371</v>
      </c>
      <c r="F180" s="29" t="s">
        <v>372</v>
      </c>
      <c r="G180">
        <v>8</v>
      </c>
      <c r="H180" t="s">
        <v>323</v>
      </c>
      <c r="I180" t="s">
        <v>45</v>
      </c>
      <c r="J180" t="s">
        <v>325</v>
      </c>
      <c r="K180" t="s">
        <v>285</v>
      </c>
      <c r="L180" t="s">
        <v>327</v>
      </c>
    </row>
    <row r="181" spans="1:12">
      <c r="A181" t="s">
        <v>318</v>
      </c>
      <c r="B181" t="s">
        <v>319</v>
      </c>
      <c r="C181" t="s">
        <v>510</v>
      </c>
      <c r="D181" s="28">
        <v>7610900091737</v>
      </c>
      <c r="E181" s="29" t="s">
        <v>371</v>
      </c>
      <c r="F181" s="29" t="s">
        <v>372</v>
      </c>
      <c r="G181">
        <v>0</v>
      </c>
      <c r="H181" t="s">
        <v>323</v>
      </c>
      <c r="I181" t="s">
        <v>45</v>
      </c>
      <c r="J181" t="s">
        <v>325</v>
      </c>
      <c r="K181" t="s">
        <v>285</v>
      </c>
      <c r="L181" t="s">
        <v>327</v>
      </c>
    </row>
    <row r="182" spans="1:12">
      <c r="A182" t="s">
        <v>318</v>
      </c>
      <c r="B182" t="s">
        <v>319</v>
      </c>
      <c r="C182" t="s">
        <v>511</v>
      </c>
      <c r="D182" s="28">
        <v>7610900091738</v>
      </c>
      <c r="E182" s="29" t="s">
        <v>371</v>
      </c>
      <c r="F182" s="29" t="s">
        <v>372</v>
      </c>
      <c r="G182">
        <v>10</v>
      </c>
      <c r="H182" t="s">
        <v>323</v>
      </c>
      <c r="I182" t="s">
        <v>45</v>
      </c>
      <c r="J182" t="s">
        <v>325</v>
      </c>
      <c r="K182" t="s">
        <v>285</v>
      </c>
      <c r="L182" t="s">
        <v>327</v>
      </c>
    </row>
    <row r="183" spans="1:12">
      <c r="A183" t="s">
        <v>318</v>
      </c>
      <c r="B183" t="s">
        <v>319</v>
      </c>
      <c r="C183" t="s">
        <v>512</v>
      </c>
      <c r="D183" s="28">
        <v>7610900091740</v>
      </c>
      <c r="E183" s="29" t="s">
        <v>371</v>
      </c>
      <c r="F183" s="29" t="s">
        <v>372</v>
      </c>
      <c r="G183">
        <v>6</v>
      </c>
      <c r="H183" t="s">
        <v>323</v>
      </c>
      <c r="I183" t="s">
        <v>45</v>
      </c>
      <c r="J183" t="s">
        <v>325</v>
      </c>
      <c r="K183" t="s">
        <v>285</v>
      </c>
      <c r="L183" t="s">
        <v>327</v>
      </c>
    </row>
    <row r="184" spans="1:12">
      <c r="A184" t="s">
        <v>318</v>
      </c>
      <c r="B184" t="s">
        <v>319</v>
      </c>
      <c r="C184" t="s">
        <v>513</v>
      </c>
      <c r="D184" s="28">
        <v>7610900099023</v>
      </c>
      <c r="E184" s="29" t="s">
        <v>371</v>
      </c>
      <c r="F184" s="29" t="s">
        <v>372</v>
      </c>
      <c r="G184">
        <v>8</v>
      </c>
      <c r="H184" t="s">
        <v>323</v>
      </c>
      <c r="I184" t="s">
        <v>45</v>
      </c>
      <c r="J184" t="s">
        <v>325</v>
      </c>
      <c r="K184" t="s">
        <v>285</v>
      </c>
      <c r="L184" t="s">
        <v>327</v>
      </c>
    </row>
    <row r="185" spans="1:12">
      <c r="A185" t="s">
        <v>318</v>
      </c>
      <c r="B185" t="s">
        <v>319</v>
      </c>
      <c r="C185" t="s">
        <v>514</v>
      </c>
      <c r="D185" s="28">
        <v>7610900099024</v>
      </c>
      <c r="E185" s="29" t="s">
        <v>371</v>
      </c>
      <c r="F185" s="29" t="s">
        <v>372</v>
      </c>
      <c r="G185">
        <v>8</v>
      </c>
      <c r="H185" t="s">
        <v>323</v>
      </c>
      <c r="I185" t="s">
        <v>45</v>
      </c>
      <c r="J185" t="s">
        <v>325</v>
      </c>
      <c r="K185" t="s">
        <v>285</v>
      </c>
      <c r="L185" t="s">
        <v>327</v>
      </c>
    </row>
    <row r="186" spans="1:12">
      <c r="A186" t="s">
        <v>318</v>
      </c>
      <c r="B186" t="s">
        <v>319</v>
      </c>
      <c r="C186" t="s">
        <v>515</v>
      </c>
      <c r="D186" s="28">
        <v>7610900102981</v>
      </c>
      <c r="E186" s="29" t="s">
        <v>371</v>
      </c>
      <c r="F186" s="29" t="s">
        <v>372</v>
      </c>
      <c r="G186">
        <v>9</v>
      </c>
      <c r="H186" t="s">
        <v>323</v>
      </c>
      <c r="I186" t="s">
        <v>45</v>
      </c>
      <c r="J186" t="s">
        <v>325</v>
      </c>
      <c r="K186" t="s">
        <v>285</v>
      </c>
      <c r="L186" t="s">
        <v>327</v>
      </c>
    </row>
    <row r="187" spans="1:12">
      <c r="A187" t="s">
        <v>318</v>
      </c>
      <c r="B187" t="s">
        <v>319</v>
      </c>
      <c r="C187" t="s">
        <v>415</v>
      </c>
      <c r="D187" s="28">
        <v>7610900109795</v>
      </c>
      <c r="E187" s="29" t="s">
        <v>371</v>
      </c>
      <c r="F187" s="29" t="s">
        <v>372</v>
      </c>
      <c r="G187">
        <v>9</v>
      </c>
      <c r="H187" t="s">
        <v>323</v>
      </c>
      <c r="I187" t="s">
        <v>45</v>
      </c>
      <c r="J187" t="s">
        <v>325</v>
      </c>
      <c r="K187" t="s">
        <v>285</v>
      </c>
      <c r="L187" t="s">
        <v>327</v>
      </c>
    </row>
    <row r="188" spans="1:12">
      <c r="A188" t="s">
        <v>318</v>
      </c>
      <c r="B188" t="s">
        <v>319</v>
      </c>
      <c r="C188" t="s">
        <v>516</v>
      </c>
      <c r="D188" s="28">
        <v>7610900109796</v>
      </c>
      <c r="E188" s="29" t="s">
        <v>371</v>
      </c>
      <c r="F188" s="29" t="s">
        <v>372</v>
      </c>
      <c r="G188">
        <v>8</v>
      </c>
      <c r="H188" t="s">
        <v>323</v>
      </c>
      <c r="I188" t="s">
        <v>45</v>
      </c>
      <c r="J188" t="s">
        <v>325</v>
      </c>
      <c r="K188" t="s">
        <v>285</v>
      </c>
      <c r="L188" t="s">
        <v>327</v>
      </c>
    </row>
    <row r="189" spans="1:12">
      <c r="A189" t="s">
        <v>318</v>
      </c>
      <c r="B189" t="s">
        <v>319</v>
      </c>
      <c r="C189" t="s">
        <v>376</v>
      </c>
      <c r="D189" s="28">
        <v>7610900110749</v>
      </c>
      <c r="E189" s="29" t="s">
        <v>371</v>
      </c>
      <c r="F189" s="29" t="s">
        <v>372</v>
      </c>
      <c r="G189">
        <v>10</v>
      </c>
      <c r="H189" t="s">
        <v>323</v>
      </c>
      <c r="I189" t="s">
        <v>45</v>
      </c>
      <c r="J189" t="s">
        <v>325</v>
      </c>
      <c r="K189" t="s">
        <v>285</v>
      </c>
      <c r="L189" t="s">
        <v>327</v>
      </c>
    </row>
    <row r="190" spans="1:12">
      <c r="A190" t="s">
        <v>318</v>
      </c>
      <c r="B190" t="s">
        <v>319</v>
      </c>
      <c r="C190" t="s">
        <v>517</v>
      </c>
      <c r="D190" s="28">
        <v>7610900112388</v>
      </c>
      <c r="E190" s="29" t="s">
        <v>371</v>
      </c>
      <c r="F190" s="29" t="s">
        <v>372</v>
      </c>
      <c r="G190">
        <v>13</v>
      </c>
      <c r="H190" t="s">
        <v>323</v>
      </c>
      <c r="I190" t="s">
        <v>45</v>
      </c>
      <c r="J190" t="s">
        <v>325</v>
      </c>
      <c r="K190" t="s">
        <v>285</v>
      </c>
      <c r="L190" t="s">
        <v>327</v>
      </c>
    </row>
    <row r="191" spans="1:12">
      <c r="A191" t="s">
        <v>318</v>
      </c>
      <c r="B191" t="s">
        <v>319</v>
      </c>
      <c r="C191" t="s">
        <v>454</v>
      </c>
      <c r="D191" s="28">
        <v>761091112369</v>
      </c>
      <c r="E191" s="29" t="s">
        <v>371</v>
      </c>
      <c r="F191" s="29" t="s">
        <v>372</v>
      </c>
      <c r="G191">
        <v>6</v>
      </c>
      <c r="H191" t="s">
        <v>323</v>
      </c>
      <c r="I191" t="s">
        <v>45</v>
      </c>
      <c r="J191" t="s">
        <v>325</v>
      </c>
      <c r="K191" t="s">
        <v>285</v>
      </c>
      <c r="L191" t="s">
        <v>327</v>
      </c>
    </row>
    <row r="192" spans="1:12">
      <c r="A192" t="s">
        <v>318</v>
      </c>
      <c r="B192" t="s">
        <v>319</v>
      </c>
      <c r="C192" t="s">
        <v>518</v>
      </c>
      <c r="D192" s="28">
        <v>761091112401</v>
      </c>
      <c r="E192" s="29" t="s">
        <v>371</v>
      </c>
      <c r="F192" s="29" t="s">
        <v>372</v>
      </c>
      <c r="G192">
        <v>7</v>
      </c>
      <c r="H192" t="s">
        <v>323</v>
      </c>
      <c r="I192" t="s">
        <v>45</v>
      </c>
      <c r="J192" t="s">
        <v>325</v>
      </c>
      <c r="K192" t="s">
        <v>285</v>
      </c>
      <c r="L192" t="s">
        <v>327</v>
      </c>
    </row>
    <row r="193" spans="1:12">
      <c r="A193" t="s">
        <v>318</v>
      </c>
      <c r="B193" t="s">
        <v>319</v>
      </c>
      <c r="C193" t="s">
        <v>519</v>
      </c>
      <c r="D193" s="28">
        <v>761091112825</v>
      </c>
      <c r="E193" s="29" t="s">
        <v>371</v>
      </c>
      <c r="F193" s="29" t="s">
        <v>372</v>
      </c>
      <c r="G193">
        <v>8</v>
      </c>
      <c r="H193" t="s">
        <v>323</v>
      </c>
      <c r="I193" t="s">
        <v>45</v>
      </c>
      <c r="J193" t="s">
        <v>325</v>
      </c>
      <c r="K193" t="s">
        <v>285</v>
      </c>
      <c r="L193" t="s">
        <v>327</v>
      </c>
    </row>
    <row r="194" spans="1:12">
      <c r="A194" t="s">
        <v>318</v>
      </c>
      <c r="B194" t="s">
        <v>319</v>
      </c>
      <c r="C194" t="s">
        <v>520</v>
      </c>
      <c r="D194" s="28">
        <v>761091112841</v>
      </c>
      <c r="E194" s="29" t="s">
        <v>371</v>
      </c>
      <c r="F194" s="29" t="s">
        <v>372</v>
      </c>
      <c r="G194">
        <v>0</v>
      </c>
      <c r="H194" t="s">
        <v>323</v>
      </c>
      <c r="I194" t="s">
        <v>45</v>
      </c>
      <c r="J194" t="s">
        <v>325</v>
      </c>
      <c r="K194" t="s">
        <v>285</v>
      </c>
      <c r="L194" t="s">
        <v>327</v>
      </c>
    </row>
    <row r="195" spans="1:12">
      <c r="A195" t="s">
        <v>318</v>
      </c>
      <c r="B195" t="s">
        <v>319</v>
      </c>
      <c r="C195" t="s">
        <v>513</v>
      </c>
      <c r="D195" s="28">
        <v>761091112876</v>
      </c>
      <c r="E195" s="29" t="s">
        <v>371</v>
      </c>
      <c r="F195" s="29" t="s">
        <v>372</v>
      </c>
      <c r="G195">
        <v>10</v>
      </c>
      <c r="H195" t="s">
        <v>323</v>
      </c>
      <c r="I195" t="s">
        <v>45</v>
      </c>
      <c r="J195" t="s">
        <v>325</v>
      </c>
      <c r="K195" t="s">
        <v>285</v>
      </c>
      <c r="L195" t="s">
        <v>327</v>
      </c>
    </row>
    <row r="196" spans="1:12">
      <c r="A196" t="s">
        <v>318</v>
      </c>
      <c r="B196" t="s">
        <v>319</v>
      </c>
      <c r="C196" t="s">
        <v>521</v>
      </c>
      <c r="D196" s="28">
        <v>761091112882</v>
      </c>
      <c r="E196" s="29" t="s">
        <v>371</v>
      </c>
      <c r="F196" s="29" t="s">
        <v>372</v>
      </c>
      <c r="G196">
        <v>7</v>
      </c>
      <c r="H196" t="s">
        <v>323</v>
      </c>
      <c r="I196" t="s">
        <v>45</v>
      </c>
      <c r="J196" t="s">
        <v>325</v>
      </c>
      <c r="K196" t="s">
        <v>285</v>
      </c>
      <c r="L196" t="s">
        <v>327</v>
      </c>
    </row>
    <row r="197" spans="1:12">
      <c r="A197" t="s">
        <v>318</v>
      </c>
      <c r="B197" t="s">
        <v>319</v>
      </c>
      <c r="C197" t="s">
        <v>440</v>
      </c>
      <c r="D197" s="28">
        <v>7610900102965</v>
      </c>
      <c r="E197" s="29" t="s">
        <v>371</v>
      </c>
      <c r="F197" s="29" t="s">
        <v>372</v>
      </c>
      <c r="G197">
        <v>11</v>
      </c>
      <c r="H197" t="s">
        <v>323</v>
      </c>
      <c r="I197" t="s">
        <v>45</v>
      </c>
      <c r="J197" t="s">
        <v>325</v>
      </c>
      <c r="K197" t="s">
        <v>285</v>
      </c>
      <c r="L197" t="s">
        <v>327</v>
      </c>
    </row>
    <row r="198" spans="1:12">
      <c r="A198" t="s">
        <v>318</v>
      </c>
      <c r="B198" t="s">
        <v>319</v>
      </c>
      <c r="C198" t="s">
        <v>522</v>
      </c>
      <c r="D198" s="28">
        <v>761091112889</v>
      </c>
      <c r="E198" s="29" t="s">
        <v>371</v>
      </c>
      <c r="F198" s="29" t="s">
        <v>372</v>
      </c>
      <c r="G198">
        <v>0</v>
      </c>
      <c r="H198" t="s">
        <v>323</v>
      </c>
      <c r="I198" t="s">
        <v>45</v>
      </c>
      <c r="J198" t="s">
        <v>325</v>
      </c>
      <c r="K198" t="s">
        <v>285</v>
      </c>
      <c r="L198" t="s">
        <v>327</v>
      </c>
    </row>
    <row r="199" spans="1:12">
      <c r="A199" t="s">
        <v>318</v>
      </c>
      <c r="B199" t="s">
        <v>319</v>
      </c>
      <c r="C199" t="s">
        <v>523</v>
      </c>
      <c r="D199" s="28">
        <v>761091112894</v>
      </c>
      <c r="E199" s="29" t="s">
        <v>371</v>
      </c>
      <c r="F199" s="29" t="s">
        <v>372</v>
      </c>
      <c r="G199">
        <v>8</v>
      </c>
      <c r="H199" t="s">
        <v>323</v>
      </c>
      <c r="I199" t="s">
        <v>45</v>
      </c>
      <c r="J199" t="s">
        <v>325</v>
      </c>
      <c r="K199" t="s">
        <v>285</v>
      </c>
      <c r="L199" t="s">
        <v>327</v>
      </c>
    </row>
    <row r="200" spans="1:12">
      <c r="A200" t="s">
        <v>318</v>
      </c>
      <c r="B200" t="s">
        <v>319</v>
      </c>
      <c r="C200" t="s">
        <v>524</v>
      </c>
      <c r="D200" s="28">
        <v>761091112895</v>
      </c>
      <c r="E200" s="29" t="s">
        <v>371</v>
      </c>
      <c r="F200" s="29" t="s">
        <v>372</v>
      </c>
      <c r="G200">
        <v>13</v>
      </c>
      <c r="H200" t="s">
        <v>323</v>
      </c>
      <c r="I200" t="s">
        <v>45</v>
      </c>
      <c r="J200" t="s">
        <v>325</v>
      </c>
      <c r="K200" t="s">
        <v>285</v>
      </c>
      <c r="L200" t="s">
        <v>327</v>
      </c>
    </row>
    <row r="201" spans="1:12">
      <c r="A201" t="s">
        <v>318</v>
      </c>
      <c r="B201" t="s">
        <v>319</v>
      </c>
      <c r="C201" t="s">
        <v>454</v>
      </c>
      <c r="D201" s="28">
        <v>761091112896</v>
      </c>
      <c r="E201" s="29" t="s">
        <v>371</v>
      </c>
      <c r="F201" s="29" t="s">
        <v>372</v>
      </c>
      <c r="G201">
        <v>10</v>
      </c>
      <c r="H201" t="s">
        <v>323</v>
      </c>
      <c r="I201" t="s">
        <v>45</v>
      </c>
      <c r="J201" t="s">
        <v>325</v>
      </c>
      <c r="K201" t="s">
        <v>285</v>
      </c>
      <c r="L201" t="s">
        <v>327</v>
      </c>
    </row>
    <row r="202" spans="1:12">
      <c r="A202" t="s">
        <v>318</v>
      </c>
      <c r="B202" t="s">
        <v>319</v>
      </c>
      <c r="C202" t="s">
        <v>511</v>
      </c>
      <c r="D202" s="28">
        <v>761091112898</v>
      </c>
      <c r="E202" s="29" t="s">
        <v>371</v>
      </c>
      <c r="F202" s="29" t="s">
        <v>372</v>
      </c>
      <c r="G202">
        <v>0</v>
      </c>
      <c r="H202" t="s">
        <v>323</v>
      </c>
      <c r="I202" t="s">
        <v>45</v>
      </c>
      <c r="J202" t="s">
        <v>325</v>
      </c>
      <c r="K202" t="s">
        <v>285</v>
      </c>
      <c r="L202" t="s">
        <v>327</v>
      </c>
    </row>
    <row r="203" spans="1:12">
      <c r="A203" t="s">
        <v>318</v>
      </c>
      <c r="B203" t="s">
        <v>319</v>
      </c>
      <c r="C203" t="s">
        <v>525</v>
      </c>
      <c r="D203" s="28">
        <v>761091133406</v>
      </c>
      <c r="E203" s="29" t="s">
        <v>371</v>
      </c>
      <c r="F203" s="29" t="s">
        <v>372</v>
      </c>
      <c r="G203">
        <v>0</v>
      </c>
      <c r="H203" t="s">
        <v>323</v>
      </c>
      <c r="I203" t="s">
        <v>45</v>
      </c>
      <c r="J203" t="s">
        <v>325</v>
      </c>
      <c r="K203" t="s">
        <v>285</v>
      </c>
      <c r="L203" t="s">
        <v>327</v>
      </c>
    </row>
    <row r="204" spans="1:12">
      <c r="A204" t="s">
        <v>318</v>
      </c>
      <c r="B204" t="s">
        <v>319</v>
      </c>
      <c r="C204" t="s">
        <v>526</v>
      </c>
      <c r="D204" s="28">
        <v>761091133412</v>
      </c>
      <c r="E204" s="29" t="s">
        <v>371</v>
      </c>
      <c r="F204" s="29" t="s">
        <v>372</v>
      </c>
      <c r="G204">
        <v>10</v>
      </c>
      <c r="H204" t="s">
        <v>323</v>
      </c>
      <c r="I204" t="s">
        <v>45</v>
      </c>
      <c r="J204" t="s">
        <v>325</v>
      </c>
      <c r="K204" t="s">
        <v>285</v>
      </c>
      <c r="L204" t="s">
        <v>327</v>
      </c>
    </row>
    <row r="205" spans="1:12">
      <c r="A205" t="s">
        <v>318</v>
      </c>
      <c r="B205" t="s">
        <v>319</v>
      </c>
      <c r="C205" t="s">
        <v>527</v>
      </c>
      <c r="D205" s="28">
        <v>7610900031802</v>
      </c>
      <c r="E205" s="29" t="s">
        <v>371</v>
      </c>
      <c r="F205" s="29" t="s">
        <v>372</v>
      </c>
      <c r="G205">
        <v>8</v>
      </c>
      <c r="H205" t="s">
        <v>323</v>
      </c>
      <c r="I205" t="s">
        <v>45</v>
      </c>
      <c r="J205" t="s">
        <v>325</v>
      </c>
      <c r="K205" t="s">
        <v>285</v>
      </c>
      <c r="L205" t="s">
        <v>327</v>
      </c>
    </row>
    <row r="206" spans="1:12">
      <c r="A206" t="s">
        <v>318</v>
      </c>
      <c r="B206" t="s">
        <v>319</v>
      </c>
      <c r="C206" t="s">
        <v>528</v>
      </c>
      <c r="D206" s="28">
        <v>7610900057694</v>
      </c>
      <c r="E206" s="29" t="s">
        <v>529</v>
      </c>
      <c r="F206" s="29" t="s">
        <v>372</v>
      </c>
      <c r="G206">
        <v>13</v>
      </c>
      <c r="H206" t="s">
        <v>323</v>
      </c>
      <c r="I206" t="s">
        <v>45</v>
      </c>
      <c r="J206" t="s">
        <v>325</v>
      </c>
      <c r="K206" t="s">
        <v>285</v>
      </c>
      <c r="L206" t="s">
        <v>327</v>
      </c>
    </row>
    <row r="207" spans="1:12">
      <c r="A207" t="s">
        <v>318</v>
      </c>
      <c r="B207" t="s">
        <v>319</v>
      </c>
      <c r="C207" t="s">
        <v>530</v>
      </c>
      <c r="D207" s="28">
        <v>7610900069626</v>
      </c>
      <c r="E207" s="29" t="s">
        <v>529</v>
      </c>
      <c r="F207" s="29" t="s">
        <v>372</v>
      </c>
      <c r="G207">
        <v>15</v>
      </c>
      <c r="H207" t="s">
        <v>323</v>
      </c>
      <c r="I207" t="s">
        <v>45</v>
      </c>
      <c r="J207" t="s">
        <v>325</v>
      </c>
      <c r="K207" t="s">
        <v>285</v>
      </c>
      <c r="L207" t="s">
        <v>327</v>
      </c>
    </row>
    <row r="208" spans="1:12">
      <c r="A208" t="s">
        <v>318</v>
      </c>
      <c r="B208" t="s">
        <v>319</v>
      </c>
      <c r="C208" t="s">
        <v>531</v>
      </c>
      <c r="D208" s="28">
        <v>7610900069811</v>
      </c>
      <c r="E208" s="29" t="s">
        <v>529</v>
      </c>
      <c r="F208" s="29" t="s">
        <v>372</v>
      </c>
      <c r="G208">
        <v>15</v>
      </c>
      <c r="H208" t="s">
        <v>323</v>
      </c>
      <c r="I208" t="s">
        <v>45</v>
      </c>
      <c r="J208" t="s">
        <v>325</v>
      </c>
      <c r="K208" t="s">
        <v>285</v>
      </c>
      <c r="L208" t="s">
        <v>327</v>
      </c>
    </row>
    <row r="209" spans="1:12">
      <c r="A209" t="s">
        <v>318</v>
      </c>
      <c r="B209" t="s">
        <v>319</v>
      </c>
      <c r="C209" t="s">
        <v>532</v>
      </c>
      <c r="D209" s="28">
        <v>7610900069814</v>
      </c>
      <c r="E209" s="29" t="s">
        <v>529</v>
      </c>
      <c r="F209" s="29" t="s">
        <v>372</v>
      </c>
      <c r="G209">
        <v>10</v>
      </c>
      <c r="H209" t="s">
        <v>323</v>
      </c>
      <c r="I209" t="s">
        <v>45</v>
      </c>
      <c r="J209" t="s">
        <v>325</v>
      </c>
      <c r="K209" t="s">
        <v>285</v>
      </c>
      <c r="L209" t="s">
        <v>327</v>
      </c>
    </row>
    <row r="210" spans="1:12">
      <c r="A210" t="s">
        <v>318</v>
      </c>
      <c r="B210" t="s">
        <v>319</v>
      </c>
      <c r="C210" t="s">
        <v>533</v>
      </c>
      <c r="D210" s="28">
        <v>7610900069815</v>
      </c>
      <c r="E210" s="29" t="s">
        <v>529</v>
      </c>
      <c r="F210" s="29" t="s">
        <v>372</v>
      </c>
      <c r="G210">
        <v>11</v>
      </c>
      <c r="H210" t="s">
        <v>323</v>
      </c>
      <c r="I210" t="s">
        <v>45</v>
      </c>
      <c r="J210" t="s">
        <v>325</v>
      </c>
      <c r="K210" t="s">
        <v>285</v>
      </c>
      <c r="L210" t="s">
        <v>327</v>
      </c>
    </row>
    <row r="211" spans="1:12">
      <c r="A211" t="s">
        <v>318</v>
      </c>
      <c r="B211" t="s">
        <v>319</v>
      </c>
      <c r="C211" t="s">
        <v>382</v>
      </c>
      <c r="D211" s="28">
        <v>7610900069818</v>
      </c>
      <c r="E211" s="29" t="s">
        <v>529</v>
      </c>
      <c r="F211" s="29" t="s">
        <v>372</v>
      </c>
      <c r="G211">
        <v>12</v>
      </c>
      <c r="H211" t="s">
        <v>323</v>
      </c>
      <c r="I211" t="s">
        <v>45</v>
      </c>
      <c r="J211" t="s">
        <v>325</v>
      </c>
      <c r="K211" t="s">
        <v>285</v>
      </c>
      <c r="L211" t="s">
        <v>327</v>
      </c>
    </row>
    <row r="212" spans="1:12">
      <c r="A212" t="s">
        <v>318</v>
      </c>
      <c r="B212" t="s">
        <v>319</v>
      </c>
      <c r="C212" t="s">
        <v>534</v>
      </c>
      <c r="D212" s="28">
        <v>7610900069822</v>
      </c>
      <c r="E212" s="29" t="s">
        <v>529</v>
      </c>
      <c r="F212" s="29" t="s">
        <v>372</v>
      </c>
      <c r="G212">
        <v>15</v>
      </c>
      <c r="H212" t="s">
        <v>323</v>
      </c>
      <c r="I212" t="s">
        <v>45</v>
      </c>
      <c r="J212" t="s">
        <v>325</v>
      </c>
      <c r="K212" t="s">
        <v>285</v>
      </c>
      <c r="L212" t="s">
        <v>327</v>
      </c>
    </row>
    <row r="213" spans="1:12">
      <c r="A213" t="s">
        <v>318</v>
      </c>
      <c r="B213" t="s">
        <v>319</v>
      </c>
      <c r="C213" t="s">
        <v>535</v>
      </c>
      <c r="D213" s="28">
        <v>7610900069865</v>
      </c>
      <c r="E213" s="29" t="s">
        <v>529</v>
      </c>
      <c r="F213" s="29" t="s">
        <v>372</v>
      </c>
      <c r="G213">
        <v>10</v>
      </c>
      <c r="H213" t="s">
        <v>323</v>
      </c>
      <c r="I213" t="s">
        <v>45</v>
      </c>
      <c r="J213" t="s">
        <v>325</v>
      </c>
      <c r="K213" t="s">
        <v>285</v>
      </c>
      <c r="L213" t="s">
        <v>327</v>
      </c>
    </row>
    <row r="214" spans="1:12">
      <c r="A214" t="s">
        <v>318</v>
      </c>
      <c r="B214" t="s">
        <v>319</v>
      </c>
      <c r="C214" t="s">
        <v>536</v>
      </c>
      <c r="D214" s="28">
        <v>7610900069867</v>
      </c>
      <c r="E214" s="29" t="s">
        <v>529</v>
      </c>
      <c r="F214" s="29" t="s">
        <v>372</v>
      </c>
      <c r="G214">
        <v>15</v>
      </c>
      <c r="H214" t="s">
        <v>323</v>
      </c>
      <c r="I214" t="s">
        <v>45</v>
      </c>
      <c r="J214" t="s">
        <v>325</v>
      </c>
      <c r="K214" t="s">
        <v>285</v>
      </c>
      <c r="L214" t="s">
        <v>327</v>
      </c>
    </row>
    <row r="215" spans="1:12">
      <c r="A215" t="s">
        <v>318</v>
      </c>
      <c r="B215" t="s">
        <v>319</v>
      </c>
      <c r="C215" t="s">
        <v>537</v>
      </c>
      <c r="D215" s="28">
        <v>7610900069869</v>
      </c>
      <c r="E215" s="29" t="s">
        <v>529</v>
      </c>
      <c r="F215" s="29" t="s">
        <v>372</v>
      </c>
      <c r="G215">
        <v>9</v>
      </c>
      <c r="H215" t="s">
        <v>323</v>
      </c>
      <c r="I215" t="s">
        <v>45</v>
      </c>
      <c r="J215" t="s">
        <v>325</v>
      </c>
      <c r="K215" t="s">
        <v>285</v>
      </c>
      <c r="L215" t="s">
        <v>327</v>
      </c>
    </row>
    <row r="216" spans="1:12">
      <c r="A216" t="s">
        <v>318</v>
      </c>
      <c r="B216" t="s">
        <v>319</v>
      </c>
      <c r="C216" t="s">
        <v>538</v>
      </c>
      <c r="D216" s="28">
        <v>7610900069870</v>
      </c>
      <c r="E216" s="29" t="s">
        <v>529</v>
      </c>
      <c r="F216" s="29" t="s">
        <v>372</v>
      </c>
      <c r="G216">
        <v>11</v>
      </c>
      <c r="H216" t="s">
        <v>323</v>
      </c>
      <c r="I216" t="s">
        <v>45</v>
      </c>
      <c r="J216" t="s">
        <v>325</v>
      </c>
      <c r="K216" t="s">
        <v>285</v>
      </c>
      <c r="L216" t="s">
        <v>327</v>
      </c>
    </row>
    <row r="217" spans="1:12">
      <c r="A217" t="s">
        <v>318</v>
      </c>
      <c r="B217" t="s">
        <v>319</v>
      </c>
      <c r="C217" t="s">
        <v>539</v>
      </c>
      <c r="D217" s="28">
        <v>7610900069872</v>
      </c>
      <c r="E217" s="29" t="s">
        <v>529</v>
      </c>
      <c r="F217" s="29" t="s">
        <v>372</v>
      </c>
      <c r="G217">
        <v>13</v>
      </c>
      <c r="H217" t="s">
        <v>323</v>
      </c>
      <c r="I217" t="s">
        <v>45</v>
      </c>
      <c r="J217" t="s">
        <v>325</v>
      </c>
      <c r="K217" t="s">
        <v>285</v>
      </c>
      <c r="L217" t="s">
        <v>327</v>
      </c>
    </row>
    <row r="218" spans="1:12">
      <c r="A218" t="s">
        <v>318</v>
      </c>
      <c r="B218" t="s">
        <v>319</v>
      </c>
      <c r="C218" t="s">
        <v>540</v>
      </c>
      <c r="D218" s="28">
        <v>7610900069874</v>
      </c>
      <c r="E218" s="29" t="s">
        <v>529</v>
      </c>
      <c r="F218" s="29" t="s">
        <v>372</v>
      </c>
      <c r="G218">
        <v>7</v>
      </c>
      <c r="H218" t="s">
        <v>323</v>
      </c>
      <c r="I218" t="s">
        <v>45</v>
      </c>
      <c r="J218" t="s">
        <v>325</v>
      </c>
      <c r="K218" t="s">
        <v>285</v>
      </c>
      <c r="L218" t="s">
        <v>327</v>
      </c>
    </row>
    <row r="219" spans="1:12">
      <c r="A219" t="s">
        <v>318</v>
      </c>
      <c r="B219" t="s">
        <v>319</v>
      </c>
      <c r="C219" t="s">
        <v>541</v>
      </c>
      <c r="D219" s="28">
        <v>7610900069876</v>
      </c>
      <c r="E219" s="29" t="s">
        <v>529</v>
      </c>
      <c r="F219" s="29" t="s">
        <v>372</v>
      </c>
      <c r="G219">
        <v>14</v>
      </c>
      <c r="H219" t="s">
        <v>323</v>
      </c>
      <c r="I219" t="s">
        <v>45</v>
      </c>
      <c r="J219" t="s">
        <v>325</v>
      </c>
      <c r="K219" t="s">
        <v>285</v>
      </c>
      <c r="L219" t="s">
        <v>327</v>
      </c>
    </row>
    <row r="220" spans="1:12">
      <c r="A220" t="s">
        <v>318</v>
      </c>
      <c r="B220" t="s">
        <v>319</v>
      </c>
      <c r="C220" t="s">
        <v>513</v>
      </c>
      <c r="D220" s="28">
        <v>7610900069877</v>
      </c>
      <c r="E220" s="29" t="s">
        <v>529</v>
      </c>
      <c r="F220" s="29" t="s">
        <v>372</v>
      </c>
      <c r="G220">
        <v>12</v>
      </c>
      <c r="H220" t="s">
        <v>323</v>
      </c>
      <c r="I220" t="s">
        <v>45</v>
      </c>
      <c r="J220" t="s">
        <v>325</v>
      </c>
      <c r="K220" t="s">
        <v>285</v>
      </c>
      <c r="L220" t="s">
        <v>327</v>
      </c>
    </row>
    <row r="221" spans="1:12">
      <c r="A221" t="s">
        <v>318</v>
      </c>
      <c r="B221" t="s">
        <v>319</v>
      </c>
      <c r="C221" t="s">
        <v>542</v>
      </c>
      <c r="D221" s="28">
        <v>7610900069879</v>
      </c>
      <c r="E221" s="29" t="s">
        <v>529</v>
      </c>
      <c r="F221" s="29" t="s">
        <v>372</v>
      </c>
      <c r="G221">
        <v>14</v>
      </c>
      <c r="H221" t="s">
        <v>323</v>
      </c>
      <c r="I221" t="s">
        <v>45</v>
      </c>
      <c r="J221" t="s">
        <v>325</v>
      </c>
      <c r="K221" t="s">
        <v>285</v>
      </c>
      <c r="L221" t="s">
        <v>327</v>
      </c>
    </row>
    <row r="222" spans="1:12">
      <c r="A222" t="s">
        <v>318</v>
      </c>
      <c r="B222" t="s">
        <v>319</v>
      </c>
      <c r="C222" t="s">
        <v>543</v>
      </c>
      <c r="D222" s="28">
        <v>7610900069883</v>
      </c>
      <c r="E222" s="29" t="s">
        <v>529</v>
      </c>
      <c r="F222" s="29" t="s">
        <v>372</v>
      </c>
      <c r="G222">
        <v>10</v>
      </c>
      <c r="H222" t="s">
        <v>323</v>
      </c>
      <c r="I222" t="s">
        <v>45</v>
      </c>
      <c r="J222" t="s">
        <v>325</v>
      </c>
      <c r="K222" t="s">
        <v>285</v>
      </c>
      <c r="L222" t="s">
        <v>327</v>
      </c>
    </row>
    <row r="223" spans="1:12">
      <c r="A223" t="s">
        <v>318</v>
      </c>
      <c r="B223" t="s">
        <v>319</v>
      </c>
      <c r="C223" t="s">
        <v>544</v>
      </c>
      <c r="D223" s="28">
        <v>7610900069888</v>
      </c>
      <c r="E223" s="29" t="s">
        <v>529</v>
      </c>
      <c r="F223" s="29" t="s">
        <v>372</v>
      </c>
      <c r="G223">
        <v>9</v>
      </c>
      <c r="H223" t="s">
        <v>323</v>
      </c>
      <c r="I223" t="s">
        <v>45</v>
      </c>
      <c r="J223" t="s">
        <v>325</v>
      </c>
      <c r="K223" t="s">
        <v>285</v>
      </c>
      <c r="L223" t="s">
        <v>327</v>
      </c>
    </row>
    <row r="224" spans="1:12">
      <c r="A224" t="s">
        <v>318</v>
      </c>
      <c r="B224" t="s">
        <v>319</v>
      </c>
      <c r="C224" t="s">
        <v>545</v>
      </c>
      <c r="D224" s="28">
        <v>7610900069891</v>
      </c>
      <c r="E224" s="29" t="s">
        <v>529</v>
      </c>
      <c r="F224" s="29" t="s">
        <v>372</v>
      </c>
      <c r="G224">
        <v>15</v>
      </c>
      <c r="H224" t="s">
        <v>323</v>
      </c>
      <c r="I224" t="s">
        <v>45</v>
      </c>
      <c r="J224" t="s">
        <v>325</v>
      </c>
      <c r="K224" t="s">
        <v>285</v>
      </c>
      <c r="L224" t="s">
        <v>327</v>
      </c>
    </row>
    <row r="225" spans="1:12">
      <c r="A225" t="s">
        <v>318</v>
      </c>
      <c r="B225" t="s">
        <v>319</v>
      </c>
      <c r="C225" t="s">
        <v>546</v>
      </c>
      <c r="D225" s="28">
        <v>7610900069893</v>
      </c>
      <c r="E225" s="29" t="s">
        <v>529</v>
      </c>
      <c r="F225" s="29" t="s">
        <v>372</v>
      </c>
      <c r="G225">
        <v>13</v>
      </c>
      <c r="H225" t="s">
        <v>323</v>
      </c>
      <c r="I225" t="s">
        <v>45</v>
      </c>
      <c r="J225" t="s">
        <v>325</v>
      </c>
      <c r="K225" t="s">
        <v>285</v>
      </c>
      <c r="L225" t="s">
        <v>327</v>
      </c>
    </row>
    <row r="226" spans="1:12">
      <c r="A226" t="s">
        <v>318</v>
      </c>
      <c r="B226" t="s">
        <v>319</v>
      </c>
      <c r="C226" t="s">
        <v>411</v>
      </c>
      <c r="D226" s="28">
        <v>7610900069894</v>
      </c>
      <c r="E226" s="29" t="s">
        <v>529</v>
      </c>
      <c r="F226" s="29" t="s">
        <v>372</v>
      </c>
      <c r="G226">
        <v>15</v>
      </c>
      <c r="H226" t="s">
        <v>323</v>
      </c>
      <c r="I226" t="s">
        <v>45</v>
      </c>
      <c r="J226" t="s">
        <v>325</v>
      </c>
      <c r="K226" t="s">
        <v>285</v>
      </c>
      <c r="L226" t="s">
        <v>327</v>
      </c>
    </row>
    <row r="227" spans="1:12">
      <c r="A227" t="s">
        <v>318</v>
      </c>
      <c r="B227" t="s">
        <v>319</v>
      </c>
      <c r="C227" t="s">
        <v>547</v>
      </c>
      <c r="D227" s="28">
        <v>7610900069896</v>
      </c>
      <c r="E227" s="29" t="s">
        <v>529</v>
      </c>
      <c r="F227" s="29" t="s">
        <v>372</v>
      </c>
      <c r="G227">
        <v>13</v>
      </c>
      <c r="H227" t="s">
        <v>323</v>
      </c>
      <c r="I227" t="s">
        <v>45</v>
      </c>
      <c r="J227" t="s">
        <v>325</v>
      </c>
      <c r="K227" t="s">
        <v>285</v>
      </c>
      <c r="L227" t="s">
        <v>327</v>
      </c>
    </row>
    <row r="228" spans="1:12">
      <c r="A228" t="s">
        <v>318</v>
      </c>
      <c r="B228" t="s">
        <v>319</v>
      </c>
      <c r="C228" t="s">
        <v>544</v>
      </c>
      <c r="D228" s="28">
        <v>7610900069910</v>
      </c>
      <c r="E228" s="29" t="s">
        <v>529</v>
      </c>
      <c r="F228" s="29" t="s">
        <v>372</v>
      </c>
      <c r="G228">
        <v>12</v>
      </c>
      <c r="H228" t="s">
        <v>323</v>
      </c>
      <c r="I228" t="s">
        <v>45</v>
      </c>
      <c r="J228" t="s">
        <v>325</v>
      </c>
      <c r="K228" t="s">
        <v>285</v>
      </c>
      <c r="L228" t="s">
        <v>327</v>
      </c>
    </row>
    <row r="229" spans="1:12">
      <c r="A229" t="s">
        <v>318</v>
      </c>
      <c r="B229" t="s">
        <v>319</v>
      </c>
      <c r="C229" t="s">
        <v>548</v>
      </c>
      <c r="D229" s="28">
        <v>7610900072666</v>
      </c>
      <c r="E229" s="29" t="s">
        <v>529</v>
      </c>
      <c r="F229" s="29" t="s">
        <v>372</v>
      </c>
      <c r="G229">
        <v>15</v>
      </c>
      <c r="H229" t="s">
        <v>323</v>
      </c>
      <c r="I229" t="s">
        <v>45</v>
      </c>
      <c r="J229" t="s">
        <v>325</v>
      </c>
      <c r="K229" t="s">
        <v>285</v>
      </c>
      <c r="L229" t="s">
        <v>327</v>
      </c>
    </row>
    <row r="230" spans="1:12">
      <c r="A230" t="s">
        <v>318</v>
      </c>
      <c r="B230" t="s">
        <v>319</v>
      </c>
      <c r="C230" t="s">
        <v>549</v>
      </c>
      <c r="D230" s="28">
        <v>7610900072673</v>
      </c>
      <c r="E230" s="29" t="s">
        <v>529</v>
      </c>
      <c r="F230" s="29" t="s">
        <v>372</v>
      </c>
      <c r="G230">
        <v>13</v>
      </c>
      <c r="H230" t="s">
        <v>323</v>
      </c>
      <c r="I230" t="s">
        <v>45</v>
      </c>
      <c r="J230" t="s">
        <v>325</v>
      </c>
      <c r="K230" t="s">
        <v>285</v>
      </c>
      <c r="L230" t="s">
        <v>327</v>
      </c>
    </row>
    <row r="231" spans="1:12">
      <c r="A231" t="s">
        <v>318</v>
      </c>
      <c r="B231" t="s">
        <v>319</v>
      </c>
      <c r="C231" t="s">
        <v>550</v>
      </c>
      <c r="D231" s="28">
        <v>7610900072676</v>
      </c>
      <c r="E231" s="29" t="s">
        <v>529</v>
      </c>
      <c r="F231" s="29" t="s">
        <v>372</v>
      </c>
      <c r="G231">
        <v>10</v>
      </c>
      <c r="H231" t="s">
        <v>323</v>
      </c>
      <c r="I231" t="s">
        <v>45</v>
      </c>
      <c r="J231" t="s">
        <v>325</v>
      </c>
      <c r="K231" t="s">
        <v>285</v>
      </c>
      <c r="L231" t="s">
        <v>327</v>
      </c>
    </row>
    <row r="232" spans="1:12">
      <c r="A232" t="s">
        <v>318</v>
      </c>
      <c r="B232" t="s">
        <v>319</v>
      </c>
      <c r="C232" t="s">
        <v>551</v>
      </c>
      <c r="D232" s="28">
        <v>7610900072679</v>
      </c>
      <c r="E232" s="29" t="s">
        <v>529</v>
      </c>
      <c r="F232" s="29" t="s">
        <v>372</v>
      </c>
      <c r="G232">
        <v>11</v>
      </c>
      <c r="H232" t="s">
        <v>323</v>
      </c>
      <c r="I232" t="s">
        <v>45</v>
      </c>
      <c r="J232" t="s">
        <v>325</v>
      </c>
      <c r="K232" t="s">
        <v>285</v>
      </c>
      <c r="L232" t="s">
        <v>327</v>
      </c>
    </row>
    <row r="233" spans="1:12">
      <c r="A233" t="s">
        <v>318</v>
      </c>
      <c r="B233" t="s">
        <v>319</v>
      </c>
      <c r="C233" t="s">
        <v>552</v>
      </c>
      <c r="D233" s="28">
        <v>7610900072681</v>
      </c>
      <c r="E233" s="29" t="s">
        <v>529</v>
      </c>
      <c r="F233" s="29" t="s">
        <v>372</v>
      </c>
      <c r="G233">
        <v>15</v>
      </c>
      <c r="H233" t="s">
        <v>323</v>
      </c>
      <c r="I233" t="s">
        <v>45</v>
      </c>
      <c r="J233" t="s">
        <v>325</v>
      </c>
      <c r="K233" t="s">
        <v>285</v>
      </c>
      <c r="L233" t="s">
        <v>327</v>
      </c>
    </row>
    <row r="234" spans="1:12">
      <c r="A234" t="s">
        <v>318</v>
      </c>
      <c r="B234" t="s">
        <v>319</v>
      </c>
      <c r="C234" t="s">
        <v>553</v>
      </c>
      <c r="D234" s="28">
        <v>7610900072682</v>
      </c>
      <c r="E234" s="29" t="s">
        <v>529</v>
      </c>
      <c r="F234" s="29" t="s">
        <v>372</v>
      </c>
      <c r="G234">
        <v>15</v>
      </c>
      <c r="H234" t="s">
        <v>323</v>
      </c>
      <c r="I234" t="s">
        <v>45</v>
      </c>
      <c r="J234" t="s">
        <v>325</v>
      </c>
      <c r="K234" t="s">
        <v>285</v>
      </c>
      <c r="L234" t="s">
        <v>327</v>
      </c>
    </row>
    <row r="235" spans="1:12">
      <c r="A235" t="s">
        <v>318</v>
      </c>
      <c r="B235" t="s">
        <v>319</v>
      </c>
      <c r="C235" t="s">
        <v>554</v>
      </c>
      <c r="D235" s="28">
        <v>7610900084819</v>
      </c>
      <c r="E235" s="29" t="s">
        <v>371</v>
      </c>
      <c r="F235" s="29" t="s">
        <v>372</v>
      </c>
      <c r="G235">
        <v>12</v>
      </c>
      <c r="H235" t="s">
        <v>323</v>
      </c>
      <c r="I235" t="s">
        <v>45</v>
      </c>
      <c r="J235" t="s">
        <v>325</v>
      </c>
      <c r="K235" t="s">
        <v>285</v>
      </c>
      <c r="L235" t="s">
        <v>327</v>
      </c>
    </row>
    <row r="236" spans="1:12">
      <c r="A236" t="s">
        <v>318</v>
      </c>
      <c r="B236" t="s">
        <v>319</v>
      </c>
      <c r="C236" t="s">
        <v>454</v>
      </c>
      <c r="D236" s="28">
        <v>7610900084825</v>
      </c>
      <c r="E236" s="29" t="s">
        <v>371</v>
      </c>
      <c r="F236" s="29" t="s">
        <v>372</v>
      </c>
      <c r="G236">
        <v>9</v>
      </c>
      <c r="H236" t="s">
        <v>323</v>
      </c>
      <c r="I236" t="s">
        <v>45</v>
      </c>
      <c r="J236" t="s">
        <v>325</v>
      </c>
      <c r="K236" t="s">
        <v>285</v>
      </c>
      <c r="L236" t="s">
        <v>327</v>
      </c>
    </row>
    <row r="237" spans="1:12">
      <c r="A237" t="s">
        <v>318</v>
      </c>
      <c r="B237" t="s">
        <v>319</v>
      </c>
      <c r="C237" t="s">
        <v>555</v>
      </c>
      <c r="D237" s="28">
        <v>7610900084827</v>
      </c>
      <c r="E237" s="29" t="s">
        <v>371</v>
      </c>
      <c r="F237" s="29" t="s">
        <v>372</v>
      </c>
      <c r="G237">
        <v>10</v>
      </c>
      <c r="H237" t="s">
        <v>323</v>
      </c>
      <c r="I237" t="s">
        <v>45</v>
      </c>
      <c r="J237" t="s">
        <v>325</v>
      </c>
      <c r="K237" t="s">
        <v>285</v>
      </c>
      <c r="L237" t="s">
        <v>327</v>
      </c>
    </row>
    <row r="238" spans="1:12">
      <c r="A238" t="s">
        <v>318</v>
      </c>
      <c r="B238" t="s">
        <v>319</v>
      </c>
      <c r="C238" t="s">
        <v>556</v>
      </c>
      <c r="D238" s="28">
        <v>7610900084829</v>
      </c>
      <c r="E238" s="29" t="s">
        <v>371</v>
      </c>
      <c r="F238" s="29" t="s">
        <v>372</v>
      </c>
      <c r="G238">
        <v>10</v>
      </c>
      <c r="H238" t="s">
        <v>323</v>
      </c>
      <c r="I238" t="s">
        <v>45</v>
      </c>
      <c r="J238" t="s">
        <v>325</v>
      </c>
      <c r="K238" t="s">
        <v>285</v>
      </c>
      <c r="L238" t="s">
        <v>327</v>
      </c>
    </row>
    <row r="239" spans="1:12">
      <c r="A239" t="s">
        <v>318</v>
      </c>
      <c r="B239" t="s">
        <v>319</v>
      </c>
      <c r="C239" t="s">
        <v>557</v>
      </c>
      <c r="D239" s="28">
        <v>7610900085602</v>
      </c>
      <c r="E239" s="29" t="s">
        <v>371</v>
      </c>
      <c r="F239" s="29" t="s">
        <v>372</v>
      </c>
      <c r="G239">
        <v>8</v>
      </c>
      <c r="H239" t="s">
        <v>323</v>
      </c>
      <c r="I239" t="s">
        <v>45</v>
      </c>
      <c r="J239" t="s">
        <v>325</v>
      </c>
      <c r="K239" t="s">
        <v>285</v>
      </c>
      <c r="L239" t="s">
        <v>327</v>
      </c>
    </row>
    <row r="240" spans="1:12">
      <c r="A240" t="s">
        <v>318</v>
      </c>
      <c r="B240" t="s">
        <v>319</v>
      </c>
      <c r="C240" t="s">
        <v>558</v>
      </c>
      <c r="D240" s="28">
        <v>7610900085603</v>
      </c>
      <c r="E240" s="29" t="s">
        <v>371</v>
      </c>
      <c r="F240" s="29" t="s">
        <v>372</v>
      </c>
      <c r="G240">
        <v>6</v>
      </c>
      <c r="H240" t="s">
        <v>323</v>
      </c>
      <c r="I240" t="s">
        <v>45</v>
      </c>
      <c r="J240" t="s">
        <v>325</v>
      </c>
      <c r="K240" t="s">
        <v>285</v>
      </c>
      <c r="L240" t="s">
        <v>327</v>
      </c>
    </row>
    <row r="241" spans="1:12">
      <c r="A241" t="s">
        <v>318</v>
      </c>
      <c r="B241" t="s">
        <v>319</v>
      </c>
      <c r="C241" t="s">
        <v>559</v>
      </c>
      <c r="D241" s="28">
        <v>7610900085607</v>
      </c>
      <c r="E241" s="29" t="s">
        <v>371</v>
      </c>
      <c r="F241" s="29" t="s">
        <v>372</v>
      </c>
      <c r="G241">
        <v>9</v>
      </c>
      <c r="H241" t="s">
        <v>323</v>
      </c>
      <c r="I241" t="s">
        <v>45</v>
      </c>
      <c r="J241" t="s">
        <v>325</v>
      </c>
      <c r="K241" t="s">
        <v>285</v>
      </c>
      <c r="L241" t="s">
        <v>327</v>
      </c>
    </row>
    <row r="242" spans="1:12">
      <c r="A242" t="s">
        <v>318</v>
      </c>
      <c r="B242" t="s">
        <v>319</v>
      </c>
      <c r="C242" t="s">
        <v>454</v>
      </c>
      <c r="D242" s="28">
        <v>7610900085608</v>
      </c>
      <c r="E242" s="29" t="s">
        <v>371</v>
      </c>
      <c r="F242" s="29" t="s">
        <v>372</v>
      </c>
      <c r="G242">
        <v>9</v>
      </c>
      <c r="H242" t="s">
        <v>323</v>
      </c>
      <c r="I242" t="s">
        <v>45</v>
      </c>
      <c r="J242" t="s">
        <v>325</v>
      </c>
      <c r="K242" t="s">
        <v>285</v>
      </c>
      <c r="L242" t="s">
        <v>327</v>
      </c>
    </row>
    <row r="243" spans="1:12">
      <c r="A243" t="s">
        <v>318</v>
      </c>
      <c r="B243" t="s">
        <v>319</v>
      </c>
      <c r="C243" t="s">
        <v>560</v>
      </c>
      <c r="D243" s="28">
        <v>7610900086333</v>
      </c>
      <c r="E243" s="29" t="s">
        <v>371</v>
      </c>
      <c r="F243" s="29" t="s">
        <v>372</v>
      </c>
      <c r="G243">
        <v>10</v>
      </c>
      <c r="H243" t="s">
        <v>323</v>
      </c>
      <c r="I243" t="s">
        <v>45</v>
      </c>
      <c r="J243" t="s">
        <v>325</v>
      </c>
      <c r="K243" t="s">
        <v>285</v>
      </c>
      <c r="L243" t="s">
        <v>327</v>
      </c>
    </row>
    <row r="244" spans="1:12">
      <c r="A244" t="s">
        <v>318</v>
      </c>
      <c r="B244" t="s">
        <v>319</v>
      </c>
      <c r="C244" t="s">
        <v>561</v>
      </c>
      <c r="D244" s="28">
        <v>7610900086516</v>
      </c>
      <c r="E244" s="29" t="s">
        <v>371</v>
      </c>
      <c r="F244" s="29" t="s">
        <v>372</v>
      </c>
      <c r="G244">
        <v>7</v>
      </c>
      <c r="H244" t="s">
        <v>323</v>
      </c>
      <c r="I244" t="s">
        <v>45</v>
      </c>
      <c r="J244" t="s">
        <v>325</v>
      </c>
      <c r="K244" t="s">
        <v>285</v>
      </c>
      <c r="L244" t="s">
        <v>327</v>
      </c>
    </row>
    <row r="245" spans="1:12">
      <c r="A245" t="s">
        <v>318</v>
      </c>
      <c r="B245" t="s">
        <v>319</v>
      </c>
      <c r="C245" t="s">
        <v>562</v>
      </c>
      <c r="D245" s="28">
        <v>7610900092036</v>
      </c>
      <c r="E245" s="29" t="s">
        <v>371</v>
      </c>
      <c r="F245" s="29" t="s">
        <v>372</v>
      </c>
      <c r="G245">
        <v>11</v>
      </c>
      <c r="H245" t="s">
        <v>323</v>
      </c>
      <c r="I245" t="s">
        <v>45</v>
      </c>
      <c r="J245" t="s">
        <v>325</v>
      </c>
      <c r="K245" t="s">
        <v>285</v>
      </c>
      <c r="L245" t="s">
        <v>327</v>
      </c>
    </row>
    <row r="246" spans="1:12">
      <c r="A246" t="s">
        <v>318</v>
      </c>
      <c r="B246" t="s">
        <v>319</v>
      </c>
      <c r="C246" t="s">
        <v>563</v>
      </c>
      <c r="D246" s="28">
        <v>7610900092037</v>
      </c>
      <c r="E246" s="29" t="s">
        <v>371</v>
      </c>
      <c r="F246" s="29" t="s">
        <v>372</v>
      </c>
      <c r="G246">
        <v>7</v>
      </c>
      <c r="H246" t="s">
        <v>323</v>
      </c>
      <c r="I246" t="s">
        <v>45</v>
      </c>
      <c r="J246" t="s">
        <v>325</v>
      </c>
      <c r="K246" t="s">
        <v>285</v>
      </c>
      <c r="L246" t="s">
        <v>327</v>
      </c>
    </row>
    <row r="247" spans="1:12">
      <c r="A247" t="s">
        <v>318</v>
      </c>
      <c r="B247" t="s">
        <v>319</v>
      </c>
      <c r="C247" t="s">
        <v>564</v>
      </c>
      <c r="D247" s="28">
        <v>7610900092038</v>
      </c>
      <c r="E247" s="29" t="s">
        <v>371</v>
      </c>
      <c r="F247" s="29" t="s">
        <v>372</v>
      </c>
      <c r="G247">
        <v>9</v>
      </c>
      <c r="H247" t="s">
        <v>323</v>
      </c>
      <c r="I247" t="s">
        <v>45</v>
      </c>
      <c r="J247" t="s">
        <v>325</v>
      </c>
      <c r="K247" t="s">
        <v>285</v>
      </c>
      <c r="L247" t="s">
        <v>327</v>
      </c>
    </row>
    <row r="248" spans="1:12">
      <c r="A248" t="s">
        <v>318</v>
      </c>
      <c r="B248" t="s">
        <v>319</v>
      </c>
      <c r="C248" t="s">
        <v>348</v>
      </c>
      <c r="D248" s="28">
        <v>7610900092039</v>
      </c>
      <c r="E248" s="29" t="s">
        <v>371</v>
      </c>
      <c r="F248" s="29" t="s">
        <v>372</v>
      </c>
      <c r="G248">
        <v>8</v>
      </c>
      <c r="H248" t="s">
        <v>323</v>
      </c>
      <c r="I248" t="s">
        <v>45</v>
      </c>
      <c r="J248" t="s">
        <v>325</v>
      </c>
      <c r="K248" t="s">
        <v>285</v>
      </c>
      <c r="L248" t="s">
        <v>327</v>
      </c>
    </row>
    <row r="249" spans="1:12">
      <c r="A249" t="s">
        <v>318</v>
      </c>
      <c r="B249" t="s">
        <v>319</v>
      </c>
      <c r="C249" t="s">
        <v>453</v>
      </c>
      <c r="D249" s="28">
        <v>7610900092040</v>
      </c>
      <c r="E249" s="29" t="s">
        <v>371</v>
      </c>
      <c r="F249" s="29" t="s">
        <v>372</v>
      </c>
      <c r="G249">
        <v>10</v>
      </c>
      <c r="H249" t="s">
        <v>323</v>
      </c>
      <c r="I249" t="s">
        <v>45</v>
      </c>
      <c r="J249" t="s">
        <v>325</v>
      </c>
      <c r="K249" t="s">
        <v>285</v>
      </c>
      <c r="L249" t="s">
        <v>327</v>
      </c>
    </row>
    <row r="250" spans="1:12">
      <c r="A250" t="s">
        <v>318</v>
      </c>
      <c r="B250" t="s">
        <v>319</v>
      </c>
      <c r="C250" t="s">
        <v>373</v>
      </c>
      <c r="D250" s="28">
        <v>7610900092043</v>
      </c>
      <c r="E250" s="29" t="s">
        <v>371</v>
      </c>
      <c r="F250" s="29" t="s">
        <v>372</v>
      </c>
      <c r="G250">
        <v>7</v>
      </c>
      <c r="H250" t="s">
        <v>323</v>
      </c>
      <c r="I250" t="s">
        <v>45</v>
      </c>
      <c r="J250" t="s">
        <v>325</v>
      </c>
      <c r="K250" t="s">
        <v>285</v>
      </c>
      <c r="L250" t="s">
        <v>327</v>
      </c>
    </row>
    <row r="251" spans="1:12">
      <c r="A251" t="s">
        <v>318</v>
      </c>
      <c r="B251" t="s">
        <v>319</v>
      </c>
      <c r="C251" t="s">
        <v>491</v>
      </c>
      <c r="D251" s="28">
        <v>7610900092044</v>
      </c>
      <c r="E251" s="29" t="s">
        <v>371</v>
      </c>
      <c r="F251" s="29" t="s">
        <v>372</v>
      </c>
      <c r="G251">
        <v>9</v>
      </c>
      <c r="H251" t="s">
        <v>323</v>
      </c>
      <c r="I251" t="s">
        <v>45</v>
      </c>
      <c r="J251" t="s">
        <v>325</v>
      </c>
      <c r="K251" t="s">
        <v>285</v>
      </c>
      <c r="L251" t="s">
        <v>327</v>
      </c>
    </row>
    <row r="252" spans="1:12">
      <c r="A252" t="s">
        <v>318</v>
      </c>
      <c r="B252" t="s">
        <v>319</v>
      </c>
      <c r="C252" t="s">
        <v>440</v>
      </c>
      <c r="D252" s="28">
        <v>7610900092045</v>
      </c>
      <c r="E252" s="29" t="s">
        <v>371</v>
      </c>
      <c r="F252" s="29" t="s">
        <v>372</v>
      </c>
      <c r="G252">
        <v>11</v>
      </c>
      <c r="H252" t="s">
        <v>323</v>
      </c>
      <c r="I252" t="s">
        <v>45</v>
      </c>
      <c r="J252" t="s">
        <v>325</v>
      </c>
      <c r="K252" t="s">
        <v>285</v>
      </c>
      <c r="L252" t="s">
        <v>327</v>
      </c>
    </row>
    <row r="253" spans="1:12">
      <c r="A253" t="s">
        <v>318</v>
      </c>
      <c r="B253" t="s">
        <v>319</v>
      </c>
      <c r="C253" t="s">
        <v>565</v>
      </c>
      <c r="D253" s="28">
        <v>7610900092046</v>
      </c>
      <c r="E253" s="29" t="s">
        <v>371</v>
      </c>
      <c r="F253" s="29" t="s">
        <v>372</v>
      </c>
      <c r="G253">
        <v>10</v>
      </c>
      <c r="H253" t="s">
        <v>323</v>
      </c>
      <c r="I253" t="s">
        <v>45</v>
      </c>
      <c r="J253" t="s">
        <v>325</v>
      </c>
      <c r="K253" t="s">
        <v>285</v>
      </c>
      <c r="L253" t="s">
        <v>327</v>
      </c>
    </row>
    <row r="254" spans="1:12">
      <c r="A254" t="s">
        <v>318</v>
      </c>
      <c r="B254" t="s">
        <v>319</v>
      </c>
      <c r="C254" t="s">
        <v>430</v>
      </c>
      <c r="D254" s="28">
        <v>7610900092047</v>
      </c>
      <c r="E254" s="29" t="s">
        <v>371</v>
      </c>
      <c r="F254" s="29" t="s">
        <v>372</v>
      </c>
      <c r="G254">
        <v>8</v>
      </c>
      <c r="H254" t="s">
        <v>323</v>
      </c>
      <c r="I254" t="s">
        <v>45</v>
      </c>
      <c r="J254" t="s">
        <v>325</v>
      </c>
      <c r="K254" t="s">
        <v>285</v>
      </c>
      <c r="L254" t="s">
        <v>327</v>
      </c>
    </row>
    <row r="255" spans="1:12">
      <c r="A255" t="s">
        <v>318</v>
      </c>
      <c r="B255" t="s">
        <v>319</v>
      </c>
      <c r="C255" t="s">
        <v>566</v>
      </c>
      <c r="D255" s="28">
        <v>7610900092049</v>
      </c>
      <c r="E255" s="29" t="s">
        <v>371</v>
      </c>
      <c r="F255" s="29" t="s">
        <v>372</v>
      </c>
      <c r="G255">
        <v>11</v>
      </c>
      <c r="H255" t="s">
        <v>323</v>
      </c>
      <c r="I255" t="s">
        <v>45</v>
      </c>
      <c r="J255" t="s">
        <v>325</v>
      </c>
      <c r="K255" t="s">
        <v>285</v>
      </c>
      <c r="L255" t="s">
        <v>327</v>
      </c>
    </row>
    <row r="256" spans="1:12">
      <c r="A256" t="s">
        <v>318</v>
      </c>
      <c r="B256" t="s">
        <v>319</v>
      </c>
      <c r="C256" t="s">
        <v>504</v>
      </c>
      <c r="D256" s="28">
        <v>7610900092050</v>
      </c>
      <c r="E256" s="29" t="s">
        <v>371</v>
      </c>
      <c r="F256" s="29" t="s">
        <v>372</v>
      </c>
      <c r="G256">
        <v>6</v>
      </c>
      <c r="H256" t="s">
        <v>323</v>
      </c>
      <c r="I256" t="s">
        <v>45</v>
      </c>
      <c r="J256" t="s">
        <v>325</v>
      </c>
      <c r="K256" t="s">
        <v>285</v>
      </c>
      <c r="L256" t="s">
        <v>327</v>
      </c>
    </row>
    <row r="257" spans="1:12">
      <c r="A257" t="s">
        <v>318</v>
      </c>
      <c r="B257" t="s">
        <v>319</v>
      </c>
      <c r="C257" t="s">
        <v>382</v>
      </c>
      <c r="D257" s="28">
        <v>7610900092051</v>
      </c>
      <c r="E257" s="29" t="s">
        <v>371</v>
      </c>
      <c r="F257" s="29" t="s">
        <v>372</v>
      </c>
      <c r="G257">
        <v>10</v>
      </c>
      <c r="H257" t="s">
        <v>323</v>
      </c>
      <c r="I257" t="s">
        <v>45</v>
      </c>
      <c r="J257" t="s">
        <v>325</v>
      </c>
      <c r="K257" t="s">
        <v>285</v>
      </c>
      <c r="L257" t="s">
        <v>327</v>
      </c>
    </row>
    <row r="258" spans="1:12">
      <c r="A258" t="s">
        <v>318</v>
      </c>
      <c r="B258" t="s">
        <v>319</v>
      </c>
      <c r="C258" t="s">
        <v>567</v>
      </c>
      <c r="D258" s="28">
        <v>7610900092052</v>
      </c>
      <c r="E258" s="29" t="s">
        <v>371</v>
      </c>
      <c r="F258" s="29" t="s">
        <v>372</v>
      </c>
      <c r="G258">
        <v>8</v>
      </c>
      <c r="H258" t="s">
        <v>323</v>
      </c>
      <c r="I258" t="s">
        <v>45</v>
      </c>
      <c r="J258" t="s">
        <v>325</v>
      </c>
      <c r="K258" t="s">
        <v>285</v>
      </c>
      <c r="L258" t="s">
        <v>327</v>
      </c>
    </row>
    <row r="259" spans="1:12">
      <c r="A259" t="s">
        <v>318</v>
      </c>
      <c r="B259" t="s">
        <v>319</v>
      </c>
      <c r="C259" t="s">
        <v>511</v>
      </c>
      <c r="D259" s="28">
        <v>7610900092053</v>
      </c>
      <c r="E259" s="29" t="s">
        <v>371</v>
      </c>
      <c r="F259" s="29" t="s">
        <v>372</v>
      </c>
      <c r="G259">
        <v>7</v>
      </c>
      <c r="H259" t="s">
        <v>323</v>
      </c>
      <c r="I259" t="s">
        <v>45</v>
      </c>
      <c r="J259" t="s">
        <v>325</v>
      </c>
      <c r="K259" t="s">
        <v>285</v>
      </c>
      <c r="L259" t="s">
        <v>327</v>
      </c>
    </row>
    <row r="260" spans="1:12">
      <c r="A260" t="s">
        <v>318</v>
      </c>
      <c r="B260" t="s">
        <v>319</v>
      </c>
      <c r="C260" t="s">
        <v>568</v>
      </c>
      <c r="D260" s="28">
        <v>7610900092054</v>
      </c>
      <c r="E260" s="29" t="s">
        <v>371</v>
      </c>
      <c r="F260" s="29" t="s">
        <v>372</v>
      </c>
      <c r="G260">
        <v>10</v>
      </c>
      <c r="H260" t="s">
        <v>323</v>
      </c>
      <c r="I260" t="s">
        <v>45</v>
      </c>
      <c r="J260" t="s">
        <v>325</v>
      </c>
      <c r="K260" t="s">
        <v>285</v>
      </c>
      <c r="L260" t="s">
        <v>327</v>
      </c>
    </row>
    <row r="261" spans="1:12">
      <c r="A261" t="s">
        <v>318</v>
      </c>
      <c r="B261" t="s">
        <v>319</v>
      </c>
      <c r="C261" t="s">
        <v>569</v>
      </c>
      <c r="D261" s="28">
        <v>7610900092055</v>
      </c>
      <c r="E261" s="29" t="s">
        <v>371</v>
      </c>
      <c r="F261" s="29" t="s">
        <v>372</v>
      </c>
      <c r="G261">
        <v>8</v>
      </c>
      <c r="H261" t="s">
        <v>323</v>
      </c>
      <c r="I261" t="s">
        <v>45</v>
      </c>
      <c r="J261" t="s">
        <v>325</v>
      </c>
      <c r="K261" t="s">
        <v>285</v>
      </c>
      <c r="L261" t="s">
        <v>327</v>
      </c>
    </row>
    <row r="262" spans="1:12">
      <c r="A262" t="s">
        <v>318</v>
      </c>
      <c r="B262" t="s">
        <v>319</v>
      </c>
      <c r="C262" t="s">
        <v>570</v>
      </c>
      <c r="D262" s="28">
        <v>7610900092056</v>
      </c>
      <c r="E262" s="29" t="s">
        <v>371</v>
      </c>
      <c r="F262" s="29" t="s">
        <v>372</v>
      </c>
      <c r="G262">
        <v>9</v>
      </c>
      <c r="H262" t="s">
        <v>323</v>
      </c>
      <c r="I262" t="s">
        <v>45</v>
      </c>
      <c r="J262" t="s">
        <v>325</v>
      </c>
      <c r="K262" t="s">
        <v>285</v>
      </c>
      <c r="L262" t="s">
        <v>327</v>
      </c>
    </row>
    <row r="263" spans="1:12">
      <c r="A263" t="s">
        <v>318</v>
      </c>
      <c r="B263" t="s">
        <v>319</v>
      </c>
      <c r="C263" t="s">
        <v>571</v>
      </c>
      <c r="D263" s="28">
        <v>7610900092765</v>
      </c>
      <c r="E263" s="29" t="s">
        <v>371</v>
      </c>
      <c r="F263" s="29" t="s">
        <v>372</v>
      </c>
      <c r="G263">
        <v>9</v>
      </c>
      <c r="H263" t="s">
        <v>323</v>
      </c>
      <c r="I263" t="s">
        <v>45</v>
      </c>
      <c r="J263" t="s">
        <v>325</v>
      </c>
      <c r="K263" t="s">
        <v>285</v>
      </c>
      <c r="L263" t="s">
        <v>327</v>
      </c>
    </row>
    <row r="264" spans="1:12">
      <c r="A264" t="s">
        <v>318</v>
      </c>
      <c r="B264" t="s">
        <v>319</v>
      </c>
      <c r="C264" t="s">
        <v>572</v>
      </c>
      <c r="D264" s="28">
        <v>7610900095464</v>
      </c>
      <c r="E264" s="29" t="s">
        <v>371</v>
      </c>
      <c r="F264" s="29" t="s">
        <v>372</v>
      </c>
      <c r="G264">
        <v>8</v>
      </c>
      <c r="H264" t="s">
        <v>323</v>
      </c>
      <c r="I264" t="s">
        <v>45</v>
      </c>
      <c r="J264" t="s">
        <v>325</v>
      </c>
      <c r="K264" t="s">
        <v>285</v>
      </c>
      <c r="L264" t="s">
        <v>327</v>
      </c>
    </row>
    <row r="265" spans="1:12">
      <c r="A265" t="s">
        <v>318</v>
      </c>
      <c r="B265" t="s">
        <v>319</v>
      </c>
      <c r="C265" t="s">
        <v>381</v>
      </c>
      <c r="D265" s="28">
        <v>7610900095668</v>
      </c>
      <c r="E265" s="29" t="s">
        <v>371</v>
      </c>
      <c r="F265" s="29" t="s">
        <v>372</v>
      </c>
      <c r="G265">
        <v>11</v>
      </c>
      <c r="H265" t="s">
        <v>323</v>
      </c>
      <c r="I265" t="s">
        <v>45</v>
      </c>
      <c r="J265" t="s">
        <v>325</v>
      </c>
      <c r="K265" t="s">
        <v>285</v>
      </c>
      <c r="L265" t="s">
        <v>327</v>
      </c>
    </row>
    <row r="266" spans="1:12">
      <c r="A266" t="s">
        <v>318</v>
      </c>
      <c r="B266" t="s">
        <v>319</v>
      </c>
      <c r="C266" t="s">
        <v>573</v>
      </c>
      <c r="D266" s="28">
        <v>7610900095677</v>
      </c>
      <c r="E266" s="29" t="s">
        <v>371</v>
      </c>
      <c r="F266" s="29" t="s">
        <v>372</v>
      </c>
      <c r="G266">
        <v>7</v>
      </c>
      <c r="H266" t="s">
        <v>323</v>
      </c>
      <c r="I266" t="s">
        <v>45</v>
      </c>
      <c r="J266" t="s">
        <v>325</v>
      </c>
      <c r="K266" t="s">
        <v>285</v>
      </c>
      <c r="L266" t="s">
        <v>327</v>
      </c>
    </row>
    <row r="267" spans="1:12">
      <c r="A267" t="s">
        <v>318</v>
      </c>
      <c r="B267" t="s">
        <v>319</v>
      </c>
      <c r="C267" t="s">
        <v>574</v>
      </c>
      <c r="D267" s="28">
        <v>7610900095681</v>
      </c>
      <c r="E267" s="29" t="s">
        <v>371</v>
      </c>
      <c r="F267" s="29" t="s">
        <v>372</v>
      </c>
      <c r="G267">
        <v>8</v>
      </c>
      <c r="H267" t="s">
        <v>323</v>
      </c>
      <c r="I267" t="s">
        <v>45</v>
      </c>
      <c r="J267" t="s">
        <v>325</v>
      </c>
      <c r="K267" t="s">
        <v>285</v>
      </c>
      <c r="L267" t="s">
        <v>327</v>
      </c>
    </row>
    <row r="268" spans="1:12">
      <c r="A268" t="s">
        <v>318</v>
      </c>
      <c r="B268" t="s">
        <v>319</v>
      </c>
      <c r="C268" t="s">
        <v>377</v>
      </c>
      <c r="D268" s="28">
        <v>7610900095689</v>
      </c>
      <c r="E268" s="29" t="s">
        <v>371</v>
      </c>
      <c r="F268" s="29" t="s">
        <v>372</v>
      </c>
      <c r="G268">
        <v>8</v>
      </c>
      <c r="H268" t="s">
        <v>323</v>
      </c>
      <c r="I268" t="s">
        <v>45</v>
      </c>
      <c r="J268" t="s">
        <v>325</v>
      </c>
      <c r="K268" t="s">
        <v>285</v>
      </c>
      <c r="L268" t="s">
        <v>327</v>
      </c>
    </row>
    <row r="269" spans="1:12">
      <c r="A269" t="s">
        <v>318</v>
      </c>
      <c r="B269" t="s">
        <v>319</v>
      </c>
      <c r="C269" t="s">
        <v>575</v>
      </c>
      <c r="D269" s="28">
        <v>7610900095690</v>
      </c>
      <c r="E269" s="29" t="s">
        <v>371</v>
      </c>
      <c r="F269" s="29" t="s">
        <v>372</v>
      </c>
      <c r="G269">
        <v>7</v>
      </c>
      <c r="H269" t="s">
        <v>323</v>
      </c>
      <c r="I269" t="s">
        <v>45</v>
      </c>
      <c r="J269" t="s">
        <v>325</v>
      </c>
      <c r="K269" t="s">
        <v>285</v>
      </c>
      <c r="L269" t="s">
        <v>327</v>
      </c>
    </row>
    <row r="270" spans="1:12">
      <c r="A270" t="s">
        <v>318</v>
      </c>
      <c r="B270" t="s">
        <v>319</v>
      </c>
      <c r="C270" t="s">
        <v>576</v>
      </c>
      <c r="D270" s="28">
        <v>7610900095772</v>
      </c>
      <c r="E270" s="29" t="s">
        <v>371</v>
      </c>
      <c r="F270" s="29" t="s">
        <v>372</v>
      </c>
      <c r="G270">
        <v>13</v>
      </c>
      <c r="H270" t="s">
        <v>323</v>
      </c>
      <c r="I270" t="s">
        <v>45</v>
      </c>
      <c r="J270" t="s">
        <v>325</v>
      </c>
      <c r="K270" t="s">
        <v>285</v>
      </c>
      <c r="L270" t="s">
        <v>327</v>
      </c>
    </row>
    <row r="271" spans="1:12">
      <c r="A271" t="s">
        <v>318</v>
      </c>
      <c r="B271" t="s">
        <v>319</v>
      </c>
      <c r="C271" t="s">
        <v>377</v>
      </c>
      <c r="D271" s="28">
        <v>7610900119763</v>
      </c>
      <c r="E271" s="29" t="s">
        <v>371</v>
      </c>
      <c r="F271" s="29" t="s">
        <v>372</v>
      </c>
      <c r="G271">
        <v>6</v>
      </c>
      <c r="H271" t="s">
        <v>323</v>
      </c>
      <c r="I271" t="s">
        <v>45</v>
      </c>
      <c r="J271" t="s">
        <v>325</v>
      </c>
      <c r="K271" t="s">
        <v>285</v>
      </c>
      <c r="L271" t="s">
        <v>327</v>
      </c>
    </row>
    <row r="272" spans="1:12">
      <c r="A272" t="s">
        <v>318</v>
      </c>
      <c r="B272" t="s">
        <v>319</v>
      </c>
      <c r="C272" t="s">
        <v>577</v>
      </c>
      <c r="D272" s="28">
        <v>7610900119804</v>
      </c>
      <c r="E272" s="29" t="s">
        <v>371</v>
      </c>
      <c r="F272" s="29" t="s">
        <v>372</v>
      </c>
      <c r="G272">
        <v>10</v>
      </c>
      <c r="H272" t="s">
        <v>323</v>
      </c>
      <c r="I272" t="s">
        <v>45</v>
      </c>
      <c r="J272" t="s">
        <v>325</v>
      </c>
      <c r="K272" t="s">
        <v>285</v>
      </c>
      <c r="L272" t="s">
        <v>327</v>
      </c>
    </row>
    <row r="273" spans="1:12">
      <c r="A273" t="s">
        <v>318</v>
      </c>
      <c r="B273" t="s">
        <v>319</v>
      </c>
      <c r="C273" t="s">
        <v>578</v>
      </c>
      <c r="D273" s="28">
        <v>7610900120137</v>
      </c>
      <c r="E273" s="29" t="s">
        <v>371</v>
      </c>
      <c r="F273" s="29" t="s">
        <v>372</v>
      </c>
      <c r="G273">
        <v>8</v>
      </c>
      <c r="H273" t="s">
        <v>323</v>
      </c>
      <c r="I273" t="s">
        <v>45</v>
      </c>
      <c r="J273" t="s">
        <v>325</v>
      </c>
      <c r="K273" t="s">
        <v>285</v>
      </c>
      <c r="L273" t="s">
        <v>327</v>
      </c>
    </row>
    <row r="274" spans="1:12">
      <c r="A274" t="s">
        <v>318</v>
      </c>
      <c r="B274" t="s">
        <v>319</v>
      </c>
      <c r="C274" t="s">
        <v>543</v>
      </c>
      <c r="D274" s="28">
        <v>7610900122096</v>
      </c>
      <c r="E274" s="29" t="s">
        <v>371</v>
      </c>
      <c r="F274" s="29" t="s">
        <v>372</v>
      </c>
      <c r="G274">
        <v>12</v>
      </c>
      <c r="H274" t="s">
        <v>323</v>
      </c>
      <c r="I274" t="s">
        <v>45</v>
      </c>
      <c r="J274" t="s">
        <v>325</v>
      </c>
      <c r="K274" t="s">
        <v>285</v>
      </c>
      <c r="L274" t="s">
        <v>327</v>
      </c>
    </row>
    <row r="275" spans="1:12">
      <c r="A275" t="s">
        <v>318</v>
      </c>
      <c r="B275" t="s">
        <v>319</v>
      </c>
      <c r="C275" t="s">
        <v>579</v>
      </c>
      <c r="D275" s="28">
        <v>7610900122904</v>
      </c>
      <c r="E275" s="29" t="s">
        <v>371</v>
      </c>
      <c r="F275" s="29" t="s">
        <v>372</v>
      </c>
      <c r="G275">
        <v>8</v>
      </c>
      <c r="H275" t="s">
        <v>323</v>
      </c>
      <c r="I275" t="s">
        <v>45</v>
      </c>
      <c r="J275" t="s">
        <v>325</v>
      </c>
      <c r="K275" t="s">
        <v>285</v>
      </c>
      <c r="L275" t="s">
        <v>327</v>
      </c>
    </row>
    <row r="276" spans="1:12">
      <c r="A276" t="s">
        <v>318</v>
      </c>
      <c r="B276" t="s">
        <v>319</v>
      </c>
      <c r="C276" t="s">
        <v>580</v>
      </c>
      <c r="D276" s="28">
        <v>7610900122906</v>
      </c>
      <c r="E276" s="29" t="s">
        <v>371</v>
      </c>
      <c r="F276" s="29" t="s">
        <v>372</v>
      </c>
      <c r="G276">
        <v>11</v>
      </c>
      <c r="H276" t="s">
        <v>323</v>
      </c>
      <c r="I276" t="s">
        <v>45</v>
      </c>
      <c r="J276" t="s">
        <v>325</v>
      </c>
      <c r="K276" t="s">
        <v>285</v>
      </c>
      <c r="L276" t="s">
        <v>327</v>
      </c>
    </row>
    <row r="277" spans="1:12">
      <c r="A277" t="s">
        <v>318</v>
      </c>
      <c r="B277" t="s">
        <v>319</v>
      </c>
      <c r="C277" t="s">
        <v>581</v>
      </c>
      <c r="D277" s="28">
        <v>7610900122908</v>
      </c>
      <c r="E277" s="29" t="s">
        <v>371</v>
      </c>
      <c r="F277" s="29" t="s">
        <v>372</v>
      </c>
      <c r="G277">
        <v>8</v>
      </c>
      <c r="H277" t="s">
        <v>323</v>
      </c>
      <c r="I277" t="s">
        <v>45</v>
      </c>
      <c r="J277" t="s">
        <v>325</v>
      </c>
      <c r="K277" t="s">
        <v>285</v>
      </c>
      <c r="L277" t="s">
        <v>327</v>
      </c>
    </row>
    <row r="278" spans="1:12">
      <c r="A278" t="s">
        <v>318</v>
      </c>
      <c r="B278" t="s">
        <v>319</v>
      </c>
      <c r="C278" t="s">
        <v>582</v>
      </c>
      <c r="D278" s="28">
        <v>7610900122910</v>
      </c>
      <c r="E278" s="29" t="s">
        <v>371</v>
      </c>
      <c r="F278" s="29" t="s">
        <v>372</v>
      </c>
      <c r="G278">
        <v>9</v>
      </c>
      <c r="H278" t="s">
        <v>323</v>
      </c>
      <c r="I278" t="s">
        <v>45</v>
      </c>
      <c r="J278" t="s">
        <v>325</v>
      </c>
      <c r="K278" t="s">
        <v>285</v>
      </c>
      <c r="L278" t="s">
        <v>327</v>
      </c>
    </row>
    <row r="279" spans="1:12">
      <c r="A279" t="s">
        <v>318</v>
      </c>
      <c r="B279" t="s">
        <v>319</v>
      </c>
      <c r="C279" t="s">
        <v>583</v>
      </c>
      <c r="D279" s="28">
        <v>7610900122916</v>
      </c>
      <c r="E279" s="29" t="s">
        <v>371</v>
      </c>
      <c r="F279" s="29" t="s">
        <v>372</v>
      </c>
      <c r="G279">
        <v>11</v>
      </c>
      <c r="H279" t="s">
        <v>323</v>
      </c>
      <c r="I279" t="s">
        <v>45</v>
      </c>
      <c r="J279" t="s">
        <v>325</v>
      </c>
      <c r="K279" t="s">
        <v>285</v>
      </c>
      <c r="L279" t="s">
        <v>327</v>
      </c>
    </row>
    <row r="280" spans="1:12">
      <c r="A280" t="s">
        <v>318</v>
      </c>
      <c r="B280" t="s">
        <v>319</v>
      </c>
      <c r="C280" t="s">
        <v>376</v>
      </c>
      <c r="D280" s="28">
        <v>761091111116</v>
      </c>
      <c r="E280" s="29" t="s">
        <v>371</v>
      </c>
      <c r="F280" s="29" t="s">
        <v>372</v>
      </c>
      <c r="G280">
        <v>9</v>
      </c>
      <c r="H280" t="s">
        <v>323</v>
      </c>
      <c r="I280" t="s">
        <v>45</v>
      </c>
      <c r="J280" t="s">
        <v>325</v>
      </c>
      <c r="K280" t="s">
        <v>285</v>
      </c>
      <c r="L280" t="s">
        <v>327</v>
      </c>
    </row>
    <row r="281" spans="1:12">
      <c r="A281" t="s">
        <v>318</v>
      </c>
      <c r="B281" t="s">
        <v>319</v>
      </c>
      <c r="C281" t="s">
        <v>377</v>
      </c>
      <c r="D281" s="28">
        <v>761091111138</v>
      </c>
      <c r="E281" s="29" t="s">
        <v>371</v>
      </c>
      <c r="F281" s="29" t="s">
        <v>372</v>
      </c>
      <c r="G281">
        <v>11</v>
      </c>
      <c r="H281" t="s">
        <v>323</v>
      </c>
      <c r="I281" t="s">
        <v>45</v>
      </c>
      <c r="J281" t="s">
        <v>325</v>
      </c>
      <c r="K281" t="s">
        <v>285</v>
      </c>
      <c r="L281" t="s">
        <v>327</v>
      </c>
    </row>
    <row r="282" spans="1:12">
      <c r="A282" t="s">
        <v>318</v>
      </c>
      <c r="B282" t="s">
        <v>319</v>
      </c>
      <c r="C282" t="s">
        <v>584</v>
      </c>
      <c r="D282" s="28">
        <v>761091111140</v>
      </c>
      <c r="E282" s="29" t="s">
        <v>371</v>
      </c>
      <c r="F282" s="29" t="s">
        <v>372</v>
      </c>
      <c r="G282">
        <v>8</v>
      </c>
      <c r="H282" t="s">
        <v>323</v>
      </c>
      <c r="I282" t="s">
        <v>45</v>
      </c>
      <c r="J282" t="s">
        <v>325</v>
      </c>
      <c r="K282" t="s">
        <v>285</v>
      </c>
      <c r="L282" t="s">
        <v>327</v>
      </c>
    </row>
    <row r="283" spans="1:12">
      <c r="A283" t="s">
        <v>318</v>
      </c>
      <c r="B283" t="s">
        <v>319</v>
      </c>
      <c r="C283" t="s">
        <v>585</v>
      </c>
      <c r="D283" s="28">
        <v>761091111152</v>
      </c>
      <c r="E283" s="29" t="s">
        <v>371</v>
      </c>
      <c r="F283" s="29" t="s">
        <v>372</v>
      </c>
      <c r="G283">
        <v>10</v>
      </c>
      <c r="H283" t="s">
        <v>323</v>
      </c>
      <c r="I283" t="s">
        <v>45</v>
      </c>
      <c r="J283" t="s">
        <v>325</v>
      </c>
      <c r="K283" t="s">
        <v>285</v>
      </c>
      <c r="L283" t="s">
        <v>327</v>
      </c>
    </row>
    <row r="284" spans="1:12">
      <c r="A284" t="s">
        <v>318</v>
      </c>
      <c r="B284" t="s">
        <v>319</v>
      </c>
      <c r="C284" t="s">
        <v>586</v>
      </c>
      <c r="D284" s="28">
        <v>761091111157</v>
      </c>
      <c r="E284" s="29" t="s">
        <v>371</v>
      </c>
      <c r="F284" s="29" t="s">
        <v>372</v>
      </c>
      <c r="G284">
        <v>9</v>
      </c>
      <c r="H284" t="s">
        <v>323</v>
      </c>
      <c r="I284" t="s">
        <v>45</v>
      </c>
      <c r="J284" t="s">
        <v>325</v>
      </c>
      <c r="K284" t="s">
        <v>285</v>
      </c>
      <c r="L284" t="s">
        <v>327</v>
      </c>
    </row>
    <row r="285" spans="1:12">
      <c r="A285" t="s">
        <v>318</v>
      </c>
      <c r="B285" t="s">
        <v>319</v>
      </c>
      <c r="C285" t="s">
        <v>513</v>
      </c>
      <c r="D285" s="28">
        <v>761091111162</v>
      </c>
      <c r="E285" s="29" t="s">
        <v>371</v>
      </c>
      <c r="F285" s="29" t="s">
        <v>372</v>
      </c>
      <c r="G285">
        <v>10</v>
      </c>
      <c r="H285" t="s">
        <v>323</v>
      </c>
      <c r="I285" t="s">
        <v>45</v>
      </c>
      <c r="J285" t="s">
        <v>325</v>
      </c>
      <c r="K285" t="s">
        <v>285</v>
      </c>
      <c r="L285" t="s">
        <v>327</v>
      </c>
    </row>
    <row r="286" spans="1:12">
      <c r="A286" t="s">
        <v>318</v>
      </c>
      <c r="B286" t="s">
        <v>319</v>
      </c>
      <c r="C286" t="s">
        <v>450</v>
      </c>
      <c r="D286" s="28">
        <v>761091112435</v>
      </c>
      <c r="E286" s="29" t="s">
        <v>371</v>
      </c>
      <c r="F286" s="29" t="s">
        <v>372</v>
      </c>
      <c r="G286">
        <v>10</v>
      </c>
      <c r="H286" t="s">
        <v>323</v>
      </c>
      <c r="I286" t="s">
        <v>45</v>
      </c>
      <c r="J286" t="s">
        <v>325</v>
      </c>
      <c r="K286" t="s">
        <v>285</v>
      </c>
      <c r="L286" t="s">
        <v>327</v>
      </c>
    </row>
    <row r="287" spans="1:12">
      <c r="A287" t="s">
        <v>318</v>
      </c>
      <c r="B287" t="s">
        <v>319</v>
      </c>
      <c r="C287" t="s">
        <v>587</v>
      </c>
      <c r="D287" s="28">
        <v>761091112464</v>
      </c>
      <c r="E287" s="29" t="s">
        <v>371</v>
      </c>
      <c r="F287" s="29" t="s">
        <v>372</v>
      </c>
      <c r="G287">
        <v>11</v>
      </c>
      <c r="H287" t="s">
        <v>323</v>
      </c>
      <c r="I287" t="s">
        <v>45</v>
      </c>
      <c r="J287" t="s">
        <v>325</v>
      </c>
      <c r="K287" t="s">
        <v>285</v>
      </c>
      <c r="L287" t="s">
        <v>327</v>
      </c>
    </row>
    <row r="288" spans="1:12">
      <c r="A288" t="s">
        <v>318</v>
      </c>
      <c r="B288" t="s">
        <v>319</v>
      </c>
      <c r="C288" t="s">
        <v>588</v>
      </c>
      <c r="D288" s="28">
        <v>761091112473</v>
      </c>
      <c r="E288" s="29" t="s">
        <v>371</v>
      </c>
      <c r="F288" s="29" t="s">
        <v>372</v>
      </c>
      <c r="G288">
        <v>10</v>
      </c>
      <c r="H288" t="s">
        <v>323</v>
      </c>
      <c r="I288" t="s">
        <v>45</v>
      </c>
      <c r="J288" t="s">
        <v>325</v>
      </c>
      <c r="K288" t="s">
        <v>285</v>
      </c>
      <c r="L288" t="s">
        <v>327</v>
      </c>
    </row>
    <row r="289" spans="1:12">
      <c r="A289" t="s">
        <v>318</v>
      </c>
      <c r="B289" t="s">
        <v>319</v>
      </c>
      <c r="C289" t="s">
        <v>417</v>
      </c>
      <c r="D289" s="28">
        <v>761091112486</v>
      </c>
      <c r="E289" s="29" t="s">
        <v>371</v>
      </c>
      <c r="F289" s="29" t="s">
        <v>372</v>
      </c>
      <c r="G289">
        <v>10</v>
      </c>
      <c r="H289" t="s">
        <v>323</v>
      </c>
      <c r="I289" t="s">
        <v>45</v>
      </c>
      <c r="J289" t="s">
        <v>325</v>
      </c>
      <c r="K289" t="s">
        <v>285</v>
      </c>
      <c r="L289" t="s">
        <v>327</v>
      </c>
    </row>
    <row r="290" spans="1:12">
      <c r="A290" t="s">
        <v>318</v>
      </c>
      <c r="B290" t="s">
        <v>319</v>
      </c>
      <c r="C290" t="s">
        <v>589</v>
      </c>
      <c r="D290" s="28">
        <v>761091112507</v>
      </c>
      <c r="E290" s="29" t="s">
        <v>371</v>
      </c>
      <c r="F290" s="29" t="s">
        <v>372</v>
      </c>
      <c r="G290">
        <v>12</v>
      </c>
      <c r="H290" t="s">
        <v>323</v>
      </c>
      <c r="I290" t="s">
        <v>45</v>
      </c>
      <c r="J290" t="s">
        <v>325</v>
      </c>
      <c r="K290" t="s">
        <v>285</v>
      </c>
      <c r="L290" t="s">
        <v>327</v>
      </c>
    </row>
    <row r="291" spans="1:12">
      <c r="A291" t="s">
        <v>318</v>
      </c>
      <c r="B291" t="s">
        <v>319</v>
      </c>
      <c r="C291" t="s">
        <v>590</v>
      </c>
      <c r="D291" s="28">
        <v>761091112527</v>
      </c>
      <c r="E291" s="29" t="s">
        <v>371</v>
      </c>
      <c r="F291" s="29" t="s">
        <v>372</v>
      </c>
      <c r="G291">
        <v>11</v>
      </c>
      <c r="H291" t="s">
        <v>323</v>
      </c>
      <c r="I291" t="s">
        <v>45</v>
      </c>
      <c r="J291" t="s">
        <v>325</v>
      </c>
      <c r="K291" t="s">
        <v>285</v>
      </c>
      <c r="L291" t="s">
        <v>327</v>
      </c>
    </row>
    <row r="292" spans="1:12">
      <c r="A292" t="s">
        <v>318</v>
      </c>
      <c r="B292" t="s">
        <v>319</v>
      </c>
      <c r="C292" t="s">
        <v>591</v>
      </c>
      <c r="D292" s="28">
        <v>761091112544</v>
      </c>
      <c r="E292" s="29" t="s">
        <v>371</v>
      </c>
      <c r="F292" s="29" t="s">
        <v>372</v>
      </c>
      <c r="G292">
        <v>9</v>
      </c>
      <c r="H292" t="s">
        <v>323</v>
      </c>
      <c r="I292" t="s">
        <v>45</v>
      </c>
      <c r="J292" t="s">
        <v>325</v>
      </c>
      <c r="K292" t="s">
        <v>285</v>
      </c>
      <c r="L292" t="s">
        <v>327</v>
      </c>
    </row>
    <row r="293" spans="1:12">
      <c r="A293" t="s">
        <v>318</v>
      </c>
      <c r="B293" t="s">
        <v>319</v>
      </c>
      <c r="C293" t="s">
        <v>592</v>
      </c>
      <c r="D293" s="28">
        <v>761091112560</v>
      </c>
      <c r="E293" s="29" t="s">
        <v>371</v>
      </c>
      <c r="F293" s="29" t="s">
        <v>372</v>
      </c>
      <c r="G293">
        <v>13</v>
      </c>
      <c r="H293" t="s">
        <v>323</v>
      </c>
      <c r="I293" t="s">
        <v>45</v>
      </c>
      <c r="J293" t="s">
        <v>325</v>
      </c>
      <c r="K293" t="s">
        <v>285</v>
      </c>
      <c r="L293" t="s">
        <v>327</v>
      </c>
    </row>
    <row r="294" spans="1:12">
      <c r="A294" t="s">
        <v>318</v>
      </c>
      <c r="B294" t="s">
        <v>319</v>
      </c>
      <c r="C294" t="s">
        <v>593</v>
      </c>
      <c r="D294" s="28">
        <v>761091112603</v>
      </c>
      <c r="E294" s="29" t="s">
        <v>371</v>
      </c>
      <c r="F294" s="29" t="s">
        <v>372</v>
      </c>
      <c r="G294">
        <v>9</v>
      </c>
      <c r="H294" t="s">
        <v>323</v>
      </c>
      <c r="I294" t="s">
        <v>45</v>
      </c>
      <c r="J294" t="s">
        <v>325</v>
      </c>
      <c r="K294" t="s">
        <v>285</v>
      </c>
      <c r="L294" t="s">
        <v>327</v>
      </c>
    </row>
    <row r="295" spans="1:12">
      <c r="A295" t="s">
        <v>318</v>
      </c>
      <c r="B295" t="s">
        <v>319</v>
      </c>
      <c r="C295" t="s">
        <v>594</v>
      </c>
      <c r="D295" s="28">
        <v>761091112613</v>
      </c>
      <c r="E295" s="29" t="s">
        <v>371</v>
      </c>
      <c r="F295" s="29" t="s">
        <v>372</v>
      </c>
      <c r="G295">
        <v>9</v>
      </c>
      <c r="H295" t="s">
        <v>323</v>
      </c>
      <c r="I295" t="s">
        <v>45</v>
      </c>
      <c r="J295" t="s">
        <v>325</v>
      </c>
      <c r="K295" t="s">
        <v>285</v>
      </c>
      <c r="L295" t="s">
        <v>327</v>
      </c>
    </row>
    <row r="296" spans="1:12">
      <c r="A296" t="s">
        <v>318</v>
      </c>
      <c r="B296" t="s">
        <v>319</v>
      </c>
      <c r="C296" t="s">
        <v>595</v>
      </c>
      <c r="D296" s="28">
        <v>761091112636</v>
      </c>
      <c r="E296" s="29" t="s">
        <v>371</v>
      </c>
      <c r="F296" s="29" t="s">
        <v>372</v>
      </c>
      <c r="G296">
        <v>11</v>
      </c>
      <c r="H296" t="s">
        <v>323</v>
      </c>
      <c r="I296" t="s">
        <v>45</v>
      </c>
      <c r="J296" t="s">
        <v>325</v>
      </c>
      <c r="K296" t="s">
        <v>285</v>
      </c>
      <c r="L296" t="s">
        <v>327</v>
      </c>
    </row>
    <row r="297" spans="1:12">
      <c r="A297" t="s">
        <v>318</v>
      </c>
      <c r="B297" t="s">
        <v>319</v>
      </c>
      <c r="C297" t="s">
        <v>596</v>
      </c>
      <c r="D297" s="28">
        <v>761091112665</v>
      </c>
      <c r="E297" s="29" t="s">
        <v>371</v>
      </c>
      <c r="F297" s="29" t="s">
        <v>372</v>
      </c>
      <c r="G297">
        <v>13</v>
      </c>
      <c r="H297" t="s">
        <v>323</v>
      </c>
      <c r="I297" t="s">
        <v>45</v>
      </c>
      <c r="J297" t="s">
        <v>325</v>
      </c>
      <c r="K297" t="s">
        <v>285</v>
      </c>
      <c r="L297" t="s">
        <v>327</v>
      </c>
    </row>
    <row r="298" spans="1:12">
      <c r="A298" t="s">
        <v>318</v>
      </c>
      <c r="B298" t="s">
        <v>319</v>
      </c>
      <c r="C298" t="s">
        <v>597</v>
      </c>
      <c r="D298" s="28">
        <v>761091112721</v>
      </c>
      <c r="E298" s="29" t="s">
        <v>371</v>
      </c>
      <c r="F298" s="29" t="s">
        <v>372</v>
      </c>
      <c r="G298">
        <v>12</v>
      </c>
      <c r="H298" t="s">
        <v>323</v>
      </c>
      <c r="I298" t="s">
        <v>45</v>
      </c>
      <c r="J298" t="s">
        <v>325</v>
      </c>
      <c r="K298" t="s">
        <v>285</v>
      </c>
      <c r="L298" t="s">
        <v>327</v>
      </c>
    </row>
    <row r="299" spans="1:12">
      <c r="A299" t="s">
        <v>318</v>
      </c>
      <c r="B299" t="s">
        <v>319</v>
      </c>
      <c r="C299" t="s">
        <v>598</v>
      </c>
      <c r="D299" s="28">
        <v>761091112725</v>
      </c>
      <c r="E299" s="29" t="s">
        <v>371</v>
      </c>
      <c r="F299" s="29" t="s">
        <v>372</v>
      </c>
      <c r="G299">
        <v>9</v>
      </c>
      <c r="H299" t="s">
        <v>323</v>
      </c>
      <c r="I299" t="s">
        <v>45</v>
      </c>
      <c r="J299" t="s">
        <v>325</v>
      </c>
      <c r="K299" t="s">
        <v>285</v>
      </c>
      <c r="L299" t="s">
        <v>327</v>
      </c>
    </row>
    <row r="300" spans="1:12">
      <c r="A300" t="s">
        <v>318</v>
      </c>
      <c r="B300" t="s">
        <v>319</v>
      </c>
      <c r="C300" t="s">
        <v>377</v>
      </c>
      <c r="D300" s="28">
        <v>761091112727</v>
      </c>
      <c r="E300" s="29" t="s">
        <v>371</v>
      </c>
      <c r="F300" s="29" t="s">
        <v>372</v>
      </c>
      <c r="G300">
        <v>13</v>
      </c>
      <c r="H300" t="s">
        <v>323</v>
      </c>
      <c r="I300" t="s">
        <v>45</v>
      </c>
      <c r="J300" t="s">
        <v>325</v>
      </c>
      <c r="K300" t="s">
        <v>285</v>
      </c>
      <c r="L300" t="s">
        <v>327</v>
      </c>
    </row>
    <row r="301" spans="1:12">
      <c r="A301" t="s">
        <v>318</v>
      </c>
      <c r="B301" t="s">
        <v>319</v>
      </c>
      <c r="C301" t="s">
        <v>599</v>
      </c>
      <c r="D301" s="28">
        <v>761091112733</v>
      </c>
      <c r="E301" s="29" t="s">
        <v>371</v>
      </c>
      <c r="F301" s="29" t="s">
        <v>372</v>
      </c>
      <c r="G301">
        <v>9</v>
      </c>
      <c r="H301" t="s">
        <v>323</v>
      </c>
      <c r="I301" t="s">
        <v>45</v>
      </c>
      <c r="J301" t="s">
        <v>325</v>
      </c>
      <c r="K301" t="s">
        <v>285</v>
      </c>
      <c r="L301" t="s">
        <v>327</v>
      </c>
    </row>
    <row r="302" spans="1:12">
      <c r="A302" t="s">
        <v>318</v>
      </c>
      <c r="B302" t="s">
        <v>319</v>
      </c>
      <c r="C302" t="s">
        <v>600</v>
      </c>
      <c r="D302" s="28">
        <v>761091112755</v>
      </c>
      <c r="E302" s="29" t="s">
        <v>371</v>
      </c>
      <c r="F302" s="29" t="s">
        <v>372</v>
      </c>
      <c r="G302">
        <v>13</v>
      </c>
      <c r="H302" t="s">
        <v>323</v>
      </c>
      <c r="I302" t="s">
        <v>45</v>
      </c>
      <c r="J302" t="s">
        <v>325</v>
      </c>
      <c r="K302" t="s">
        <v>285</v>
      </c>
      <c r="L302" t="s">
        <v>327</v>
      </c>
    </row>
    <row r="303" spans="1:12">
      <c r="A303" t="s">
        <v>318</v>
      </c>
      <c r="B303" t="s">
        <v>319</v>
      </c>
      <c r="C303" t="s">
        <v>601</v>
      </c>
      <c r="D303" s="28">
        <v>761091112772</v>
      </c>
      <c r="E303" s="29" t="s">
        <v>371</v>
      </c>
      <c r="F303" s="29" t="s">
        <v>372</v>
      </c>
      <c r="G303">
        <v>9</v>
      </c>
      <c r="H303" t="s">
        <v>323</v>
      </c>
      <c r="I303" t="s">
        <v>45</v>
      </c>
      <c r="J303" t="s">
        <v>325</v>
      </c>
      <c r="K303" t="s">
        <v>285</v>
      </c>
      <c r="L303" t="s">
        <v>327</v>
      </c>
    </row>
    <row r="304" spans="1:12">
      <c r="A304" t="s">
        <v>318</v>
      </c>
      <c r="B304" t="s">
        <v>319</v>
      </c>
      <c r="C304" t="s">
        <v>602</v>
      </c>
      <c r="D304" s="28">
        <v>761091112785</v>
      </c>
      <c r="E304" s="29" t="s">
        <v>371</v>
      </c>
      <c r="F304" s="29" t="s">
        <v>372</v>
      </c>
      <c r="G304">
        <v>8</v>
      </c>
      <c r="H304" t="s">
        <v>323</v>
      </c>
      <c r="I304" t="s">
        <v>45</v>
      </c>
      <c r="J304" t="s">
        <v>325</v>
      </c>
      <c r="K304" t="s">
        <v>285</v>
      </c>
      <c r="L304" t="s">
        <v>327</v>
      </c>
    </row>
    <row r="305" spans="1:12">
      <c r="A305" t="s">
        <v>318</v>
      </c>
      <c r="B305" t="s">
        <v>319</v>
      </c>
      <c r="C305" t="s">
        <v>603</v>
      </c>
      <c r="D305" s="28">
        <v>761091112797</v>
      </c>
      <c r="E305" s="29" t="s">
        <v>371</v>
      </c>
      <c r="F305" s="29" t="s">
        <v>372</v>
      </c>
      <c r="G305">
        <v>9</v>
      </c>
      <c r="H305" t="s">
        <v>323</v>
      </c>
      <c r="I305" t="s">
        <v>45</v>
      </c>
      <c r="J305" t="s">
        <v>325</v>
      </c>
      <c r="K305" t="s">
        <v>285</v>
      </c>
      <c r="L305" t="s">
        <v>327</v>
      </c>
    </row>
    <row r="306" spans="1:12">
      <c r="A306" t="s">
        <v>318</v>
      </c>
      <c r="B306" t="s">
        <v>319</v>
      </c>
      <c r="C306" t="s">
        <v>453</v>
      </c>
      <c r="D306" s="28">
        <v>761091112811</v>
      </c>
      <c r="E306" s="29" t="s">
        <v>371</v>
      </c>
      <c r="F306" s="29" t="s">
        <v>372</v>
      </c>
      <c r="G306">
        <v>10</v>
      </c>
      <c r="H306" t="s">
        <v>323</v>
      </c>
      <c r="I306" t="s">
        <v>45</v>
      </c>
      <c r="J306" t="s">
        <v>325</v>
      </c>
      <c r="K306" t="s">
        <v>285</v>
      </c>
      <c r="L306" t="s">
        <v>327</v>
      </c>
    </row>
    <row r="307" spans="1:12">
      <c r="A307" t="s">
        <v>318</v>
      </c>
      <c r="B307" t="s">
        <v>319</v>
      </c>
      <c r="C307" t="s">
        <v>499</v>
      </c>
      <c r="D307" s="28">
        <v>761091113081</v>
      </c>
      <c r="E307" s="29" t="s">
        <v>371</v>
      </c>
      <c r="F307" s="29" t="s">
        <v>372</v>
      </c>
      <c r="G307">
        <v>5</v>
      </c>
      <c r="H307" t="s">
        <v>323</v>
      </c>
      <c r="I307" t="s">
        <v>45</v>
      </c>
      <c r="J307" t="s">
        <v>325</v>
      </c>
      <c r="K307" t="s">
        <v>285</v>
      </c>
      <c r="L307" t="s">
        <v>327</v>
      </c>
    </row>
    <row r="308" spans="1:12">
      <c r="A308" t="s">
        <v>318</v>
      </c>
      <c r="B308" t="s">
        <v>319</v>
      </c>
      <c r="C308" t="s">
        <v>604</v>
      </c>
      <c r="D308" s="28">
        <v>761091113237</v>
      </c>
      <c r="E308" s="29" t="s">
        <v>371</v>
      </c>
      <c r="F308" s="29" t="s">
        <v>372</v>
      </c>
      <c r="G308">
        <v>8</v>
      </c>
      <c r="H308" t="s">
        <v>323</v>
      </c>
      <c r="I308" t="s">
        <v>45</v>
      </c>
      <c r="J308" t="s">
        <v>325</v>
      </c>
      <c r="K308" t="s">
        <v>285</v>
      </c>
      <c r="L308" t="s">
        <v>327</v>
      </c>
    </row>
    <row r="309" spans="1:12">
      <c r="A309" t="s">
        <v>318</v>
      </c>
      <c r="B309" t="s">
        <v>319</v>
      </c>
      <c r="C309" t="s">
        <v>605</v>
      </c>
      <c r="D309" s="28">
        <v>761091114367</v>
      </c>
      <c r="E309" s="29" t="s">
        <v>371</v>
      </c>
      <c r="F309" s="29" t="s">
        <v>372</v>
      </c>
      <c r="G309">
        <v>9</v>
      </c>
      <c r="H309" t="s">
        <v>323</v>
      </c>
      <c r="I309" t="s">
        <v>45</v>
      </c>
      <c r="J309" t="s">
        <v>325</v>
      </c>
      <c r="K309" t="s">
        <v>285</v>
      </c>
      <c r="L309" t="s">
        <v>327</v>
      </c>
    </row>
    <row r="310" spans="1:12">
      <c r="A310" t="s">
        <v>318</v>
      </c>
      <c r="B310" t="s">
        <v>319</v>
      </c>
      <c r="C310" t="s">
        <v>606</v>
      </c>
      <c r="D310" s="28">
        <v>7610900100022</v>
      </c>
      <c r="E310" s="29" t="s">
        <v>371</v>
      </c>
      <c r="F310" s="29" t="s">
        <v>372</v>
      </c>
      <c r="G310">
        <v>11</v>
      </c>
      <c r="H310" t="s">
        <v>323</v>
      </c>
      <c r="I310" t="s">
        <v>45</v>
      </c>
      <c r="J310" t="s">
        <v>325</v>
      </c>
      <c r="K310" t="s">
        <v>285</v>
      </c>
      <c r="L310" t="s">
        <v>327</v>
      </c>
    </row>
    <row r="311" spans="1:12">
      <c r="A311" t="s">
        <v>318</v>
      </c>
      <c r="B311" t="s">
        <v>319</v>
      </c>
      <c r="C311" t="s">
        <v>607</v>
      </c>
      <c r="D311" s="28">
        <v>7610900100023</v>
      </c>
      <c r="E311" s="29" t="s">
        <v>371</v>
      </c>
      <c r="F311" s="29" t="s">
        <v>372</v>
      </c>
      <c r="G311">
        <v>7</v>
      </c>
      <c r="H311" t="s">
        <v>323</v>
      </c>
      <c r="I311" t="s">
        <v>45</v>
      </c>
      <c r="J311" t="s">
        <v>325</v>
      </c>
      <c r="K311" t="s">
        <v>285</v>
      </c>
      <c r="L311" t="s">
        <v>327</v>
      </c>
    </row>
    <row r="312" spans="1:12">
      <c r="A312" t="s">
        <v>318</v>
      </c>
      <c r="B312" t="s">
        <v>319</v>
      </c>
      <c r="C312" t="s">
        <v>608</v>
      </c>
      <c r="D312" s="28">
        <v>7610900100024</v>
      </c>
      <c r="E312" s="29" t="s">
        <v>371</v>
      </c>
      <c r="F312" s="29" t="s">
        <v>372</v>
      </c>
      <c r="G312">
        <v>11</v>
      </c>
      <c r="H312" t="s">
        <v>323</v>
      </c>
      <c r="I312" t="s">
        <v>45</v>
      </c>
      <c r="J312" t="s">
        <v>325</v>
      </c>
      <c r="K312" t="s">
        <v>285</v>
      </c>
      <c r="L312" t="s">
        <v>327</v>
      </c>
    </row>
    <row r="313" spans="1:12">
      <c r="A313" t="s">
        <v>318</v>
      </c>
      <c r="B313" t="s">
        <v>319</v>
      </c>
      <c r="C313" t="s">
        <v>609</v>
      </c>
      <c r="D313" s="28">
        <v>7610900100025</v>
      </c>
      <c r="E313" s="29" t="s">
        <v>371</v>
      </c>
      <c r="F313" s="29" t="s">
        <v>372</v>
      </c>
      <c r="G313">
        <v>10</v>
      </c>
      <c r="H313" t="s">
        <v>323</v>
      </c>
      <c r="I313" t="s">
        <v>45</v>
      </c>
      <c r="J313" t="s">
        <v>325</v>
      </c>
      <c r="K313" t="s">
        <v>285</v>
      </c>
      <c r="L313" t="s">
        <v>327</v>
      </c>
    </row>
    <row r="314" spans="1:12">
      <c r="A314" t="s">
        <v>318</v>
      </c>
      <c r="B314" t="s">
        <v>319</v>
      </c>
      <c r="C314" t="s">
        <v>610</v>
      </c>
      <c r="D314" s="28">
        <v>7610900100026</v>
      </c>
      <c r="E314" s="29" t="s">
        <v>371</v>
      </c>
      <c r="F314" s="29" t="s">
        <v>372</v>
      </c>
      <c r="G314">
        <v>11</v>
      </c>
      <c r="H314" t="s">
        <v>323</v>
      </c>
      <c r="I314" t="s">
        <v>45</v>
      </c>
      <c r="J314" t="s">
        <v>325</v>
      </c>
      <c r="K314" t="s">
        <v>285</v>
      </c>
      <c r="L314" t="s">
        <v>327</v>
      </c>
    </row>
    <row r="315" spans="1:12">
      <c r="A315" t="s">
        <v>318</v>
      </c>
      <c r="B315" t="s">
        <v>319</v>
      </c>
      <c r="C315" t="s">
        <v>611</v>
      </c>
      <c r="D315" s="28">
        <v>7610900069615</v>
      </c>
      <c r="E315" s="29" t="s">
        <v>371</v>
      </c>
      <c r="F315" s="29" t="s">
        <v>372</v>
      </c>
      <c r="G315">
        <v>10</v>
      </c>
      <c r="H315" t="s">
        <v>323</v>
      </c>
      <c r="I315" t="s">
        <v>45</v>
      </c>
      <c r="J315" t="s">
        <v>325</v>
      </c>
      <c r="K315" t="s">
        <v>285</v>
      </c>
      <c r="L315" t="s">
        <v>327</v>
      </c>
    </row>
    <row r="316" spans="1:12">
      <c r="A316" t="s">
        <v>318</v>
      </c>
      <c r="B316" t="s">
        <v>319</v>
      </c>
      <c r="C316" t="s">
        <v>612</v>
      </c>
      <c r="D316" s="28">
        <v>7610900097222</v>
      </c>
      <c r="E316" s="29" t="s">
        <v>371</v>
      </c>
      <c r="F316" s="29" t="s">
        <v>372</v>
      </c>
      <c r="G316">
        <v>13</v>
      </c>
      <c r="H316" t="s">
        <v>323</v>
      </c>
      <c r="I316" t="s">
        <v>45</v>
      </c>
      <c r="J316" t="s">
        <v>325</v>
      </c>
      <c r="K316" t="s">
        <v>285</v>
      </c>
      <c r="L316" t="s">
        <v>327</v>
      </c>
    </row>
    <row r="317" spans="1:12">
      <c r="A317" t="s">
        <v>318</v>
      </c>
      <c r="B317" t="s">
        <v>319</v>
      </c>
      <c r="C317" t="s">
        <v>613</v>
      </c>
      <c r="D317" s="28">
        <v>7610900097223</v>
      </c>
      <c r="E317" s="29" t="s">
        <v>371</v>
      </c>
      <c r="F317" s="29" t="s">
        <v>372</v>
      </c>
      <c r="G317">
        <v>13</v>
      </c>
      <c r="H317" t="s">
        <v>323</v>
      </c>
      <c r="I317" t="s">
        <v>45</v>
      </c>
      <c r="J317" t="s">
        <v>325</v>
      </c>
      <c r="K317" t="s">
        <v>285</v>
      </c>
      <c r="L317" t="s">
        <v>327</v>
      </c>
    </row>
    <row r="318" spans="1:12">
      <c r="A318" t="s">
        <v>318</v>
      </c>
      <c r="B318" t="s">
        <v>319</v>
      </c>
      <c r="C318" t="s">
        <v>614</v>
      </c>
      <c r="D318" s="28">
        <v>7610900097224</v>
      </c>
      <c r="E318" s="29" t="s">
        <v>529</v>
      </c>
      <c r="F318" s="29" t="s">
        <v>372</v>
      </c>
      <c r="G318">
        <v>14</v>
      </c>
      <c r="H318" t="s">
        <v>323</v>
      </c>
      <c r="I318" t="s">
        <v>45</v>
      </c>
      <c r="J318" t="s">
        <v>325</v>
      </c>
      <c r="K318" t="s">
        <v>285</v>
      </c>
      <c r="L318" t="s">
        <v>327</v>
      </c>
    </row>
    <row r="319" spans="1:12">
      <c r="A319" t="s">
        <v>318</v>
      </c>
      <c r="B319" t="s">
        <v>319</v>
      </c>
      <c r="C319" t="s">
        <v>615</v>
      </c>
      <c r="D319" s="28">
        <v>7610900097225</v>
      </c>
      <c r="E319" s="29" t="s">
        <v>371</v>
      </c>
      <c r="F319" s="29" t="s">
        <v>372</v>
      </c>
      <c r="G319">
        <v>6</v>
      </c>
      <c r="H319" t="s">
        <v>323</v>
      </c>
      <c r="I319" t="s">
        <v>45</v>
      </c>
      <c r="J319" t="s">
        <v>325</v>
      </c>
      <c r="K319" t="s">
        <v>337</v>
      </c>
      <c r="L319" t="s">
        <v>327</v>
      </c>
    </row>
    <row r="320" spans="1:12">
      <c r="A320" t="s">
        <v>318</v>
      </c>
      <c r="B320" t="s">
        <v>319</v>
      </c>
      <c r="C320" t="s">
        <v>616</v>
      </c>
      <c r="D320" s="28">
        <v>7610900097226</v>
      </c>
      <c r="E320" s="29" t="s">
        <v>371</v>
      </c>
      <c r="F320" s="29" t="s">
        <v>372</v>
      </c>
      <c r="G320">
        <v>10</v>
      </c>
      <c r="H320" t="s">
        <v>323</v>
      </c>
      <c r="I320" t="s">
        <v>45</v>
      </c>
      <c r="J320" t="s">
        <v>325</v>
      </c>
      <c r="K320" t="s">
        <v>337</v>
      </c>
      <c r="L320" t="s">
        <v>327</v>
      </c>
    </row>
    <row r="321" spans="1:12">
      <c r="A321" t="s">
        <v>318</v>
      </c>
      <c r="B321" t="s">
        <v>319</v>
      </c>
      <c r="C321" t="s">
        <v>617</v>
      </c>
      <c r="D321" s="28">
        <v>7610900097227</v>
      </c>
      <c r="E321" s="29" t="s">
        <v>371</v>
      </c>
      <c r="F321" s="29" t="s">
        <v>372</v>
      </c>
      <c r="G321">
        <v>8</v>
      </c>
      <c r="H321" t="s">
        <v>323</v>
      </c>
      <c r="I321" t="s">
        <v>45</v>
      </c>
      <c r="J321" t="s">
        <v>325</v>
      </c>
      <c r="K321" t="s">
        <v>337</v>
      </c>
      <c r="L321" t="s">
        <v>327</v>
      </c>
    </row>
    <row r="322" spans="1:12">
      <c r="A322" t="s">
        <v>318</v>
      </c>
      <c r="B322" t="s">
        <v>319</v>
      </c>
      <c r="C322" t="s">
        <v>618</v>
      </c>
      <c r="D322" s="28">
        <v>7610900097228</v>
      </c>
      <c r="E322" s="29" t="s">
        <v>371</v>
      </c>
      <c r="F322" s="29" t="s">
        <v>372</v>
      </c>
      <c r="G322">
        <v>6</v>
      </c>
      <c r="H322" t="s">
        <v>323</v>
      </c>
      <c r="I322" t="s">
        <v>45</v>
      </c>
      <c r="J322" t="s">
        <v>325</v>
      </c>
      <c r="K322" t="s">
        <v>337</v>
      </c>
      <c r="L322" t="s">
        <v>327</v>
      </c>
    </row>
    <row r="323" spans="1:12">
      <c r="A323" t="s">
        <v>318</v>
      </c>
      <c r="B323" t="s">
        <v>319</v>
      </c>
      <c r="C323" t="s">
        <v>619</v>
      </c>
      <c r="D323" s="28">
        <v>7610900097229</v>
      </c>
      <c r="E323" s="29" t="s">
        <v>371</v>
      </c>
      <c r="F323" s="29" t="s">
        <v>372</v>
      </c>
      <c r="G323">
        <v>9</v>
      </c>
      <c r="H323" t="s">
        <v>323</v>
      </c>
      <c r="I323" t="s">
        <v>45</v>
      </c>
      <c r="J323" t="s">
        <v>325</v>
      </c>
      <c r="K323" t="s">
        <v>337</v>
      </c>
      <c r="L323" t="s">
        <v>327</v>
      </c>
    </row>
    <row r="324" spans="1:12">
      <c r="A324" t="s">
        <v>318</v>
      </c>
      <c r="B324" t="s">
        <v>319</v>
      </c>
      <c r="C324" t="s">
        <v>620</v>
      </c>
      <c r="D324" s="28">
        <v>7610900097230</v>
      </c>
      <c r="E324" s="29" t="s">
        <v>371</v>
      </c>
      <c r="F324" s="29" t="s">
        <v>372</v>
      </c>
      <c r="G324">
        <v>8</v>
      </c>
      <c r="H324" t="s">
        <v>323</v>
      </c>
      <c r="I324" t="s">
        <v>45</v>
      </c>
      <c r="J324" t="s">
        <v>325</v>
      </c>
      <c r="K324" t="s">
        <v>337</v>
      </c>
      <c r="L324" t="s">
        <v>327</v>
      </c>
    </row>
    <row r="325" spans="1:12">
      <c r="A325" t="s">
        <v>318</v>
      </c>
      <c r="B325" t="s">
        <v>319</v>
      </c>
      <c r="C325" t="s">
        <v>621</v>
      </c>
      <c r="D325" s="28">
        <v>7610900097231</v>
      </c>
      <c r="E325" s="29" t="s">
        <v>371</v>
      </c>
      <c r="F325" s="29" t="s">
        <v>372</v>
      </c>
      <c r="G325">
        <v>6</v>
      </c>
      <c r="H325" t="s">
        <v>323</v>
      </c>
      <c r="I325" t="s">
        <v>45</v>
      </c>
      <c r="J325" t="s">
        <v>325</v>
      </c>
      <c r="K325" t="s">
        <v>337</v>
      </c>
      <c r="L325" t="s">
        <v>327</v>
      </c>
    </row>
    <row r="326" spans="1:12">
      <c r="A326" t="s">
        <v>318</v>
      </c>
      <c r="B326" t="s">
        <v>319</v>
      </c>
      <c r="C326" t="s">
        <v>622</v>
      </c>
      <c r="D326" s="28">
        <v>7610900097232</v>
      </c>
      <c r="E326" s="29" t="s">
        <v>371</v>
      </c>
      <c r="F326" s="29" t="s">
        <v>372</v>
      </c>
      <c r="G326">
        <v>8</v>
      </c>
      <c r="H326" t="s">
        <v>323</v>
      </c>
      <c r="I326" t="s">
        <v>45</v>
      </c>
      <c r="J326" t="s">
        <v>325</v>
      </c>
      <c r="K326" t="s">
        <v>337</v>
      </c>
      <c r="L326" t="s">
        <v>327</v>
      </c>
    </row>
    <row r="327" spans="1:12">
      <c r="A327" t="s">
        <v>318</v>
      </c>
      <c r="B327" t="s">
        <v>319</v>
      </c>
      <c r="C327" t="s">
        <v>623</v>
      </c>
      <c r="D327" s="28">
        <v>7610900097233</v>
      </c>
      <c r="E327" s="29" t="s">
        <v>371</v>
      </c>
      <c r="F327" s="29" t="s">
        <v>372</v>
      </c>
      <c r="G327">
        <v>7</v>
      </c>
      <c r="H327" t="s">
        <v>323</v>
      </c>
      <c r="I327" t="s">
        <v>45</v>
      </c>
      <c r="J327" t="s">
        <v>325</v>
      </c>
      <c r="K327" t="s">
        <v>337</v>
      </c>
      <c r="L327" t="s">
        <v>327</v>
      </c>
    </row>
    <row r="328" spans="1:12">
      <c r="A328" t="s">
        <v>318</v>
      </c>
      <c r="B328" t="s">
        <v>319</v>
      </c>
      <c r="C328" t="s">
        <v>624</v>
      </c>
      <c r="D328" s="28">
        <v>7610900097234</v>
      </c>
      <c r="E328" s="29" t="s">
        <v>371</v>
      </c>
      <c r="F328" s="29" t="s">
        <v>372</v>
      </c>
      <c r="G328">
        <v>8</v>
      </c>
      <c r="H328" t="s">
        <v>323</v>
      </c>
      <c r="I328" t="s">
        <v>45</v>
      </c>
      <c r="J328" t="s">
        <v>325</v>
      </c>
      <c r="K328" t="s">
        <v>337</v>
      </c>
      <c r="L328" t="s">
        <v>327</v>
      </c>
    </row>
    <row r="329" spans="1:12">
      <c r="A329" t="s">
        <v>318</v>
      </c>
      <c r="B329" t="s">
        <v>319</v>
      </c>
      <c r="C329" t="s">
        <v>625</v>
      </c>
      <c r="D329" s="28">
        <v>7610900097235</v>
      </c>
      <c r="E329" s="29" t="s">
        <v>371</v>
      </c>
      <c r="F329" s="29" t="s">
        <v>372</v>
      </c>
      <c r="G329">
        <v>6</v>
      </c>
      <c r="H329" t="s">
        <v>323</v>
      </c>
      <c r="I329" t="s">
        <v>45</v>
      </c>
      <c r="J329" t="s">
        <v>325</v>
      </c>
      <c r="K329" t="s">
        <v>337</v>
      </c>
      <c r="L329" t="s">
        <v>327</v>
      </c>
    </row>
    <row r="330" spans="1:12">
      <c r="A330" t="s">
        <v>318</v>
      </c>
      <c r="B330" t="s">
        <v>319</v>
      </c>
      <c r="C330" t="s">
        <v>626</v>
      </c>
      <c r="D330" s="28">
        <v>7610900097236</v>
      </c>
      <c r="E330" s="29" t="s">
        <v>371</v>
      </c>
      <c r="F330" s="29" t="s">
        <v>372</v>
      </c>
      <c r="G330">
        <v>11</v>
      </c>
      <c r="H330" t="s">
        <v>323</v>
      </c>
      <c r="I330" t="s">
        <v>45</v>
      </c>
      <c r="J330" t="s">
        <v>325</v>
      </c>
      <c r="K330" t="s">
        <v>337</v>
      </c>
      <c r="L330" t="s">
        <v>327</v>
      </c>
    </row>
    <row r="331" spans="1:12">
      <c r="A331" t="s">
        <v>318</v>
      </c>
      <c r="B331" t="s">
        <v>319</v>
      </c>
      <c r="C331" t="s">
        <v>627</v>
      </c>
      <c r="D331" s="28">
        <v>7610900097237</v>
      </c>
      <c r="E331" s="29" t="s">
        <v>371</v>
      </c>
      <c r="F331" s="29" t="s">
        <v>372</v>
      </c>
      <c r="G331">
        <v>13</v>
      </c>
      <c r="H331" t="s">
        <v>323</v>
      </c>
      <c r="I331" t="s">
        <v>45</v>
      </c>
      <c r="J331" t="s">
        <v>325</v>
      </c>
      <c r="K331" t="s">
        <v>337</v>
      </c>
      <c r="L331" t="s">
        <v>327</v>
      </c>
    </row>
    <row r="332" spans="1:12">
      <c r="A332" t="s">
        <v>318</v>
      </c>
      <c r="B332" t="s">
        <v>319</v>
      </c>
      <c r="C332" t="s">
        <v>628</v>
      </c>
      <c r="D332" s="28">
        <v>7610900097238</v>
      </c>
      <c r="E332" s="29" t="s">
        <v>529</v>
      </c>
      <c r="F332" s="29" t="s">
        <v>372</v>
      </c>
      <c r="G332">
        <v>12</v>
      </c>
      <c r="H332" t="s">
        <v>323</v>
      </c>
      <c r="I332" t="s">
        <v>45</v>
      </c>
      <c r="J332" t="s">
        <v>325</v>
      </c>
      <c r="K332" t="s">
        <v>337</v>
      </c>
      <c r="L332" t="s">
        <v>327</v>
      </c>
    </row>
    <row r="333" spans="1:12">
      <c r="A333" t="s">
        <v>318</v>
      </c>
      <c r="B333" t="s">
        <v>319</v>
      </c>
      <c r="C333" t="s">
        <v>629</v>
      </c>
      <c r="D333" s="28">
        <v>7610900097239</v>
      </c>
      <c r="E333" s="29" t="s">
        <v>529</v>
      </c>
      <c r="F333" s="29" t="s">
        <v>372</v>
      </c>
      <c r="G333">
        <v>13</v>
      </c>
      <c r="H333" t="s">
        <v>323</v>
      </c>
      <c r="I333" t="s">
        <v>45</v>
      </c>
      <c r="J333" t="s">
        <v>325</v>
      </c>
      <c r="K333" t="s">
        <v>337</v>
      </c>
      <c r="L333" t="s">
        <v>327</v>
      </c>
    </row>
    <row r="334" spans="1:12">
      <c r="A334" t="s">
        <v>318</v>
      </c>
      <c r="B334" t="s">
        <v>319</v>
      </c>
      <c r="C334" t="s">
        <v>630</v>
      </c>
      <c r="D334" s="28">
        <v>7610900057923</v>
      </c>
      <c r="E334" s="29" t="s">
        <v>371</v>
      </c>
      <c r="F334" s="29" t="s">
        <v>372</v>
      </c>
      <c r="G334">
        <v>9</v>
      </c>
      <c r="H334" t="s">
        <v>323</v>
      </c>
      <c r="I334" t="s">
        <v>45</v>
      </c>
      <c r="J334" t="s">
        <v>325</v>
      </c>
      <c r="K334" t="s">
        <v>285</v>
      </c>
      <c r="L334" t="s">
        <v>327</v>
      </c>
    </row>
    <row r="335" spans="1:12">
      <c r="A335" t="s">
        <v>318</v>
      </c>
      <c r="B335" t="s">
        <v>319</v>
      </c>
      <c r="C335" t="s">
        <v>511</v>
      </c>
      <c r="D335" s="28">
        <v>7610900057928</v>
      </c>
      <c r="E335" s="29" t="s">
        <v>371</v>
      </c>
      <c r="F335" s="29" t="s">
        <v>372</v>
      </c>
      <c r="G335">
        <v>9</v>
      </c>
      <c r="H335" t="s">
        <v>323</v>
      </c>
      <c r="I335" t="s">
        <v>45</v>
      </c>
      <c r="J335" t="s">
        <v>325</v>
      </c>
      <c r="K335" t="s">
        <v>285</v>
      </c>
      <c r="L335" t="s">
        <v>327</v>
      </c>
    </row>
    <row r="336" spans="1:12">
      <c r="A336" t="s">
        <v>318</v>
      </c>
      <c r="B336" t="s">
        <v>319</v>
      </c>
      <c r="C336" t="s">
        <v>631</v>
      </c>
      <c r="D336" s="28">
        <v>7610900057932</v>
      </c>
      <c r="E336" s="29" t="s">
        <v>371</v>
      </c>
      <c r="F336" s="29" t="s">
        <v>372</v>
      </c>
      <c r="G336">
        <v>9</v>
      </c>
      <c r="H336" t="s">
        <v>323</v>
      </c>
      <c r="I336" t="s">
        <v>45</v>
      </c>
      <c r="J336" t="s">
        <v>325</v>
      </c>
      <c r="K336" t="s">
        <v>285</v>
      </c>
      <c r="L336" t="s">
        <v>327</v>
      </c>
    </row>
    <row r="337" spans="1:12">
      <c r="A337" t="s">
        <v>318</v>
      </c>
      <c r="B337" t="s">
        <v>319</v>
      </c>
      <c r="C337" t="s">
        <v>632</v>
      </c>
      <c r="D337" s="28">
        <v>7610900057938</v>
      </c>
      <c r="E337" s="29" t="s">
        <v>371</v>
      </c>
      <c r="F337" s="29" t="s">
        <v>372</v>
      </c>
      <c r="G337">
        <v>9</v>
      </c>
      <c r="H337" t="s">
        <v>323</v>
      </c>
      <c r="I337" t="s">
        <v>45</v>
      </c>
      <c r="J337" t="s">
        <v>325</v>
      </c>
      <c r="K337" t="s">
        <v>285</v>
      </c>
      <c r="L337" t="s">
        <v>327</v>
      </c>
    </row>
    <row r="338" spans="1:12">
      <c r="A338" t="s">
        <v>318</v>
      </c>
      <c r="B338" t="s">
        <v>319</v>
      </c>
      <c r="C338" t="s">
        <v>633</v>
      </c>
      <c r="D338" s="28">
        <v>7610900057943</v>
      </c>
      <c r="E338" s="29" t="s">
        <v>371</v>
      </c>
      <c r="F338" s="29" t="s">
        <v>372</v>
      </c>
      <c r="G338">
        <v>8</v>
      </c>
      <c r="H338" t="s">
        <v>323</v>
      </c>
      <c r="I338" t="s">
        <v>45</v>
      </c>
      <c r="J338" t="s">
        <v>325</v>
      </c>
      <c r="K338" t="s">
        <v>285</v>
      </c>
      <c r="L338" t="s">
        <v>327</v>
      </c>
    </row>
    <row r="339" spans="1:12">
      <c r="A339" t="s">
        <v>318</v>
      </c>
      <c r="B339" t="s">
        <v>319</v>
      </c>
      <c r="C339" t="s">
        <v>634</v>
      </c>
      <c r="D339" s="28">
        <v>7610900057947</v>
      </c>
      <c r="E339" s="29" t="s">
        <v>371</v>
      </c>
      <c r="F339" s="29" t="s">
        <v>372</v>
      </c>
      <c r="G339">
        <v>8</v>
      </c>
      <c r="H339" t="s">
        <v>323</v>
      </c>
      <c r="I339" t="s">
        <v>45</v>
      </c>
      <c r="J339" t="s">
        <v>325</v>
      </c>
      <c r="K339" t="s">
        <v>285</v>
      </c>
      <c r="L339" t="s">
        <v>327</v>
      </c>
    </row>
    <row r="340" spans="1:12">
      <c r="A340" t="s">
        <v>318</v>
      </c>
      <c r="B340" t="s">
        <v>319</v>
      </c>
      <c r="C340" t="s">
        <v>635</v>
      </c>
      <c r="D340" s="28">
        <v>7610900057951</v>
      </c>
      <c r="E340" s="29" t="s">
        <v>371</v>
      </c>
      <c r="F340" s="29" t="s">
        <v>372</v>
      </c>
      <c r="G340">
        <v>9</v>
      </c>
      <c r="H340" t="s">
        <v>323</v>
      </c>
      <c r="I340" t="s">
        <v>45</v>
      </c>
      <c r="J340" t="s">
        <v>325</v>
      </c>
      <c r="K340" t="s">
        <v>285</v>
      </c>
      <c r="L340" t="s">
        <v>327</v>
      </c>
    </row>
    <row r="341" spans="1:12">
      <c r="A341" t="s">
        <v>318</v>
      </c>
      <c r="B341" t="s">
        <v>319</v>
      </c>
      <c r="C341" t="s">
        <v>382</v>
      </c>
      <c r="D341" s="28">
        <v>7610900090490</v>
      </c>
      <c r="E341" s="29" t="s">
        <v>371</v>
      </c>
      <c r="F341" s="29" t="s">
        <v>372</v>
      </c>
      <c r="G341">
        <v>6</v>
      </c>
      <c r="H341" t="s">
        <v>323</v>
      </c>
      <c r="I341" t="s">
        <v>45</v>
      </c>
      <c r="J341" t="s">
        <v>325</v>
      </c>
      <c r="K341" t="s">
        <v>285</v>
      </c>
      <c r="L341" t="s">
        <v>327</v>
      </c>
    </row>
    <row r="342" spans="1:12">
      <c r="A342" t="s">
        <v>318</v>
      </c>
      <c r="B342" t="s">
        <v>319</v>
      </c>
      <c r="C342" t="s">
        <v>598</v>
      </c>
      <c r="D342" s="28">
        <v>7610900090497</v>
      </c>
      <c r="E342" s="29" t="s">
        <v>371</v>
      </c>
      <c r="F342" s="29" t="s">
        <v>372</v>
      </c>
      <c r="G342">
        <v>6</v>
      </c>
      <c r="H342" t="s">
        <v>323</v>
      </c>
      <c r="I342" t="s">
        <v>45</v>
      </c>
      <c r="J342" t="s">
        <v>325</v>
      </c>
      <c r="K342" t="s">
        <v>285</v>
      </c>
      <c r="L342" t="s">
        <v>327</v>
      </c>
    </row>
    <row r="343" spans="1:12">
      <c r="A343" t="s">
        <v>318</v>
      </c>
      <c r="B343" t="s">
        <v>319</v>
      </c>
      <c r="C343" t="s">
        <v>539</v>
      </c>
      <c r="D343" s="28">
        <v>7610900095089</v>
      </c>
      <c r="E343" s="29" t="s">
        <v>371</v>
      </c>
      <c r="F343" s="29" t="s">
        <v>372</v>
      </c>
      <c r="G343">
        <v>7</v>
      </c>
      <c r="H343" t="s">
        <v>323</v>
      </c>
      <c r="I343" t="s">
        <v>45</v>
      </c>
      <c r="J343" t="s">
        <v>325</v>
      </c>
      <c r="K343" t="s">
        <v>285</v>
      </c>
      <c r="L343" t="s">
        <v>327</v>
      </c>
    </row>
    <row r="344" spans="1:12">
      <c r="A344" t="s">
        <v>318</v>
      </c>
      <c r="B344" t="s">
        <v>319</v>
      </c>
      <c r="C344" t="s">
        <v>377</v>
      </c>
      <c r="D344" s="28">
        <v>7610900095090</v>
      </c>
      <c r="E344" s="29" t="s">
        <v>371</v>
      </c>
      <c r="F344" s="29" t="s">
        <v>372</v>
      </c>
      <c r="G344">
        <v>8</v>
      </c>
      <c r="H344" t="s">
        <v>323</v>
      </c>
      <c r="I344" t="s">
        <v>45</v>
      </c>
      <c r="J344" t="s">
        <v>325</v>
      </c>
      <c r="K344" t="s">
        <v>285</v>
      </c>
      <c r="L344" t="s">
        <v>327</v>
      </c>
    </row>
    <row r="345" spans="1:12">
      <c r="A345" t="s">
        <v>318</v>
      </c>
      <c r="B345" t="s">
        <v>319</v>
      </c>
      <c r="C345" t="s">
        <v>636</v>
      </c>
      <c r="D345" s="28">
        <v>7610900095091</v>
      </c>
      <c r="E345" s="29" t="s">
        <v>371</v>
      </c>
      <c r="F345" s="29" t="s">
        <v>372</v>
      </c>
      <c r="G345">
        <v>6</v>
      </c>
      <c r="H345" t="s">
        <v>323</v>
      </c>
      <c r="I345" t="s">
        <v>45</v>
      </c>
      <c r="J345" t="s">
        <v>325</v>
      </c>
      <c r="K345" t="s">
        <v>285</v>
      </c>
      <c r="L345" t="s">
        <v>327</v>
      </c>
    </row>
    <row r="346" spans="1:12">
      <c r="A346" t="s">
        <v>318</v>
      </c>
      <c r="B346" t="s">
        <v>319</v>
      </c>
      <c r="C346" t="s">
        <v>637</v>
      </c>
      <c r="D346" s="28">
        <v>7610900095092</v>
      </c>
      <c r="E346" s="29" t="s">
        <v>371</v>
      </c>
      <c r="F346" s="29" t="s">
        <v>372</v>
      </c>
      <c r="G346">
        <v>5</v>
      </c>
      <c r="H346" t="s">
        <v>323</v>
      </c>
      <c r="I346" t="s">
        <v>45</v>
      </c>
      <c r="J346" t="s">
        <v>325</v>
      </c>
      <c r="K346" t="s">
        <v>285</v>
      </c>
      <c r="L346" t="s">
        <v>327</v>
      </c>
    </row>
    <row r="347" spans="1:12">
      <c r="A347" t="s">
        <v>318</v>
      </c>
      <c r="B347" t="s">
        <v>319</v>
      </c>
      <c r="C347" t="s">
        <v>638</v>
      </c>
      <c r="D347" s="28">
        <v>7610900099798</v>
      </c>
      <c r="E347" s="29" t="s">
        <v>371</v>
      </c>
      <c r="F347" s="29" t="s">
        <v>372</v>
      </c>
      <c r="G347">
        <v>9</v>
      </c>
      <c r="H347" t="s">
        <v>323</v>
      </c>
      <c r="I347" t="s">
        <v>45</v>
      </c>
      <c r="J347" t="s">
        <v>325</v>
      </c>
      <c r="K347" t="s">
        <v>285</v>
      </c>
      <c r="L347" t="s">
        <v>327</v>
      </c>
    </row>
    <row r="348" spans="1:12">
      <c r="A348" t="s">
        <v>318</v>
      </c>
      <c r="B348" t="s">
        <v>319</v>
      </c>
      <c r="C348" t="s">
        <v>433</v>
      </c>
      <c r="D348" s="28">
        <v>7610900099799</v>
      </c>
      <c r="E348" s="29" t="s">
        <v>371</v>
      </c>
      <c r="F348" s="29" t="s">
        <v>372</v>
      </c>
      <c r="G348">
        <v>5</v>
      </c>
      <c r="H348" t="s">
        <v>323</v>
      </c>
      <c r="I348" t="s">
        <v>45</v>
      </c>
      <c r="J348" t="s">
        <v>325</v>
      </c>
      <c r="K348" t="s">
        <v>285</v>
      </c>
      <c r="L348" t="s">
        <v>327</v>
      </c>
    </row>
    <row r="349" spans="1:12">
      <c r="A349" t="s">
        <v>318</v>
      </c>
      <c r="B349" t="s">
        <v>319</v>
      </c>
      <c r="C349" t="s">
        <v>639</v>
      </c>
      <c r="D349" s="28">
        <v>7610900099800</v>
      </c>
      <c r="E349" s="29" t="s">
        <v>371</v>
      </c>
      <c r="F349" s="29" t="s">
        <v>372</v>
      </c>
      <c r="G349">
        <v>6</v>
      </c>
      <c r="H349" t="s">
        <v>323</v>
      </c>
      <c r="I349" t="s">
        <v>45</v>
      </c>
      <c r="J349" t="s">
        <v>325</v>
      </c>
      <c r="K349" t="s">
        <v>285</v>
      </c>
      <c r="L349" t="s">
        <v>327</v>
      </c>
    </row>
    <row r="350" spans="1:12">
      <c r="A350" t="s">
        <v>318</v>
      </c>
      <c r="B350" t="s">
        <v>319</v>
      </c>
      <c r="C350" t="s">
        <v>602</v>
      </c>
      <c r="D350" s="28">
        <v>7610900104357</v>
      </c>
      <c r="E350" s="29" t="s">
        <v>371</v>
      </c>
      <c r="F350" s="29" t="s">
        <v>372</v>
      </c>
      <c r="G350">
        <v>12</v>
      </c>
      <c r="H350" t="s">
        <v>323</v>
      </c>
      <c r="I350" t="s">
        <v>45</v>
      </c>
      <c r="J350" t="s">
        <v>325</v>
      </c>
      <c r="K350" t="s">
        <v>285</v>
      </c>
      <c r="L350" t="s">
        <v>327</v>
      </c>
    </row>
    <row r="351" spans="1:12">
      <c r="A351" t="s">
        <v>318</v>
      </c>
      <c r="B351" t="s">
        <v>319</v>
      </c>
      <c r="C351" t="s">
        <v>640</v>
      </c>
      <c r="D351" s="28">
        <v>7610900104362</v>
      </c>
      <c r="E351" s="29" t="s">
        <v>371</v>
      </c>
      <c r="F351" s="29" t="s">
        <v>372</v>
      </c>
      <c r="G351">
        <v>13</v>
      </c>
      <c r="H351" t="s">
        <v>323</v>
      </c>
      <c r="I351" t="s">
        <v>45</v>
      </c>
      <c r="J351" t="s">
        <v>325</v>
      </c>
      <c r="K351" t="s">
        <v>285</v>
      </c>
      <c r="L351" t="s">
        <v>327</v>
      </c>
    </row>
    <row r="352" spans="1:12">
      <c r="A352" t="s">
        <v>318</v>
      </c>
      <c r="B352" t="s">
        <v>319</v>
      </c>
      <c r="C352" t="s">
        <v>641</v>
      </c>
      <c r="D352" s="28">
        <v>7610900104366</v>
      </c>
      <c r="E352" s="29" t="s">
        <v>371</v>
      </c>
      <c r="F352" s="29" t="s">
        <v>372</v>
      </c>
      <c r="G352">
        <v>6</v>
      </c>
      <c r="H352" t="s">
        <v>323</v>
      </c>
      <c r="I352" t="s">
        <v>45</v>
      </c>
      <c r="J352" t="s">
        <v>325</v>
      </c>
      <c r="K352" t="s">
        <v>285</v>
      </c>
      <c r="L352" t="s">
        <v>327</v>
      </c>
    </row>
    <row r="353" spans="1:12">
      <c r="A353" t="s">
        <v>318</v>
      </c>
      <c r="B353" t="s">
        <v>319</v>
      </c>
      <c r="C353" t="s">
        <v>642</v>
      </c>
      <c r="D353" s="28">
        <v>7610900104367</v>
      </c>
      <c r="E353" s="29" t="s">
        <v>371</v>
      </c>
      <c r="F353" s="29" t="s">
        <v>372</v>
      </c>
      <c r="G353">
        <v>12</v>
      </c>
      <c r="H353" t="s">
        <v>323</v>
      </c>
      <c r="I353" t="s">
        <v>45</v>
      </c>
      <c r="J353" t="s">
        <v>325</v>
      </c>
      <c r="K353" t="s">
        <v>285</v>
      </c>
      <c r="L353" t="s">
        <v>327</v>
      </c>
    </row>
    <row r="354" spans="1:12">
      <c r="A354" t="s">
        <v>318</v>
      </c>
      <c r="B354" t="s">
        <v>319</v>
      </c>
      <c r="C354" t="s">
        <v>643</v>
      </c>
      <c r="D354" s="28">
        <v>7610900104369</v>
      </c>
      <c r="E354" s="29" t="s">
        <v>371</v>
      </c>
      <c r="F354" s="29" t="s">
        <v>372</v>
      </c>
      <c r="G354">
        <v>10</v>
      </c>
      <c r="H354" t="s">
        <v>323</v>
      </c>
      <c r="I354" t="s">
        <v>45</v>
      </c>
      <c r="J354" t="s">
        <v>325</v>
      </c>
      <c r="K354" t="s">
        <v>285</v>
      </c>
      <c r="L354" t="s">
        <v>327</v>
      </c>
    </row>
    <row r="355" spans="1:12">
      <c r="A355" t="s">
        <v>318</v>
      </c>
      <c r="B355" t="s">
        <v>319</v>
      </c>
      <c r="C355" t="s">
        <v>644</v>
      </c>
      <c r="D355" s="28">
        <v>7610900104370</v>
      </c>
      <c r="E355" s="29" t="s">
        <v>371</v>
      </c>
      <c r="F355" s="29" t="s">
        <v>372</v>
      </c>
      <c r="G355">
        <v>13</v>
      </c>
      <c r="H355" t="s">
        <v>323</v>
      </c>
      <c r="I355" t="s">
        <v>45</v>
      </c>
      <c r="J355" t="s">
        <v>325</v>
      </c>
      <c r="K355" t="s">
        <v>285</v>
      </c>
      <c r="L355" t="s">
        <v>327</v>
      </c>
    </row>
    <row r="356" spans="1:12">
      <c r="A356" t="s">
        <v>318</v>
      </c>
      <c r="B356" t="s">
        <v>319</v>
      </c>
      <c r="C356" t="s">
        <v>645</v>
      </c>
      <c r="D356" s="28">
        <v>7610900104371</v>
      </c>
      <c r="E356" s="29" t="s">
        <v>371</v>
      </c>
      <c r="F356" s="29" t="s">
        <v>372</v>
      </c>
      <c r="G356">
        <v>12</v>
      </c>
      <c r="H356" t="s">
        <v>323</v>
      </c>
      <c r="I356" t="s">
        <v>45</v>
      </c>
      <c r="J356" t="s">
        <v>325</v>
      </c>
      <c r="K356" t="s">
        <v>285</v>
      </c>
      <c r="L356" t="s">
        <v>327</v>
      </c>
    </row>
    <row r="357" spans="1:12">
      <c r="A357" t="s">
        <v>318</v>
      </c>
      <c r="B357" t="s">
        <v>319</v>
      </c>
      <c r="C357" t="s">
        <v>646</v>
      </c>
      <c r="D357" s="28">
        <v>7610900104372</v>
      </c>
      <c r="E357" s="29" t="s">
        <v>371</v>
      </c>
      <c r="F357" s="29" t="s">
        <v>372</v>
      </c>
      <c r="G357">
        <v>9</v>
      </c>
      <c r="H357" t="s">
        <v>323</v>
      </c>
      <c r="I357" t="s">
        <v>45</v>
      </c>
      <c r="J357" t="s">
        <v>325</v>
      </c>
      <c r="K357" t="s">
        <v>285</v>
      </c>
      <c r="L357" t="s">
        <v>327</v>
      </c>
    </row>
    <row r="358" spans="1:12">
      <c r="A358" t="s">
        <v>318</v>
      </c>
      <c r="B358" t="s">
        <v>319</v>
      </c>
      <c r="C358" t="s">
        <v>647</v>
      </c>
      <c r="D358" s="28">
        <v>7610900104374</v>
      </c>
      <c r="E358" s="29" t="s">
        <v>371</v>
      </c>
      <c r="F358" s="29" t="s">
        <v>372</v>
      </c>
      <c r="G358">
        <v>9</v>
      </c>
      <c r="H358" t="s">
        <v>323</v>
      </c>
      <c r="I358" t="s">
        <v>45</v>
      </c>
      <c r="J358" t="s">
        <v>325</v>
      </c>
      <c r="K358" t="s">
        <v>285</v>
      </c>
      <c r="L358" t="s">
        <v>327</v>
      </c>
    </row>
    <row r="359" spans="1:12">
      <c r="A359" t="s">
        <v>318</v>
      </c>
      <c r="B359" t="s">
        <v>319</v>
      </c>
      <c r="C359" t="s">
        <v>648</v>
      </c>
      <c r="D359" s="28">
        <v>7610900104375</v>
      </c>
      <c r="E359" s="29" t="s">
        <v>371</v>
      </c>
      <c r="F359" s="29" t="s">
        <v>372</v>
      </c>
      <c r="G359">
        <v>7</v>
      </c>
      <c r="H359" t="s">
        <v>323</v>
      </c>
      <c r="I359" t="s">
        <v>45</v>
      </c>
      <c r="J359" t="s">
        <v>325</v>
      </c>
      <c r="K359" t="s">
        <v>285</v>
      </c>
      <c r="L359" t="s">
        <v>327</v>
      </c>
    </row>
    <row r="360" spans="1:12">
      <c r="A360" t="s">
        <v>318</v>
      </c>
      <c r="B360" t="s">
        <v>319</v>
      </c>
      <c r="C360" t="s">
        <v>649</v>
      </c>
      <c r="D360" s="28">
        <v>7610900104376</v>
      </c>
      <c r="E360" s="29" t="s">
        <v>371</v>
      </c>
      <c r="F360" s="29" t="s">
        <v>372</v>
      </c>
      <c r="G360">
        <v>10</v>
      </c>
      <c r="H360" t="s">
        <v>323</v>
      </c>
      <c r="I360" t="s">
        <v>45</v>
      </c>
      <c r="J360" t="s">
        <v>325</v>
      </c>
      <c r="K360" t="s">
        <v>285</v>
      </c>
      <c r="L360" t="s">
        <v>327</v>
      </c>
    </row>
    <row r="361" spans="1:12">
      <c r="A361" t="s">
        <v>318</v>
      </c>
      <c r="B361" t="s">
        <v>319</v>
      </c>
      <c r="C361" t="s">
        <v>650</v>
      </c>
      <c r="D361" s="28">
        <v>7610900104377</v>
      </c>
      <c r="E361" s="29" t="s">
        <v>371</v>
      </c>
      <c r="F361" s="29" t="s">
        <v>372</v>
      </c>
      <c r="G361">
        <v>13</v>
      </c>
      <c r="H361" t="s">
        <v>323</v>
      </c>
      <c r="I361" t="s">
        <v>45</v>
      </c>
      <c r="J361" t="s">
        <v>325</v>
      </c>
      <c r="K361" t="s">
        <v>285</v>
      </c>
      <c r="L361" t="s">
        <v>327</v>
      </c>
    </row>
    <row r="362" spans="1:12">
      <c r="A362" t="s">
        <v>318</v>
      </c>
      <c r="B362" t="s">
        <v>319</v>
      </c>
      <c r="C362" t="s">
        <v>411</v>
      </c>
      <c r="D362" s="28">
        <v>7610900104378</v>
      </c>
      <c r="E362" s="29" t="s">
        <v>371</v>
      </c>
      <c r="F362" s="29" t="s">
        <v>372</v>
      </c>
      <c r="G362">
        <v>9</v>
      </c>
      <c r="H362" t="s">
        <v>323</v>
      </c>
      <c r="I362" t="s">
        <v>45</v>
      </c>
      <c r="J362" t="s">
        <v>325</v>
      </c>
      <c r="K362" t="s">
        <v>285</v>
      </c>
      <c r="L362" t="s">
        <v>327</v>
      </c>
    </row>
    <row r="363" spans="1:12">
      <c r="A363" t="s">
        <v>318</v>
      </c>
      <c r="B363" t="s">
        <v>319</v>
      </c>
      <c r="C363" t="s">
        <v>598</v>
      </c>
      <c r="D363" s="28">
        <v>7610900104379</v>
      </c>
      <c r="E363" s="29" t="s">
        <v>371</v>
      </c>
      <c r="F363" s="29" t="s">
        <v>372</v>
      </c>
      <c r="G363">
        <v>13</v>
      </c>
      <c r="H363" t="s">
        <v>323</v>
      </c>
      <c r="I363" t="s">
        <v>45</v>
      </c>
      <c r="J363" t="s">
        <v>325</v>
      </c>
      <c r="K363" t="s">
        <v>285</v>
      </c>
      <c r="L363" t="s">
        <v>327</v>
      </c>
    </row>
    <row r="364" spans="1:12">
      <c r="A364" t="s">
        <v>318</v>
      </c>
      <c r="B364" t="s">
        <v>319</v>
      </c>
      <c r="C364" t="s">
        <v>651</v>
      </c>
      <c r="D364" s="28">
        <v>7610900056649</v>
      </c>
      <c r="E364" s="29" t="s">
        <v>371</v>
      </c>
      <c r="F364" s="29" t="s">
        <v>372</v>
      </c>
      <c r="G364">
        <v>6</v>
      </c>
      <c r="H364" t="s">
        <v>323</v>
      </c>
      <c r="I364" t="s">
        <v>45</v>
      </c>
      <c r="J364" t="s">
        <v>325</v>
      </c>
      <c r="K364" t="s">
        <v>285</v>
      </c>
      <c r="L364" t="s">
        <v>327</v>
      </c>
    </row>
    <row r="365" spans="1:12">
      <c r="A365" t="s">
        <v>318</v>
      </c>
      <c r="B365" t="s">
        <v>319</v>
      </c>
      <c r="C365" t="s">
        <v>652</v>
      </c>
      <c r="D365" s="28">
        <v>7610900056673</v>
      </c>
      <c r="E365" s="29" t="s">
        <v>371</v>
      </c>
      <c r="F365" s="29" t="s">
        <v>372</v>
      </c>
      <c r="G365">
        <v>4</v>
      </c>
      <c r="H365" t="s">
        <v>323</v>
      </c>
      <c r="I365" t="s">
        <v>45</v>
      </c>
      <c r="J365" t="s">
        <v>325</v>
      </c>
      <c r="K365" t="s">
        <v>285</v>
      </c>
      <c r="L365" t="s">
        <v>327</v>
      </c>
    </row>
    <row r="366" spans="1:12">
      <c r="A366" t="s">
        <v>318</v>
      </c>
      <c r="B366" t="s">
        <v>319</v>
      </c>
      <c r="C366" t="s">
        <v>653</v>
      </c>
      <c r="D366" s="28">
        <v>7610900056794</v>
      </c>
      <c r="E366" s="29" t="s">
        <v>371</v>
      </c>
      <c r="F366" s="29" t="s">
        <v>372</v>
      </c>
      <c r="G366">
        <v>11</v>
      </c>
      <c r="H366" t="s">
        <v>323</v>
      </c>
      <c r="I366" t="s">
        <v>45</v>
      </c>
      <c r="J366" t="s">
        <v>325</v>
      </c>
      <c r="K366" t="s">
        <v>285</v>
      </c>
      <c r="L366" t="s">
        <v>327</v>
      </c>
    </row>
    <row r="367" spans="1:12">
      <c r="A367" t="s">
        <v>318</v>
      </c>
      <c r="B367" t="s">
        <v>319</v>
      </c>
      <c r="C367" t="s">
        <v>654</v>
      </c>
      <c r="D367" s="28">
        <v>7610900056824</v>
      </c>
      <c r="E367" s="29" t="s">
        <v>371</v>
      </c>
      <c r="F367" s="29" t="s">
        <v>372</v>
      </c>
      <c r="G367">
        <v>10</v>
      </c>
      <c r="H367" t="s">
        <v>323</v>
      </c>
      <c r="I367" t="s">
        <v>45</v>
      </c>
      <c r="J367" t="s">
        <v>325</v>
      </c>
      <c r="K367" t="s">
        <v>285</v>
      </c>
      <c r="L367" t="s">
        <v>327</v>
      </c>
    </row>
    <row r="368" spans="1:12">
      <c r="A368" t="s">
        <v>318</v>
      </c>
      <c r="B368" t="s">
        <v>319</v>
      </c>
      <c r="C368" t="s">
        <v>377</v>
      </c>
      <c r="D368" s="28">
        <v>7610900070104</v>
      </c>
      <c r="E368" s="29" t="s">
        <v>371</v>
      </c>
      <c r="F368" s="29" t="s">
        <v>372</v>
      </c>
      <c r="G368">
        <v>7</v>
      </c>
      <c r="H368" t="s">
        <v>323</v>
      </c>
      <c r="I368" t="s">
        <v>45</v>
      </c>
      <c r="J368" t="s">
        <v>325</v>
      </c>
      <c r="K368" t="s">
        <v>285</v>
      </c>
      <c r="L368" t="s">
        <v>327</v>
      </c>
    </row>
    <row r="369" spans="1:12">
      <c r="A369" t="s">
        <v>318</v>
      </c>
      <c r="B369" t="s">
        <v>319</v>
      </c>
      <c r="C369" t="s">
        <v>655</v>
      </c>
      <c r="D369" s="28">
        <v>7610900070324</v>
      </c>
      <c r="E369" s="29" t="s">
        <v>371</v>
      </c>
      <c r="F369" s="29" t="s">
        <v>372</v>
      </c>
      <c r="G369">
        <v>8</v>
      </c>
      <c r="H369" t="s">
        <v>323</v>
      </c>
      <c r="I369" t="s">
        <v>45</v>
      </c>
      <c r="J369" t="s">
        <v>325</v>
      </c>
      <c r="K369" t="s">
        <v>285</v>
      </c>
      <c r="L369" t="s">
        <v>327</v>
      </c>
    </row>
    <row r="370" spans="1:12">
      <c r="A370" t="s">
        <v>318</v>
      </c>
      <c r="B370" t="s">
        <v>319</v>
      </c>
      <c r="C370" t="s">
        <v>602</v>
      </c>
      <c r="D370" s="28">
        <v>7610900070327</v>
      </c>
      <c r="E370" s="29" t="s">
        <v>371</v>
      </c>
      <c r="F370" s="29" t="s">
        <v>372</v>
      </c>
      <c r="G370">
        <v>10</v>
      </c>
      <c r="H370" t="s">
        <v>323</v>
      </c>
      <c r="I370" t="s">
        <v>45</v>
      </c>
      <c r="J370" t="s">
        <v>325</v>
      </c>
      <c r="K370" t="s">
        <v>285</v>
      </c>
      <c r="L370" t="s">
        <v>327</v>
      </c>
    </row>
    <row r="371" spans="1:12">
      <c r="A371" t="s">
        <v>318</v>
      </c>
      <c r="B371" t="s">
        <v>319</v>
      </c>
      <c r="C371" t="s">
        <v>656</v>
      </c>
      <c r="D371" s="28">
        <v>7610900070334</v>
      </c>
      <c r="E371" s="29" t="s">
        <v>371</v>
      </c>
      <c r="F371" s="29" t="s">
        <v>372</v>
      </c>
      <c r="G371">
        <v>11</v>
      </c>
      <c r="H371" t="s">
        <v>323</v>
      </c>
      <c r="I371" t="s">
        <v>45</v>
      </c>
      <c r="J371" t="s">
        <v>325</v>
      </c>
      <c r="K371" t="s">
        <v>285</v>
      </c>
      <c r="L371" t="s">
        <v>327</v>
      </c>
    </row>
    <row r="372" spans="1:12">
      <c r="A372" t="s">
        <v>318</v>
      </c>
      <c r="B372" t="s">
        <v>319</v>
      </c>
      <c r="C372" t="s">
        <v>519</v>
      </c>
      <c r="D372" s="28">
        <v>7610900070379</v>
      </c>
      <c r="E372" s="29" t="s">
        <v>371</v>
      </c>
      <c r="F372" s="29" t="s">
        <v>372</v>
      </c>
      <c r="G372">
        <v>6</v>
      </c>
      <c r="H372" t="s">
        <v>323</v>
      </c>
      <c r="I372" t="s">
        <v>45</v>
      </c>
      <c r="J372" t="s">
        <v>325</v>
      </c>
      <c r="K372" t="s">
        <v>285</v>
      </c>
      <c r="L372" t="s">
        <v>327</v>
      </c>
    </row>
    <row r="373" spans="1:12">
      <c r="A373" t="s">
        <v>318</v>
      </c>
      <c r="B373" t="s">
        <v>319</v>
      </c>
      <c r="C373" t="s">
        <v>657</v>
      </c>
      <c r="D373" s="28">
        <v>7610900070387</v>
      </c>
      <c r="E373" s="29" t="s">
        <v>371</v>
      </c>
      <c r="F373" s="29" t="s">
        <v>372</v>
      </c>
      <c r="G373">
        <v>5</v>
      </c>
      <c r="H373" t="s">
        <v>323</v>
      </c>
      <c r="I373" t="s">
        <v>45</v>
      </c>
      <c r="J373" t="s">
        <v>325</v>
      </c>
      <c r="K373" t="s">
        <v>285</v>
      </c>
      <c r="L373" t="s">
        <v>327</v>
      </c>
    </row>
    <row r="374" spans="1:12">
      <c r="A374" t="s">
        <v>318</v>
      </c>
      <c r="B374" t="s">
        <v>319</v>
      </c>
      <c r="C374" t="s">
        <v>658</v>
      </c>
      <c r="D374" s="28">
        <v>7610900070392</v>
      </c>
      <c r="E374" s="29" t="s">
        <v>371</v>
      </c>
      <c r="F374" s="29" t="s">
        <v>372</v>
      </c>
      <c r="G374">
        <v>9</v>
      </c>
      <c r="H374" t="s">
        <v>323</v>
      </c>
      <c r="I374" t="s">
        <v>45</v>
      </c>
      <c r="J374" t="s">
        <v>325</v>
      </c>
      <c r="K374" t="s">
        <v>285</v>
      </c>
      <c r="L374" t="s">
        <v>327</v>
      </c>
    </row>
    <row r="375" spans="1:12">
      <c r="A375" t="s">
        <v>318</v>
      </c>
      <c r="B375" t="s">
        <v>319</v>
      </c>
      <c r="C375" t="s">
        <v>659</v>
      </c>
      <c r="D375" s="28">
        <v>7610900070418</v>
      </c>
      <c r="E375" s="29" t="s">
        <v>371</v>
      </c>
      <c r="F375" s="29" t="s">
        <v>372</v>
      </c>
      <c r="G375">
        <v>8</v>
      </c>
      <c r="H375" t="s">
        <v>323</v>
      </c>
      <c r="I375" t="s">
        <v>45</v>
      </c>
      <c r="J375" t="s">
        <v>325</v>
      </c>
      <c r="K375" t="s">
        <v>285</v>
      </c>
      <c r="L375" t="s">
        <v>327</v>
      </c>
    </row>
    <row r="376" spans="1:12">
      <c r="A376" t="s">
        <v>318</v>
      </c>
      <c r="B376" t="s">
        <v>319</v>
      </c>
      <c r="C376" t="s">
        <v>660</v>
      </c>
      <c r="D376" s="28">
        <v>7610900070886</v>
      </c>
      <c r="E376" s="29" t="s">
        <v>371</v>
      </c>
      <c r="F376" s="29" t="s">
        <v>372</v>
      </c>
      <c r="G376">
        <v>9</v>
      </c>
      <c r="H376" t="s">
        <v>323</v>
      </c>
      <c r="I376" t="s">
        <v>45</v>
      </c>
      <c r="J376" t="s">
        <v>325</v>
      </c>
      <c r="K376" t="s">
        <v>285</v>
      </c>
      <c r="L376" t="s">
        <v>327</v>
      </c>
    </row>
    <row r="377" spans="1:12">
      <c r="A377" t="s">
        <v>318</v>
      </c>
      <c r="B377" t="s">
        <v>319</v>
      </c>
      <c r="C377" t="s">
        <v>661</v>
      </c>
      <c r="D377" s="28">
        <v>7610900070887</v>
      </c>
      <c r="E377" s="29" t="s">
        <v>371</v>
      </c>
      <c r="F377" s="29" t="s">
        <v>372</v>
      </c>
      <c r="G377">
        <v>6</v>
      </c>
      <c r="H377" t="s">
        <v>323</v>
      </c>
      <c r="I377" t="s">
        <v>45</v>
      </c>
      <c r="J377" t="s">
        <v>325</v>
      </c>
      <c r="K377" t="s">
        <v>285</v>
      </c>
      <c r="L377" t="s">
        <v>327</v>
      </c>
    </row>
    <row r="378" spans="1:12">
      <c r="A378" t="s">
        <v>318</v>
      </c>
      <c r="B378" t="s">
        <v>319</v>
      </c>
      <c r="C378" t="s">
        <v>662</v>
      </c>
      <c r="D378" s="28">
        <v>7610900070901</v>
      </c>
      <c r="E378" s="29" t="s">
        <v>371</v>
      </c>
      <c r="F378" s="29" t="s">
        <v>372</v>
      </c>
      <c r="G378">
        <v>7</v>
      </c>
      <c r="H378" t="s">
        <v>323</v>
      </c>
      <c r="I378" t="s">
        <v>45</v>
      </c>
      <c r="J378" t="s">
        <v>325</v>
      </c>
      <c r="K378" t="s">
        <v>285</v>
      </c>
      <c r="L378" t="s">
        <v>327</v>
      </c>
    </row>
    <row r="379" spans="1:12">
      <c r="A379" t="s">
        <v>318</v>
      </c>
      <c r="B379" t="s">
        <v>319</v>
      </c>
      <c r="C379" t="s">
        <v>663</v>
      </c>
      <c r="D379" s="28">
        <v>7610900070904</v>
      </c>
      <c r="E379" s="29" t="s">
        <v>371</v>
      </c>
      <c r="F379" s="29" t="s">
        <v>372</v>
      </c>
      <c r="G379">
        <v>6</v>
      </c>
      <c r="H379" t="s">
        <v>323</v>
      </c>
      <c r="I379" t="s">
        <v>45</v>
      </c>
      <c r="J379" t="s">
        <v>325</v>
      </c>
      <c r="K379" t="s">
        <v>285</v>
      </c>
      <c r="L379" t="s">
        <v>327</v>
      </c>
    </row>
    <row r="380" spans="1:12">
      <c r="A380" t="s">
        <v>318</v>
      </c>
      <c r="B380" t="s">
        <v>319</v>
      </c>
      <c r="C380" t="s">
        <v>511</v>
      </c>
      <c r="D380" s="28">
        <v>7610900070913</v>
      </c>
      <c r="E380" s="29" t="s">
        <v>371</v>
      </c>
      <c r="F380" s="29" t="s">
        <v>372</v>
      </c>
      <c r="G380">
        <v>7</v>
      </c>
      <c r="H380" t="s">
        <v>323</v>
      </c>
      <c r="I380" t="s">
        <v>45</v>
      </c>
      <c r="J380" t="s">
        <v>325</v>
      </c>
      <c r="K380" t="s">
        <v>285</v>
      </c>
      <c r="L380" t="s">
        <v>327</v>
      </c>
    </row>
    <row r="381" spans="1:12">
      <c r="A381" t="s">
        <v>318</v>
      </c>
      <c r="B381" t="s">
        <v>319</v>
      </c>
      <c r="C381" t="s">
        <v>664</v>
      </c>
      <c r="D381" s="28">
        <v>7610900070923</v>
      </c>
      <c r="E381" s="29" t="s">
        <v>371</v>
      </c>
      <c r="F381" s="29" t="s">
        <v>372</v>
      </c>
      <c r="G381">
        <v>7</v>
      </c>
      <c r="H381" t="s">
        <v>323</v>
      </c>
      <c r="I381" t="s">
        <v>45</v>
      </c>
      <c r="J381" t="s">
        <v>325</v>
      </c>
      <c r="K381" t="s">
        <v>285</v>
      </c>
      <c r="L381" t="s">
        <v>327</v>
      </c>
    </row>
    <row r="382" spans="1:12">
      <c r="A382" t="s">
        <v>318</v>
      </c>
      <c r="B382" t="s">
        <v>319</v>
      </c>
      <c r="C382" t="s">
        <v>665</v>
      </c>
      <c r="D382" s="28">
        <v>7610900070927</v>
      </c>
      <c r="E382" s="29" t="s">
        <v>371</v>
      </c>
      <c r="F382" s="29" t="s">
        <v>372</v>
      </c>
      <c r="G382">
        <v>8</v>
      </c>
      <c r="H382" t="s">
        <v>323</v>
      </c>
      <c r="I382" t="s">
        <v>45</v>
      </c>
      <c r="J382" t="s">
        <v>325</v>
      </c>
      <c r="K382" t="s">
        <v>285</v>
      </c>
      <c r="L382" t="s">
        <v>327</v>
      </c>
    </row>
    <row r="383" spans="1:12">
      <c r="A383" t="s">
        <v>318</v>
      </c>
      <c r="B383" t="s">
        <v>319</v>
      </c>
      <c r="C383" t="s">
        <v>666</v>
      </c>
      <c r="D383" s="28">
        <v>7610900070928</v>
      </c>
      <c r="E383" s="29" t="s">
        <v>529</v>
      </c>
      <c r="F383" s="29" t="s">
        <v>372</v>
      </c>
      <c r="G383">
        <v>15</v>
      </c>
      <c r="H383" t="s">
        <v>323</v>
      </c>
      <c r="I383" t="s">
        <v>45</v>
      </c>
      <c r="J383" t="s">
        <v>325</v>
      </c>
      <c r="K383" t="s">
        <v>285</v>
      </c>
      <c r="L383" t="s">
        <v>327</v>
      </c>
    </row>
    <row r="384" spans="1:12">
      <c r="A384" t="s">
        <v>318</v>
      </c>
      <c r="B384" t="s">
        <v>319</v>
      </c>
      <c r="C384" t="s">
        <v>667</v>
      </c>
      <c r="D384" s="28">
        <v>7610900070946</v>
      </c>
      <c r="E384" s="29" t="s">
        <v>529</v>
      </c>
      <c r="F384" s="29" t="s">
        <v>372</v>
      </c>
      <c r="G384">
        <v>15</v>
      </c>
      <c r="H384" t="s">
        <v>323</v>
      </c>
      <c r="I384" t="s">
        <v>45</v>
      </c>
      <c r="J384" t="s">
        <v>325</v>
      </c>
      <c r="K384" t="s">
        <v>285</v>
      </c>
      <c r="L384" t="s">
        <v>327</v>
      </c>
    </row>
    <row r="385" spans="1:12">
      <c r="A385" t="s">
        <v>318</v>
      </c>
      <c r="B385" t="s">
        <v>319</v>
      </c>
      <c r="C385" t="s">
        <v>668</v>
      </c>
      <c r="D385" s="28">
        <v>7610900071526</v>
      </c>
      <c r="E385" s="29" t="s">
        <v>371</v>
      </c>
      <c r="F385" s="29" t="s">
        <v>372</v>
      </c>
      <c r="G385">
        <v>6</v>
      </c>
      <c r="H385" t="s">
        <v>323</v>
      </c>
      <c r="I385" t="s">
        <v>45</v>
      </c>
      <c r="J385" t="s">
        <v>325</v>
      </c>
      <c r="K385" t="s">
        <v>285</v>
      </c>
      <c r="L385" t="s">
        <v>327</v>
      </c>
    </row>
    <row r="386" spans="1:12">
      <c r="A386" t="s">
        <v>318</v>
      </c>
      <c r="B386" t="s">
        <v>319</v>
      </c>
      <c r="C386" t="s">
        <v>669</v>
      </c>
      <c r="D386" s="28">
        <v>7610900071529</v>
      </c>
      <c r="E386" s="29" t="s">
        <v>371</v>
      </c>
      <c r="F386" s="29" t="s">
        <v>372</v>
      </c>
      <c r="G386">
        <v>8</v>
      </c>
      <c r="H386" t="s">
        <v>323</v>
      </c>
      <c r="I386" t="s">
        <v>45</v>
      </c>
      <c r="J386" t="s">
        <v>325</v>
      </c>
      <c r="K386" t="s">
        <v>285</v>
      </c>
      <c r="L386" t="s">
        <v>327</v>
      </c>
    </row>
    <row r="387" spans="1:12">
      <c r="A387" t="s">
        <v>318</v>
      </c>
      <c r="B387" t="s">
        <v>319</v>
      </c>
      <c r="C387" t="s">
        <v>670</v>
      </c>
      <c r="D387" s="28">
        <v>7610900071534</v>
      </c>
      <c r="E387" s="29" t="s">
        <v>371</v>
      </c>
      <c r="F387" s="29" t="s">
        <v>372</v>
      </c>
      <c r="G387">
        <v>8</v>
      </c>
      <c r="H387" t="s">
        <v>323</v>
      </c>
      <c r="I387" t="s">
        <v>45</v>
      </c>
      <c r="J387" t="s">
        <v>325</v>
      </c>
      <c r="K387" t="s">
        <v>285</v>
      </c>
      <c r="L387" t="s">
        <v>327</v>
      </c>
    </row>
    <row r="388" spans="1:12">
      <c r="A388" t="s">
        <v>318</v>
      </c>
      <c r="B388" t="s">
        <v>319</v>
      </c>
      <c r="C388" t="s">
        <v>671</v>
      </c>
      <c r="D388" s="28">
        <v>7610900071541</v>
      </c>
      <c r="E388" s="29" t="s">
        <v>529</v>
      </c>
      <c r="F388" s="29" t="s">
        <v>372</v>
      </c>
      <c r="G388">
        <v>15</v>
      </c>
      <c r="H388" t="s">
        <v>323</v>
      </c>
      <c r="I388" t="s">
        <v>45</v>
      </c>
      <c r="J388" t="s">
        <v>325</v>
      </c>
      <c r="K388" t="s">
        <v>285</v>
      </c>
      <c r="L388" t="s">
        <v>327</v>
      </c>
    </row>
    <row r="389" spans="1:12">
      <c r="A389" t="s">
        <v>318</v>
      </c>
      <c r="B389" t="s">
        <v>319</v>
      </c>
      <c r="C389" t="s">
        <v>672</v>
      </c>
      <c r="D389" s="28">
        <v>7610900071546</v>
      </c>
      <c r="E389" s="29" t="s">
        <v>529</v>
      </c>
      <c r="F389" s="29" t="s">
        <v>372</v>
      </c>
      <c r="G389">
        <v>15</v>
      </c>
      <c r="H389" t="s">
        <v>323</v>
      </c>
      <c r="I389" t="s">
        <v>45</v>
      </c>
      <c r="J389" t="s">
        <v>325</v>
      </c>
      <c r="K389" t="s">
        <v>285</v>
      </c>
      <c r="L389" t="s">
        <v>327</v>
      </c>
    </row>
    <row r="390" spans="1:12">
      <c r="A390" t="s">
        <v>318</v>
      </c>
      <c r="B390" t="s">
        <v>319</v>
      </c>
      <c r="C390" t="s">
        <v>377</v>
      </c>
      <c r="D390" s="28">
        <v>7610900071554</v>
      </c>
      <c r="E390" s="29" t="s">
        <v>371</v>
      </c>
      <c r="F390" s="29" t="s">
        <v>372</v>
      </c>
      <c r="G390">
        <v>7</v>
      </c>
      <c r="H390" t="s">
        <v>323</v>
      </c>
      <c r="I390" t="s">
        <v>45</v>
      </c>
      <c r="J390" t="s">
        <v>325</v>
      </c>
      <c r="K390" t="s">
        <v>285</v>
      </c>
      <c r="L390" t="s">
        <v>327</v>
      </c>
    </row>
    <row r="391" spans="1:12">
      <c r="A391" t="s">
        <v>318</v>
      </c>
      <c r="B391" t="s">
        <v>319</v>
      </c>
      <c r="C391" t="s">
        <v>673</v>
      </c>
      <c r="D391" s="28">
        <v>7610900071564</v>
      </c>
      <c r="E391" s="29" t="s">
        <v>371</v>
      </c>
      <c r="F391" s="29" t="s">
        <v>372</v>
      </c>
      <c r="G391">
        <v>9</v>
      </c>
      <c r="H391" t="s">
        <v>323</v>
      </c>
      <c r="I391" t="s">
        <v>45</v>
      </c>
      <c r="J391" t="s">
        <v>325</v>
      </c>
      <c r="K391" t="s">
        <v>285</v>
      </c>
      <c r="L391" t="s">
        <v>327</v>
      </c>
    </row>
    <row r="392" spans="1:12">
      <c r="A392" t="s">
        <v>318</v>
      </c>
      <c r="B392" t="s">
        <v>319</v>
      </c>
      <c r="C392" t="s">
        <v>674</v>
      </c>
      <c r="D392" s="28">
        <v>7610900071569</v>
      </c>
      <c r="E392" s="29" t="s">
        <v>371</v>
      </c>
      <c r="F392" s="29" t="s">
        <v>372</v>
      </c>
      <c r="G392">
        <v>10</v>
      </c>
      <c r="H392" t="s">
        <v>323</v>
      </c>
      <c r="I392" t="s">
        <v>45</v>
      </c>
      <c r="J392" t="s">
        <v>325</v>
      </c>
      <c r="K392" t="s">
        <v>285</v>
      </c>
      <c r="L392" t="s">
        <v>327</v>
      </c>
    </row>
    <row r="393" spans="1:12">
      <c r="A393" t="s">
        <v>318</v>
      </c>
      <c r="B393" t="s">
        <v>319</v>
      </c>
      <c r="C393" t="s">
        <v>675</v>
      </c>
      <c r="D393" s="28">
        <v>7610900071718</v>
      </c>
      <c r="E393" s="29" t="s">
        <v>529</v>
      </c>
      <c r="F393" s="29" t="s">
        <v>372</v>
      </c>
      <c r="G393">
        <v>15</v>
      </c>
      <c r="H393" t="s">
        <v>323</v>
      </c>
      <c r="I393" t="s">
        <v>45</v>
      </c>
      <c r="J393" t="s">
        <v>325</v>
      </c>
      <c r="K393" t="s">
        <v>285</v>
      </c>
      <c r="L393" t="s">
        <v>327</v>
      </c>
    </row>
    <row r="394" spans="1:12">
      <c r="A394" t="s">
        <v>318</v>
      </c>
      <c r="B394" t="s">
        <v>319</v>
      </c>
      <c r="C394" t="s">
        <v>676</v>
      </c>
      <c r="D394" s="28">
        <v>7610900112771</v>
      </c>
      <c r="E394" s="29" t="s">
        <v>363</v>
      </c>
      <c r="F394" s="29" t="s">
        <v>364</v>
      </c>
      <c r="G394">
        <v>143</v>
      </c>
      <c r="H394" t="s">
        <v>323</v>
      </c>
      <c r="I394" t="s">
        <v>45</v>
      </c>
      <c r="J394" t="s">
        <v>325</v>
      </c>
      <c r="K394" t="s">
        <v>365</v>
      </c>
      <c r="L394" t="s">
        <v>327</v>
      </c>
    </row>
    <row r="395" spans="1:12">
      <c r="A395" t="s">
        <v>318</v>
      </c>
      <c r="B395" t="s">
        <v>319</v>
      </c>
      <c r="C395" t="s">
        <v>677</v>
      </c>
      <c r="D395" s="28">
        <v>761091148409</v>
      </c>
      <c r="E395" s="29" t="s">
        <v>363</v>
      </c>
      <c r="F395" s="29" t="s">
        <v>364</v>
      </c>
      <c r="G395">
        <v>93</v>
      </c>
      <c r="H395" t="s">
        <v>323</v>
      </c>
      <c r="I395" t="s">
        <v>45</v>
      </c>
      <c r="J395" t="s">
        <v>325</v>
      </c>
      <c r="K395" t="s">
        <v>365</v>
      </c>
      <c r="L395" t="s">
        <v>327</v>
      </c>
    </row>
    <row r="396" spans="1:12">
      <c r="A396" t="s">
        <v>318</v>
      </c>
      <c r="B396" t="s">
        <v>319</v>
      </c>
      <c r="C396" t="s">
        <v>678</v>
      </c>
      <c r="D396" s="28">
        <v>7610900056704</v>
      </c>
      <c r="E396" s="29" t="s">
        <v>371</v>
      </c>
      <c r="F396" s="29" t="s">
        <v>372</v>
      </c>
      <c r="G396">
        <v>8</v>
      </c>
      <c r="H396" t="s">
        <v>323</v>
      </c>
      <c r="I396" t="s">
        <v>45</v>
      </c>
      <c r="J396" t="s">
        <v>325</v>
      </c>
      <c r="K396" t="s">
        <v>285</v>
      </c>
      <c r="L396" t="s">
        <v>327</v>
      </c>
    </row>
    <row r="397" spans="1:12">
      <c r="A397" t="s">
        <v>318</v>
      </c>
      <c r="B397" t="s">
        <v>319</v>
      </c>
      <c r="C397" t="s">
        <v>679</v>
      </c>
      <c r="D397" s="28">
        <v>7610900056715</v>
      </c>
      <c r="E397" s="29" t="s">
        <v>371</v>
      </c>
      <c r="F397" s="29" t="s">
        <v>372</v>
      </c>
      <c r="G397">
        <v>12</v>
      </c>
      <c r="H397" t="s">
        <v>323</v>
      </c>
      <c r="I397" t="s">
        <v>45</v>
      </c>
      <c r="J397" t="s">
        <v>325</v>
      </c>
      <c r="K397" t="s">
        <v>285</v>
      </c>
      <c r="L397" t="s">
        <v>327</v>
      </c>
    </row>
    <row r="398" spans="1:12">
      <c r="A398" t="s">
        <v>318</v>
      </c>
      <c r="B398" t="s">
        <v>319</v>
      </c>
      <c r="C398" t="s">
        <v>680</v>
      </c>
      <c r="D398" s="28">
        <v>7610900056722</v>
      </c>
      <c r="E398" s="29" t="s">
        <v>371</v>
      </c>
      <c r="F398" s="29" t="s">
        <v>372</v>
      </c>
      <c r="G398">
        <v>10</v>
      </c>
      <c r="H398" t="s">
        <v>323</v>
      </c>
      <c r="I398" t="s">
        <v>45</v>
      </c>
      <c r="J398" t="s">
        <v>325</v>
      </c>
      <c r="K398" t="s">
        <v>285</v>
      </c>
      <c r="L398" t="s">
        <v>327</v>
      </c>
    </row>
    <row r="399" spans="1:12">
      <c r="A399" t="s">
        <v>318</v>
      </c>
      <c r="B399" t="s">
        <v>319</v>
      </c>
      <c r="C399" t="s">
        <v>681</v>
      </c>
      <c r="D399" s="28">
        <v>7610900056724</v>
      </c>
      <c r="E399" s="29" t="s">
        <v>371</v>
      </c>
      <c r="F399" s="29" t="s">
        <v>372</v>
      </c>
      <c r="G399">
        <v>13</v>
      </c>
      <c r="H399" t="s">
        <v>323</v>
      </c>
      <c r="I399" t="s">
        <v>45</v>
      </c>
      <c r="J399" t="s">
        <v>325</v>
      </c>
      <c r="K399" t="s">
        <v>285</v>
      </c>
      <c r="L399" t="s">
        <v>327</v>
      </c>
    </row>
    <row r="400" spans="1:12">
      <c r="A400" t="s">
        <v>318</v>
      </c>
      <c r="B400" t="s">
        <v>319</v>
      </c>
      <c r="C400" t="s">
        <v>682</v>
      </c>
      <c r="D400" s="28">
        <v>7610900056727</v>
      </c>
      <c r="E400" s="29" t="s">
        <v>371</v>
      </c>
      <c r="F400" s="29" t="s">
        <v>372</v>
      </c>
      <c r="G400">
        <v>3</v>
      </c>
      <c r="H400" t="s">
        <v>323</v>
      </c>
      <c r="I400" t="s">
        <v>45</v>
      </c>
      <c r="J400" t="s">
        <v>325</v>
      </c>
      <c r="K400" t="s">
        <v>285</v>
      </c>
      <c r="L400" t="s">
        <v>327</v>
      </c>
    </row>
    <row r="401" spans="1:12">
      <c r="A401" t="s">
        <v>318</v>
      </c>
      <c r="B401" t="s">
        <v>319</v>
      </c>
      <c r="C401" t="s">
        <v>683</v>
      </c>
      <c r="D401" s="28">
        <v>7610900056733</v>
      </c>
      <c r="E401" s="29" t="s">
        <v>371</v>
      </c>
      <c r="F401" s="29" t="s">
        <v>372</v>
      </c>
      <c r="G401">
        <v>8</v>
      </c>
      <c r="H401" t="s">
        <v>323</v>
      </c>
      <c r="I401" t="s">
        <v>45</v>
      </c>
      <c r="J401" t="s">
        <v>325</v>
      </c>
      <c r="K401" t="s">
        <v>285</v>
      </c>
      <c r="L401" t="s">
        <v>327</v>
      </c>
    </row>
    <row r="402" spans="1:12">
      <c r="A402" t="s">
        <v>318</v>
      </c>
      <c r="B402" t="s">
        <v>319</v>
      </c>
      <c r="C402" t="s">
        <v>684</v>
      </c>
      <c r="D402" s="28">
        <v>7610900056739</v>
      </c>
      <c r="E402" s="29" t="s">
        <v>371</v>
      </c>
      <c r="F402" s="29" t="s">
        <v>372</v>
      </c>
      <c r="G402">
        <v>13</v>
      </c>
      <c r="H402" t="s">
        <v>323</v>
      </c>
      <c r="I402" t="s">
        <v>45</v>
      </c>
      <c r="J402" t="s">
        <v>325</v>
      </c>
      <c r="K402" t="s">
        <v>285</v>
      </c>
      <c r="L402" t="s">
        <v>327</v>
      </c>
    </row>
    <row r="403" spans="1:12">
      <c r="A403" t="s">
        <v>318</v>
      </c>
      <c r="B403" t="s">
        <v>319</v>
      </c>
      <c r="C403" t="s">
        <v>685</v>
      </c>
      <c r="D403" s="28">
        <v>7610900056743</v>
      </c>
      <c r="E403" s="29" t="s">
        <v>371</v>
      </c>
      <c r="F403" s="29" t="s">
        <v>372</v>
      </c>
      <c r="G403">
        <v>6</v>
      </c>
      <c r="H403" t="s">
        <v>323</v>
      </c>
      <c r="I403" t="s">
        <v>45</v>
      </c>
      <c r="J403" t="s">
        <v>325</v>
      </c>
      <c r="K403" t="s">
        <v>285</v>
      </c>
      <c r="L403" t="s">
        <v>327</v>
      </c>
    </row>
    <row r="404" spans="1:12">
      <c r="A404" t="s">
        <v>318</v>
      </c>
      <c r="B404" t="s">
        <v>319</v>
      </c>
      <c r="C404" t="s">
        <v>686</v>
      </c>
      <c r="D404" s="28">
        <v>7610900056747</v>
      </c>
      <c r="E404" s="29" t="s">
        <v>371</v>
      </c>
      <c r="F404" s="29" t="s">
        <v>372</v>
      </c>
      <c r="G404">
        <v>13</v>
      </c>
      <c r="H404" t="s">
        <v>323</v>
      </c>
      <c r="I404" t="s">
        <v>45</v>
      </c>
      <c r="J404" t="s">
        <v>325</v>
      </c>
      <c r="K404" t="s">
        <v>285</v>
      </c>
      <c r="L404" t="s">
        <v>327</v>
      </c>
    </row>
    <row r="405" spans="1:12">
      <c r="A405" t="s">
        <v>318</v>
      </c>
      <c r="B405" t="s">
        <v>319</v>
      </c>
      <c r="C405" t="s">
        <v>687</v>
      </c>
      <c r="D405" s="28">
        <v>7610900056753</v>
      </c>
      <c r="E405" s="29" t="s">
        <v>371</v>
      </c>
      <c r="F405" s="29" t="s">
        <v>372</v>
      </c>
      <c r="G405">
        <v>8</v>
      </c>
      <c r="H405" t="s">
        <v>323</v>
      </c>
      <c r="I405" t="s">
        <v>45</v>
      </c>
      <c r="J405" t="s">
        <v>325</v>
      </c>
      <c r="K405" t="s">
        <v>285</v>
      </c>
      <c r="L405" t="s">
        <v>327</v>
      </c>
    </row>
    <row r="406" spans="1:12">
      <c r="A406" t="s">
        <v>318</v>
      </c>
      <c r="B406" t="s">
        <v>319</v>
      </c>
      <c r="C406" t="s">
        <v>688</v>
      </c>
      <c r="D406" s="28">
        <v>7610900099870</v>
      </c>
      <c r="E406" s="29" t="s">
        <v>371</v>
      </c>
      <c r="F406" s="29" t="s">
        <v>372</v>
      </c>
      <c r="G406">
        <v>4</v>
      </c>
      <c r="H406" t="s">
        <v>323</v>
      </c>
      <c r="I406" t="s">
        <v>45</v>
      </c>
      <c r="J406" t="s">
        <v>325</v>
      </c>
      <c r="K406" t="s">
        <v>285</v>
      </c>
      <c r="L406" t="s">
        <v>327</v>
      </c>
    </row>
    <row r="407" spans="1:12">
      <c r="A407" t="s">
        <v>318</v>
      </c>
      <c r="B407" t="s">
        <v>319</v>
      </c>
      <c r="C407" t="s">
        <v>689</v>
      </c>
      <c r="D407" s="28">
        <v>7610900099888</v>
      </c>
      <c r="E407" s="29" t="s">
        <v>371</v>
      </c>
      <c r="F407" s="29" t="s">
        <v>372</v>
      </c>
      <c r="G407">
        <v>9</v>
      </c>
      <c r="H407" t="s">
        <v>323</v>
      </c>
      <c r="I407" t="s">
        <v>45</v>
      </c>
      <c r="J407" t="s">
        <v>325</v>
      </c>
      <c r="K407" t="s">
        <v>285</v>
      </c>
      <c r="L407" t="s">
        <v>327</v>
      </c>
    </row>
    <row r="408" spans="1:12">
      <c r="A408" t="s">
        <v>318</v>
      </c>
      <c r="B408" t="s">
        <v>319</v>
      </c>
      <c r="C408" t="s">
        <v>690</v>
      </c>
      <c r="D408" s="28">
        <v>7610900068878</v>
      </c>
      <c r="E408" s="29" t="s">
        <v>371</v>
      </c>
      <c r="F408" s="29" t="s">
        <v>372</v>
      </c>
      <c r="G408">
        <v>12</v>
      </c>
      <c r="H408" t="s">
        <v>323</v>
      </c>
      <c r="I408" t="s">
        <v>45</v>
      </c>
      <c r="J408" t="s">
        <v>325</v>
      </c>
      <c r="K408" t="s">
        <v>285</v>
      </c>
      <c r="L408" t="s">
        <v>327</v>
      </c>
    </row>
    <row r="409" spans="1:12">
      <c r="A409" t="s">
        <v>318</v>
      </c>
      <c r="B409" t="s">
        <v>319</v>
      </c>
      <c r="C409" t="s">
        <v>511</v>
      </c>
      <c r="D409" s="28">
        <v>7610900069367</v>
      </c>
      <c r="E409" s="29" t="s">
        <v>371</v>
      </c>
      <c r="F409" s="29" t="s">
        <v>372</v>
      </c>
      <c r="G409">
        <v>4</v>
      </c>
      <c r="H409" t="s">
        <v>323</v>
      </c>
      <c r="I409" t="s">
        <v>45</v>
      </c>
      <c r="J409" t="s">
        <v>325</v>
      </c>
      <c r="K409" t="s">
        <v>285</v>
      </c>
      <c r="L409" t="s">
        <v>327</v>
      </c>
    </row>
    <row r="410" spans="1:12">
      <c r="A410" t="s">
        <v>318</v>
      </c>
      <c r="B410" t="s">
        <v>319</v>
      </c>
      <c r="C410" t="s">
        <v>598</v>
      </c>
      <c r="D410" s="28">
        <v>7610900069374</v>
      </c>
      <c r="E410" s="29" t="s">
        <v>371</v>
      </c>
      <c r="F410" s="29" t="s">
        <v>372</v>
      </c>
      <c r="G410">
        <v>5</v>
      </c>
      <c r="H410" t="s">
        <v>323</v>
      </c>
      <c r="I410" t="s">
        <v>45</v>
      </c>
      <c r="J410" t="s">
        <v>325</v>
      </c>
      <c r="K410" t="s">
        <v>285</v>
      </c>
      <c r="L410" t="s">
        <v>327</v>
      </c>
    </row>
    <row r="411" spans="1:12">
      <c r="A411" t="s">
        <v>318</v>
      </c>
      <c r="B411" t="s">
        <v>319</v>
      </c>
      <c r="C411" t="s">
        <v>691</v>
      </c>
      <c r="D411" s="28">
        <v>7610900069377</v>
      </c>
      <c r="E411" s="29" t="s">
        <v>371</v>
      </c>
      <c r="F411" s="29" t="s">
        <v>372</v>
      </c>
      <c r="G411">
        <v>7</v>
      </c>
      <c r="H411" t="s">
        <v>323</v>
      </c>
      <c r="I411" t="s">
        <v>45</v>
      </c>
      <c r="J411" t="s">
        <v>325</v>
      </c>
      <c r="K411" t="s">
        <v>285</v>
      </c>
      <c r="L411" t="s">
        <v>327</v>
      </c>
    </row>
    <row r="412" spans="1:12">
      <c r="A412" t="s">
        <v>318</v>
      </c>
      <c r="B412" t="s">
        <v>319</v>
      </c>
      <c r="C412" t="s">
        <v>692</v>
      </c>
      <c r="D412" s="28">
        <v>7610900069378</v>
      </c>
      <c r="E412" s="29" t="s">
        <v>371</v>
      </c>
      <c r="F412" s="29" t="s">
        <v>372</v>
      </c>
      <c r="G412">
        <v>3</v>
      </c>
      <c r="H412" t="s">
        <v>323</v>
      </c>
      <c r="I412" t="s">
        <v>45</v>
      </c>
      <c r="J412" t="s">
        <v>325</v>
      </c>
      <c r="K412" t="s">
        <v>285</v>
      </c>
      <c r="L412" t="s">
        <v>327</v>
      </c>
    </row>
    <row r="413" spans="1:12">
      <c r="A413" t="s">
        <v>318</v>
      </c>
      <c r="B413" t="s">
        <v>319</v>
      </c>
      <c r="C413" t="s">
        <v>693</v>
      </c>
      <c r="D413" s="28">
        <v>7610900069379</v>
      </c>
      <c r="E413" s="29" t="s">
        <v>371</v>
      </c>
      <c r="F413" s="29" t="s">
        <v>372</v>
      </c>
      <c r="G413">
        <v>8</v>
      </c>
      <c r="H413" t="s">
        <v>323</v>
      </c>
      <c r="I413" t="s">
        <v>45</v>
      </c>
      <c r="J413" t="s">
        <v>325</v>
      </c>
      <c r="K413" t="s">
        <v>285</v>
      </c>
      <c r="L413" t="s">
        <v>327</v>
      </c>
    </row>
    <row r="414" spans="1:12">
      <c r="A414" t="s">
        <v>318</v>
      </c>
      <c r="B414" t="s">
        <v>319</v>
      </c>
      <c r="C414" t="s">
        <v>694</v>
      </c>
      <c r="D414" s="28">
        <v>7610900069381</v>
      </c>
      <c r="E414" s="29" t="s">
        <v>371</v>
      </c>
      <c r="F414" s="29" t="s">
        <v>372</v>
      </c>
      <c r="G414">
        <v>10</v>
      </c>
      <c r="H414" t="s">
        <v>323</v>
      </c>
      <c r="I414" t="s">
        <v>45</v>
      </c>
      <c r="J414" t="s">
        <v>325</v>
      </c>
      <c r="K414" t="s">
        <v>285</v>
      </c>
      <c r="L414" t="s">
        <v>327</v>
      </c>
    </row>
    <row r="415" spans="1:12">
      <c r="A415" t="s">
        <v>318</v>
      </c>
      <c r="B415" t="s">
        <v>319</v>
      </c>
      <c r="C415" t="s">
        <v>695</v>
      </c>
      <c r="D415" s="28">
        <v>7610900069385</v>
      </c>
      <c r="E415" s="29" t="s">
        <v>371</v>
      </c>
      <c r="F415" s="29" t="s">
        <v>372</v>
      </c>
      <c r="G415">
        <v>11</v>
      </c>
      <c r="H415" t="s">
        <v>323</v>
      </c>
      <c r="I415" t="s">
        <v>45</v>
      </c>
      <c r="J415" t="s">
        <v>325</v>
      </c>
      <c r="K415" t="s">
        <v>285</v>
      </c>
      <c r="L415" t="s">
        <v>327</v>
      </c>
    </row>
    <row r="416" spans="1:12">
      <c r="A416" t="s">
        <v>318</v>
      </c>
      <c r="B416" t="s">
        <v>319</v>
      </c>
      <c r="C416" t="s">
        <v>696</v>
      </c>
      <c r="D416" s="28">
        <v>7610900069388</v>
      </c>
      <c r="E416" s="29" t="s">
        <v>529</v>
      </c>
      <c r="F416" s="29" t="s">
        <v>372</v>
      </c>
      <c r="G416">
        <v>15</v>
      </c>
      <c r="H416" t="s">
        <v>323</v>
      </c>
      <c r="I416" t="s">
        <v>45</v>
      </c>
      <c r="J416" t="s">
        <v>325</v>
      </c>
      <c r="K416" t="s">
        <v>285</v>
      </c>
      <c r="L416" t="s">
        <v>327</v>
      </c>
    </row>
    <row r="417" spans="1:12">
      <c r="A417" t="s">
        <v>318</v>
      </c>
      <c r="B417" t="s">
        <v>319</v>
      </c>
      <c r="C417" t="s">
        <v>448</v>
      </c>
      <c r="D417" s="28">
        <v>7610900069389</v>
      </c>
      <c r="E417" s="29" t="s">
        <v>371</v>
      </c>
      <c r="F417" s="29" t="s">
        <v>372</v>
      </c>
      <c r="G417">
        <v>6</v>
      </c>
      <c r="H417" t="s">
        <v>323</v>
      </c>
      <c r="I417" t="s">
        <v>45</v>
      </c>
      <c r="J417" t="s">
        <v>325</v>
      </c>
      <c r="K417" t="s">
        <v>285</v>
      </c>
      <c r="L417" t="s">
        <v>327</v>
      </c>
    </row>
    <row r="418" spans="1:12">
      <c r="A418" t="s">
        <v>318</v>
      </c>
      <c r="B418" t="s">
        <v>319</v>
      </c>
      <c r="C418" t="s">
        <v>697</v>
      </c>
      <c r="D418" s="28">
        <v>7610900069391</v>
      </c>
      <c r="E418" s="29" t="s">
        <v>371</v>
      </c>
      <c r="F418" s="29" t="s">
        <v>372</v>
      </c>
      <c r="G418">
        <v>7</v>
      </c>
      <c r="H418" t="s">
        <v>323</v>
      </c>
      <c r="I418" t="s">
        <v>45</v>
      </c>
      <c r="J418" t="s">
        <v>325</v>
      </c>
      <c r="K418" t="s">
        <v>285</v>
      </c>
      <c r="L418" t="s">
        <v>327</v>
      </c>
    </row>
    <row r="419" spans="1:12">
      <c r="A419" t="s">
        <v>318</v>
      </c>
      <c r="B419" t="s">
        <v>319</v>
      </c>
      <c r="C419" t="s">
        <v>379</v>
      </c>
      <c r="D419" s="28">
        <v>7610900069395</v>
      </c>
      <c r="E419" s="29" t="s">
        <v>371</v>
      </c>
      <c r="F419" s="29" t="s">
        <v>372</v>
      </c>
      <c r="G419">
        <v>8</v>
      </c>
      <c r="H419" t="s">
        <v>323</v>
      </c>
      <c r="I419" t="s">
        <v>45</v>
      </c>
      <c r="J419" t="s">
        <v>325</v>
      </c>
      <c r="K419" t="s">
        <v>285</v>
      </c>
      <c r="L419" t="s">
        <v>327</v>
      </c>
    </row>
    <row r="420" spans="1:12">
      <c r="A420" t="s">
        <v>318</v>
      </c>
      <c r="B420" t="s">
        <v>319</v>
      </c>
      <c r="C420" t="s">
        <v>698</v>
      </c>
      <c r="D420" s="28">
        <v>7610900069399</v>
      </c>
      <c r="E420" s="29" t="s">
        <v>529</v>
      </c>
      <c r="F420" s="29" t="s">
        <v>372</v>
      </c>
      <c r="G420">
        <v>15</v>
      </c>
      <c r="H420" t="s">
        <v>323</v>
      </c>
      <c r="I420" t="s">
        <v>45</v>
      </c>
      <c r="J420" t="s">
        <v>325</v>
      </c>
      <c r="K420" t="s">
        <v>285</v>
      </c>
      <c r="L420" t="s">
        <v>327</v>
      </c>
    </row>
    <row r="421" spans="1:12">
      <c r="A421" t="s">
        <v>318</v>
      </c>
      <c r="B421" t="s">
        <v>319</v>
      </c>
      <c r="C421" t="s">
        <v>699</v>
      </c>
      <c r="D421" s="28">
        <v>7610900069401</v>
      </c>
      <c r="E421" s="29" t="s">
        <v>371</v>
      </c>
      <c r="F421" s="29" t="s">
        <v>372</v>
      </c>
      <c r="G421">
        <v>8</v>
      </c>
      <c r="H421" t="s">
        <v>323</v>
      </c>
      <c r="I421" t="s">
        <v>45</v>
      </c>
      <c r="J421" t="s">
        <v>325</v>
      </c>
      <c r="K421" t="s">
        <v>285</v>
      </c>
      <c r="L421" t="s">
        <v>327</v>
      </c>
    </row>
    <row r="422" spans="1:12">
      <c r="A422" t="s">
        <v>318</v>
      </c>
      <c r="B422" t="s">
        <v>319</v>
      </c>
      <c r="C422" t="s">
        <v>700</v>
      </c>
      <c r="D422" s="28">
        <v>7610900069408</v>
      </c>
      <c r="E422" s="29" t="s">
        <v>371</v>
      </c>
      <c r="F422" s="29" t="s">
        <v>372</v>
      </c>
      <c r="G422">
        <v>6</v>
      </c>
      <c r="H422" t="s">
        <v>323</v>
      </c>
      <c r="I422" t="s">
        <v>45</v>
      </c>
      <c r="J422" t="s">
        <v>325</v>
      </c>
      <c r="K422" t="s">
        <v>285</v>
      </c>
      <c r="L422" t="s">
        <v>327</v>
      </c>
    </row>
    <row r="423" spans="1:12">
      <c r="A423" t="s">
        <v>318</v>
      </c>
      <c r="B423" t="s">
        <v>319</v>
      </c>
      <c r="C423" t="s">
        <v>701</v>
      </c>
      <c r="D423" s="28">
        <v>7610900069409</v>
      </c>
      <c r="E423" s="29" t="s">
        <v>371</v>
      </c>
      <c r="F423" s="29" t="s">
        <v>372</v>
      </c>
      <c r="G423">
        <v>312</v>
      </c>
      <c r="H423" t="s">
        <v>323</v>
      </c>
      <c r="I423" t="s">
        <v>45</v>
      </c>
      <c r="J423" t="s">
        <v>325</v>
      </c>
      <c r="K423" t="s">
        <v>285</v>
      </c>
      <c r="L423" t="s">
        <v>327</v>
      </c>
    </row>
    <row r="424" spans="1:12">
      <c r="A424" t="s">
        <v>318</v>
      </c>
      <c r="B424" t="s">
        <v>319</v>
      </c>
      <c r="C424" t="s">
        <v>702</v>
      </c>
      <c r="D424" s="28">
        <v>7610900069412</v>
      </c>
      <c r="E424" s="29" t="s">
        <v>371</v>
      </c>
      <c r="F424" s="29" t="s">
        <v>372</v>
      </c>
      <c r="G424">
        <v>8</v>
      </c>
      <c r="H424" t="s">
        <v>323</v>
      </c>
      <c r="I424" t="s">
        <v>45</v>
      </c>
      <c r="J424" t="s">
        <v>325</v>
      </c>
      <c r="K424" t="s">
        <v>285</v>
      </c>
      <c r="L424" t="s">
        <v>327</v>
      </c>
    </row>
    <row r="425" spans="1:12">
      <c r="A425" t="s">
        <v>318</v>
      </c>
      <c r="B425" t="s">
        <v>319</v>
      </c>
      <c r="C425" t="s">
        <v>703</v>
      </c>
      <c r="D425" s="28">
        <v>7610900069416</v>
      </c>
      <c r="E425" s="29" t="s">
        <v>371</v>
      </c>
      <c r="F425" s="29" t="s">
        <v>372</v>
      </c>
      <c r="G425">
        <v>6</v>
      </c>
      <c r="H425" t="s">
        <v>323</v>
      </c>
      <c r="I425" t="s">
        <v>45</v>
      </c>
      <c r="J425" t="s">
        <v>325</v>
      </c>
      <c r="K425" t="s">
        <v>285</v>
      </c>
      <c r="L425" t="s">
        <v>327</v>
      </c>
    </row>
    <row r="426" spans="1:12">
      <c r="A426" t="s">
        <v>318</v>
      </c>
      <c r="B426" t="s">
        <v>319</v>
      </c>
      <c r="C426" t="s">
        <v>704</v>
      </c>
      <c r="D426" s="28">
        <v>7610900069419</v>
      </c>
      <c r="E426" s="29" t="s">
        <v>371</v>
      </c>
      <c r="F426" s="29" t="s">
        <v>372</v>
      </c>
      <c r="G426">
        <v>6</v>
      </c>
      <c r="H426" t="s">
        <v>323</v>
      </c>
      <c r="I426" t="s">
        <v>45</v>
      </c>
      <c r="J426" t="s">
        <v>325</v>
      </c>
      <c r="K426" t="s">
        <v>285</v>
      </c>
      <c r="L426" t="s">
        <v>327</v>
      </c>
    </row>
    <row r="427" spans="1:12">
      <c r="A427" t="s">
        <v>318</v>
      </c>
      <c r="B427" t="s">
        <v>319</v>
      </c>
      <c r="C427" t="s">
        <v>705</v>
      </c>
      <c r="D427" s="28">
        <v>7610900069424</v>
      </c>
      <c r="E427" s="29" t="s">
        <v>371</v>
      </c>
      <c r="F427" s="29" t="s">
        <v>372</v>
      </c>
      <c r="G427">
        <v>5</v>
      </c>
      <c r="H427" t="s">
        <v>323</v>
      </c>
      <c r="I427" t="s">
        <v>45</v>
      </c>
      <c r="J427" t="s">
        <v>325</v>
      </c>
      <c r="K427" t="s">
        <v>285</v>
      </c>
      <c r="L427" t="s">
        <v>327</v>
      </c>
    </row>
    <row r="428" spans="1:12">
      <c r="A428" t="s">
        <v>318</v>
      </c>
      <c r="B428" t="s">
        <v>319</v>
      </c>
      <c r="C428" t="s">
        <v>351</v>
      </c>
      <c r="D428" s="28">
        <v>7610900069425</v>
      </c>
      <c r="E428" s="29" t="s">
        <v>371</v>
      </c>
      <c r="F428" s="29" t="s">
        <v>372</v>
      </c>
      <c r="G428">
        <v>7</v>
      </c>
      <c r="H428" t="s">
        <v>323</v>
      </c>
      <c r="I428" t="s">
        <v>45</v>
      </c>
      <c r="J428" t="s">
        <v>325</v>
      </c>
      <c r="K428" t="s">
        <v>285</v>
      </c>
      <c r="L428" t="s">
        <v>327</v>
      </c>
    </row>
    <row r="429" spans="1:12">
      <c r="A429" t="s">
        <v>318</v>
      </c>
      <c r="B429" t="s">
        <v>319</v>
      </c>
      <c r="C429" t="s">
        <v>706</v>
      </c>
      <c r="D429" s="28">
        <v>7610900069429</v>
      </c>
      <c r="E429" s="29" t="s">
        <v>371</v>
      </c>
      <c r="F429" s="29" t="s">
        <v>372</v>
      </c>
      <c r="G429">
        <v>312</v>
      </c>
      <c r="H429" t="s">
        <v>323</v>
      </c>
      <c r="I429" t="s">
        <v>45</v>
      </c>
      <c r="J429" t="s">
        <v>325</v>
      </c>
      <c r="K429" t="s">
        <v>285</v>
      </c>
      <c r="L429" t="s">
        <v>327</v>
      </c>
    </row>
    <row r="430" spans="1:12">
      <c r="A430" t="s">
        <v>318</v>
      </c>
      <c r="B430" t="s">
        <v>319</v>
      </c>
      <c r="C430" t="s">
        <v>707</v>
      </c>
      <c r="D430" s="28">
        <v>7610900111261</v>
      </c>
      <c r="E430" s="29" t="s">
        <v>371</v>
      </c>
      <c r="F430" s="29" t="s">
        <v>372</v>
      </c>
      <c r="G430">
        <v>6</v>
      </c>
      <c r="H430" t="s">
        <v>323</v>
      </c>
      <c r="I430" t="s">
        <v>45</v>
      </c>
      <c r="J430" t="s">
        <v>325</v>
      </c>
      <c r="K430" t="s">
        <v>285</v>
      </c>
      <c r="L430" t="s">
        <v>327</v>
      </c>
    </row>
    <row r="431" spans="1:12">
      <c r="A431" t="s">
        <v>318</v>
      </c>
      <c r="B431" t="s">
        <v>319</v>
      </c>
      <c r="C431" t="s">
        <v>708</v>
      </c>
      <c r="D431" s="28">
        <v>7610900111264</v>
      </c>
      <c r="E431" s="29" t="s">
        <v>371</v>
      </c>
      <c r="F431" s="29" t="s">
        <v>372</v>
      </c>
      <c r="G431">
        <v>6</v>
      </c>
      <c r="H431" t="s">
        <v>323</v>
      </c>
      <c r="I431" t="s">
        <v>45</v>
      </c>
      <c r="J431" t="s">
        <v>325</v>
      </c>
      <c r="K431" t="s">
        <v>285</v>
      </c>
      <c r="L431" t="s">
        <v>327</v>
      </c>
    </row>
    <row r="432" spans="1:12">
      <c r="A432" t="s">
        <v>318</v>
      </c>
      <c r="B432" t="s">
        <v>319</v>
      </c>
      <c r="C432" t="s">
        <v>351</v>
      </c>
      <c r="D432" s="28">
        <v>7610900096357</v>
      </c>
      <c r="E432" s="29" t="s">
        <v>371</v>
      </c>
      <c r="F432" s="29" t="s">
        <v>372</v>
      </c>
      <c r="G432">
        <v>11</v>
      </c>
      <c r="H432" t="s">
        <v>323</v>
      </c>
      <c r="I432" t="s">
        <v>45</v>
      </c>
      <c r="J432" t="s">
        <v>325</v>
      </c>
      <c r="K432" t="s">
        <v>285</v>
      </c>
      <c r="L432" t="s">
        <v>327</v>
      </c>
    </row>
    <row r="433" spans="1:12">
      <c r="A433" t="s">
        <v>318</v>
      </c>
      <c r="B433" t="s">
        <v>319</v>
      </c>
      <c r="C433" t="s">
        <v>709</v>
      </c>
      <c r="D433" s="28">
        <v>7610900096390</v>
      </c>
      <c r="E433" s="29" t="s">
        <v>371</v>
      </c>
      <c r="F433" s="29" t="s">
        <v>372</v>
      </c>
      <c r="G433">
        <v>13</v>
      </c>
      <c r="H433" t="s">
        <v>323</v>
      </c>
      <c r="I433" t="s">
        <v>45</v>
      </c>
      <c r="J433" t="s">
        <v>325</v>
      </c>
      <c r="K433" t="s">
        <v>285</v>
      </c>
      <c r="L433" t="s">
        <v>327</v>
      </c>
    </row>
    <row r="434" spans="1:12">
      <c r="A434" t="s">
        <v>318</v>
      </c>
      <c r="B434" t="s">
        <v>319</v>
      </c>
      <c r="C434" t="s">
        <v>710</v>
      </c>
      <c r="D434" s="28">
        <v>7610900096400</v>
      </c>
      <c r="E434" s="29" t="s">
        <v>371</v>
      </c>
      <c r="F434" s="29" t="s">
        <v>372</v>
      </c>
      <c r="G434">
        <v>13</v>
      </c>
      <c r="H434" t="s">
        <v>323</v>
      </c>
      <c r="I434" t="s">
        <v>45</v>
      </c>
      <c r="J434" t="s">
        <v>325</v>
      </c>
      <c r="K434" t="s">
        <v>285</v>
      </c>
      <c r="L434" t="s">
        <v>327</v>
      </c>
    </row>
    <row r="435" spans="1:12">
      <c r="A435" t="s">
        <v>318</v>
      </c>
      <c r="B435" t="s">
        <v>319</v>
      </c>
      <c r="C435" t="s">
        <v>711</v>
      </c>
      <c r="D435" s="28">
        <v>7610900096408</v>
      </c>
      <c r="E435" s="29" t="s">
        <v>371</v>
      </c>
      <c r="F435" s="29" t="s">
        <v>372</v>
      </c>
      <c r="G435">
        <v>13</v>
      </c>
      <c r="H435" t="s">
        <v>323</v>
      </c>
      <c r="I435" t="s">
        <v>45</v>
      </c>
      <c r="J435" t="s">
        <v>325</v>
      </c>
      <c r="K435" t="s">
        <v>285</v>
      </c>
      <c r="L435" t="s">
        <v>327</v>
      </c>
    </row>
    <row r="436" spans="1:12">
      <c r="A436" t="s">
        <v>318</v>
      </c>
      <c r="B436" t="s">
        <v>319</v>
      </c>
      <c r="C436" t="s">
        <v>712</v>
      </c>
      <c r="D436" s="28">
        <v>7610900096426</v>
      </c>
      <c r="E436" s="29" t="s">
        <v>371</v>
      </c>
      <c r="F436" s="29" t="s">
        <v>372</v>
      </c>
      <c r="G436">
        <v>13</v>
      </c>
      <c r="H436" t="s">
        <v>323</v>
      </c>
      <c r="I436" t="s">
        <v>45</v>
      </c>
      <c r="J436" t="s">
        <v>325</v>
      </c>
      <c r="K436" t="s">
        <v>285</v>
      </c>
      <c r="L436" t="s">
        <v>327</v>
      </c>
    </row>
    <row r="437" spans="1:12">
      <c r="A437" t="s">
        <v>318</v>
      </c>
      <c r="B437" t="s">
        <v>319</v>
      </c>
      <c r="C437" t="s">
        <v>713</v>
      </c>
      <c r="D437" s="28">
        <v>7610900096434</v>
      </c>
      <c r="E437" s="29" t="s">
        <v>371</v>
      </c>
      <c r="F437" s="29" t="s">
        <v>372</v>
      </c>
      <c r="G437">
        <v>9</v>
      </c>
      <c r="H437" t="s">
        <v>323</v>
      </c>
      <c r="I437" t="s">
        <v>45</v>
      </c>
      <c r="J437" t="s">
        <v>325</v>
      </c>
      <c r="K437" t="s">
        <v>285</v>
      </c>
      <c r="L437" t="s">
        <v>327</v>
      </c>
    </row>
    <row r="438" spans="1:12">
      <c r="A438" t="s">
        <v>318</v>
      </c>
      <c r="B438" t="s">
        <v>319</v>
      </c>
      <c r="C438" t="s">
        <v>714</v>
      </c>
      <c r="D438" s="28">
        <v>7610900096551</v>
      </c>
      <c r="E438" s="29" t="s">
        <v>371</v>
      </c>
      <c r="F438" s="29" t="s">
        <v>372</v>
      </c>
      <c r="G438">
        <v>13</v>
      </c>
      <c r="H438" t="s">
        <v>323</v>
      </c>
      <c r="I438" t="s">
        <v>45</v>
      </c>
      <c r="J438" t="s">
        <v>325</v>
      </c>
      <c r="K438" t="s">
        <v>285</v>
      </c>
      <c r="L438" t="s">
        <v>327</v>
      </c>
    </row>
    <row r="439" spans="1:12">
      <c r="A439" t="s">
        <v>318</v>
      </c>
      <c r="B439" t="s">
        <v>319</v>
      </c>
      <c r="C439" t="s">
        <v>715</v>
      </c>
      <c r="D439" s="28">
        <v>7610900096552</v>
      </c>
      <c r="E439" s="29" t="s">
        <v>371</v>
      </c>
      <c r="F439" s="29" t="s">
        <v>372</v>
      </c>
      <c r="G439">
        <v>7</v>
      </c>
      <c r="H439" t="s">
        <v>323</v>
      </c>
      <c r="I439" t="s">
        <v>45</v>
      </c>
      <c r="J439" t="s">
        <v>325</v>
      </c>
      <c r="K439" t="s">
        <v>285</v>
      </c>
      <c r="L439" t="s">
        <v>327</v>
      </c>
    </row>
    <row r="440" spans="1:12">
      <c r="A440" t="s">
        <v>318</v>
      </c>
      <c r="B440" t="s">
        <v>319</v>
      </c>
      <c r="C440" t="s">
        <v>571</v>
      </c>
      <c r="D440" s="28">
        <v>7610900096567</v>
      </c>
      <c r="E440" s="29" t="s">
        <v>371</v>
      </c>
      <c r="F440" s="29" t="s">
        <v>372</v>
      </c>
      <c r="G440">
        <v>13</v>
      </c>
      <c r="H440" t="s">
        <v>323</v>
      </c>
      <c r="I440" t="s">
        <v>45</v>
      </c>
      <c r="J440" t="s">
        <v>325</v>
      </c>
      <c r="K440" t="s">
        <v>285</v>
      </c>
      <c r="L440" t="s">
        <v>327</v>
      </c>
    </row>
    <row r="441" spans="1:12">
      <c r="A441" t="s">
        <v>318</v>
      </c>
      <c r="B441" t="s">
        <v>319</v>
      </c>
      <c r="C441" t="s">
        <v>351</v>
      </c>
      <c r="D441" s="28">
        <v>7610900096568</v>
      </c>
      <c r="E441" s="29" t="s">
        <v>371</v>
      </c>
      <c r="F441" s="29" t="s">
        <v>372</v>
      </c>
      <c r="G441">
        <v>12</v>
      </c>
      <c r="H441" t="s">
        <v>323</v>
      </c>
      <c r="I441" t="s">
        <v>45</v>
      </c>
      <c r="J441" t="s">
        <v>325</v>
      </c>
      <c r="K441" t="s">
        <v>285</v>
      </c>
      <c r="L441" t="s">
        <v>327</v>
      </c>
    </row>
    <row r="442" spans="1:12">
      <c r="A442" t="s">
        <v>318</v>
      </c>
      <c r="B442" t="s">
        <v>319</v>
      </c>
      <c r="C442" t="s">
        <v>490</v>
      </c>
      <c r="D442" s="28">
        <v>7610900096570</v>
      </c>
      <c r="E442" s="29" t="s">
        <v>371</v>
      </c>
      <c r="F442" s="29" t="s">
        <v>372</v>
      </c>
      <c r="G442">
        <v>8</v>
      </c>
      <c r="H442" t="s">
        <v>323</v>
      </c>
      <c r="I442" t="s">
        <v>45</v>
      </c>
      <c r="J442" t="s">
        <v>325</v>
      </c>
      <c r="K442" t="s">
        <v>285</v>
      </c>
      <c r="L442" t="s">
        <v>327</v>
      </c>
    </row>
    <row r="443" spans="1:12">
      <c r="A443" t="s">
        <v>318</v>
      </c>
      <c r="B443" t="s">
        <v>319</v>
      </c>
      <c r="C443" t="s">
        <v>716</v>
      </c>
      <c r="D443" s="28">
        <v>7610900096572</v>
      </c>
      <c r="E443" s="29" t="s">
        <v>371</v>
      </c>
      <c r="F443" s="29" t="s">
        <v>372</v>
      </c>
      <c r="G443">
        <v>8</v>
      </c>
      <c r="H443" t="s">
        <v>323</v>
      </c>
      <c r="I443" t="s">
        <v>45</v>
      </c>
      <c r="J443" t="s">
        <v>325</v>
      </c>
      <c r="K443" t="s">
        <v>285</v>
      </c>
      <c r="L443" t="s">
        <v>327</v>
      </c>
    </row>
    <row r="444" spans="1:12">
      <c r="A444" t="s">
        <v>318</v>
      </c>
      <c r="B444" t="s">
        <v>319</v>
      </c>
      <c r="C444" t="s">
        <v>564</v>
      </c>
      <c r="D444" s="28">
        <v>7610900096577</v>
      </c>
      <c r="E444" s="29" t="s">
        <v>371</v>
      </c>
      <c r="F444" s="29" t="s">
        <v>372</v>
      </c>
      <c r="G444">
        <v>10</v>
      </c>
      <c r="H444" t="s">
        <v>323</v>
      </c>
      <c r="I444" t="s">
        <v>45</v>
      </c>
      <c r="J444" t="s">
        <v>325</v>
      </c>
      <c r="K444" t="s">
        <v>285</v>
      </c>
      <c r="L444" t="s">
        <v>327</v>
      </c>
    </row>
    <row r="445" spans="1:12">
      <c r="A445" t="s">
        <v>318</v>
      </c>
      <c r="B445" t="s">
        <v>319</v>
      </c>
      <c r="C445" t="s">
        <v>717</v>
      </c>
      <c r="D445" s="28">
        <v>7610900096579</v>
      </c>
      <c r="E445" s="29" t="s">
        <v>371</v>
      </c>
      <c r="F445" s="29" t="s">
        <v>372</v>
      </c>
      <c r="G445">
        <v>10</v>
      </c>
      <c r="H445" t="s">
        <v>323</v>
      </c>
      <c r="I445" t="s">
        <v>45</v>
      </c>
      <c r="J445" t="s">
        <v>325</v>
      </c>
      <c r="K445" t="s">
        <v>285</v>
      </c>
      <c r="L445" t="s">
        <v>327</v>
      </c>
    </row>
    <row r="446" spans="1:12">
      <c r="A446" t="s">
        <v>318</v>
      </c>
      <c r="B446" t="s">
        <v>319</v>
      </c>
      <c r="C446" t="s">
        <v>718</v>
      </c>
      <c r="D446" s="28">
        <v>7610900096596</v>
      </c>
      <c r="E446" s="29" t="s">
        <v>371</v>
      </c>
      <c r="F446" s="29" t="s">
        <v>372</v>
      </c>
      <c r="G446">
        <v>7</v>
      </c>
      <c r="H446" t="s">
        <v>323</v>
      </c>
      <c r="I446" t="s">
        <v>45</v>
      </c>
      <c r="J446" t="s">
        <v>325</v>
      </c>
      <c r="K446" t="s">
        <v>285</v>
      </c>
      <c r="L446" t="s">
        <v>327</v>
      </c>
    </row>
    <row r="447" spans="1:12">
      <c r="A447" t="s">
        <v>318</v>
      </c>
      <c r="B447" t="s">
        <v>319</v>
      </c>
      <c r="C447" t="s">
        <v>719</v>
      </c>
      <c r="D447" s="28">
        <v>7610900096598</v>
      </c>
      <c r="E447" s="29" t="s">
        <v>371</v>
      </c>
      <c r="F447" s="29" t="s">
        <v>372</v>
      </c>
      <c r="G447">
        <v>11</v>
      </c>
      <c r="H447" t="s">
        <v>323</v>
      </c>
      <c r="I447" t="s">
        <v>45</v>
      </c>
      <c r="J447" t="s">
        <v>325</v>
      </c>
      <c r="K447" t="s">
        <v>285</v>
      </c>
      <c r="L447" t="s">
        <v>327</v>
      </c>
    </row>
    <row r="448" spans="1:12">
      <c r="A448" t="s">
        <v>318</v>
      </c>
      <c r="B448" t="s">
        <v>319</v>
      </c>
      <c r="C448" t="s">
        <v>710</v>
      </c>
      <c r="D448" s="28">
        <v>7610900096602</v>
      </c>
      <c r="E448" s="29" t="s">
        <v>371</v>
      </c>
      <c r="F448" s="29" t="s">
        <v>372</v>
      </c>
      <c r="G448">
        <v>9</v>
      </c>
      <c r="H448" t="s">
        <v>323</v>
      </c>
      <c r="I448" t="s">
        <v>45</v>
      </c>
      <c r="J448" t="s">
        <v>325</v>
      </c>
      <c r="K448" t="s">
        <v>285</v>
      </c>
      <c r="L448" t="s">
        <v>327</v>
      </c>
    </row>
    <row r="449" spans="1:12">
      <c r="A449" t="s">
        <v>318</v>
      </c>
      <c r="B449" t="s">
        <v>319</v>
      </c>
      <c r="C449" t="s">
        <v>720</v>
      </c>
      <c r="D449" s="28">
        <v>7610900096604</v>
      </c>
      <c r="E449" s="29" t="s">
        <v>371</v>
      </c>
      <c r="F449" s="29" t="s">
        <v>372</v>
      </c>
      <c r="G449">
        <v>11</v>
      </c>
      <c r="H449" t="s">
        <v>323</v>
      </c>
      <c r="I449" t="s">
        <v>45</v>
      </c>
      <c r="J449" t="s">
        <v>325</v>
      </c>
      <c r="K449" t="s">
        <v>285</v>
      </c>
      <c r="L449" t="s">
        <v>327</v>
      </c>
    </row>
    <row r="450" spans="1:12">
      <c r="A450" t="s">
        <v>318</v>
      </c>
      <c r="B450" t="s">
        <v>319</v>
      </c>
      <c r="C450" t="s">
        <v>564</v>
      </c>
      <c r="D450" s="28">
        <v>7610900096608</v>
      </c>
      <c r="E450" s="29" t="s">
        <v>371</v>
      </c>
      <c r="F450" s="29" t="s">
        <v>372</v>
      </c>
      <c r="G450">
        <v>9</v>
      </c>
      <c r="H450" t="s">
        <v>323</v>
      </c>
      <c r="I450" t="s">
        <v>45</v>
      </c>
      <c r="J450" t="s">
        <v>325</v>
      </c>
      <c r="K450" t="s">
        <v>285</v>
      </c>
      <c r="L450" t="s">
        <v>327</v>
      </c>
    </row>
    <row r="451" spans="1:12">
      <c r="A451" t="s">
        <v>318</v>
      </c>
      <c r="B451" t="s">
        <v>319</v>
      </c>
      <c r="C451" t="s">
        <v>721</v>
      </c>
      <c r="D451" s="28">
        <v>7610900096611</v>
      </c>
      <c r="E451" s="29" t="s">
        <v>371</v>
      </c>
      <c r="F451" s="29" t="s">
        <v>372</v>
      </c>
      <c r="G451">
        <v>11</v>
      </c>
      <c r="H451" t="s">
        <v>323</v>
      </c>
      <c r="I451" t="s">
        <v>45</v>
      </c>
      <c r="J451" t="s">
        <v>325</v>
      </c>
      <c r="K451" t="s">
        <v>285</v>
      </c>
      <c r="L451" t="s">
        <v>327</v>
      </c>
    </row>
    <row r="452" spans="1:12">
      <c r="A452" t="s">
        <v>318</v>
      </c>
      <c r="B452" t="s">
        <v>319</v>
      </c>
      <c r="C452" t="s">
        <v>722</v>
      </c>
      <c r="D452" s="28">
        <v>7610900096618</v>
      </c>
      <c r="E452" s="29" t="s">
        <v>371</v>
      </c>
      <c r="F452" s="29" t="s">
        <v>372</v>
      </c>
      <c r="G452">
        <v>13</v>
      </c>
      <c r="H452" t="s">
        <v>323</v>
      </c>
      <c r="I452" t="s">
        <v>45</v>
      </c>
      <c r="J452" t="s">
        <v>325</v>
      </c>
      <c r="K452" t="s">
        <v>285</v>
      </c>
      <c r="L452" t="s">
        <v>327</v>
      </c>
    </row>
    <row r="453" spans="1:12">
      <c r="A453" t="s">
        <v>318</v>
      </c>
      <c r="B453" t="s">
        <v>319</v>
      </c>
      <c r="C453" t="s">
        <v>723</v>
      </c>
      <c r="D453" s="28">
        <v>7610900096621</v>
      </c>
      <c r="E453" s="29" t="s">
        <v>371</v>
      </c>
      <c r="F453" s="29" t="s">
        <v>372</v>
      </c>
      <c r="G453">
        <v>11</v>
      </c>
      <c r="H453" t="s">
        <v>323</v>
      </c>
      <c r="I453" t="s">
        <v>45</v>
      </c>
      <c r="J453" t="s">
        <v>325</v>
      </c>
      <c r="K453" t="s">
        <v>285</v>
      </c>
      <c r="L453" t="s">
        <v>327</v>
      </c>
    </row>
    <row r="454" spans="1:12">
      <c r="A454" t="s">
        <v>318</v>
      </c>
      <c r="B454" t="s">
        <v>319</v>
      </c>
      <c r="C454" t="s">
        <v>519</v>
      </c>
      <c r="D454" s="28">
        <v>7610900096628</v>
      </c>
      <c r="E454" s="29" t="s">
        <v>371</v>
      </c>
      <c r="F454" s="29" t="s">
        <v>372</v>
      </c>
      <c r="G454">
        <v>13</v>
      </c>
      <c r="H454" t="s">
        <v>323</v>
      </c>
      <c r="I454" t="s">
        <v>45</v>
      </c>
      <c r="J454" t="s">
        <v>325</v>
      </c>
      <c r="K454" t="s">
        <v>285</v>
      </c>
      <c r="L454" t="s">
        <v>327</v>
      </c>
    </row>
    <row r="455" spans="1:12">
      <c r="A455" t="s">
        <v>318</v>
      </c>
      <c r="B455" t="s">
        <v>319</v>
      </c>
      <c r="C455" t="s">
        <v>724</v>
      </c>
      <c r="D455" s="28">
        <v>7610900096634</v>
      </c>
      <c r="E455" s="29" t="s">
        <v>371</v>
      </c>
      <c r="F455" s="29" t="s">
        <v>372</v>
      </c>
      <c r="G455">
        <v>12</v>
      </c>
      <c r="H455" t="s">
        <v>323</v>
      </c>
      <c r="I455" t="s">
        <v>45</v>
      </c>
      <c r="J455" t="s">
        <v>325</v>
      </c>
      <c r="K455" t="s">
        <v>285</v>
      </c>
      <c r="L455" t="s">
        <v>327</v>
      </c>
    </row>
    <row r="456" spans="1:12">
      <c r="A456" t="s">
        <v>318</v>
      </c>
      <c r="B456" t="s">
        <v>319</v>
      </c>
      <c r="C456" t="s">
        <v>725</v>
      </c>
      <c r="D456" s="28">
        <v>7610900096636</v>
      </c>
      <c r="E456" s="29" t="s">
        <v>371</v>
      </c>
      <c r="F456" s="29" t="s">
        <v>372</v>
      </c>
      <c r="G456">
        <v>13</v>
      </c>
      <c r="H456" t="s">
        <v>323</v>
      </c>
      <c r="I456" t="s">
        <v>45</v>
      </c>
      <c r="J456" t="s">
        <v>325</v>
      </c>
      <c r="K456" t="s">
        <v>285</v>
      </c>
      <c r="L456" t="s">
        <v>327</v>
      </c>
    </row>
    <row r="457" spans="1:12">
      <c r="A457" t="s">
        <v>318</v>
      </c>
      <c r="B457" t="s">
        <v>319</v>
      </c>
      <c r="C457" t="s">
        <v>726</v>
      </c>
      <c r="D457" s="28">
        <v>7610900096637</v>
      </c>
      <c r="E457" s="29" t="s">
        <v>371</v>
      </c>
      <c r="F457" s="29" t="s">
        <v>372</v>
      </c>
      <c r="G457">
        <v>10</v>
      </c>
      <c r="H457" t="s">
        <v>323</v>
      </c>
      <c r="I457" t="s">
        <v>45</v>
      </c>
      <c r="J457" t="s">
        <v>325</v>
      </c>
      <c r="K457" t="s">
        <v>285</v>
      </c>
      <c r="L457" t="s">
        <v>327</v>
      </c>
    </row>
    <row r="458" spans="1:12">
      <c r="A458" t="s">
        <v>318</v>
      </c>
      <c r="B458" t="s">
        <v>319</v>
      </c>
      <c r="C458" t="s">
        <v>727</v>
      </c>
      <c r="D458" s="28">
        <v>7610900096638</v>
      </c>
      <c r="E458" s="29" t="s">
        <v>371</v>
      </c>
      <c r="F458" s="29" t="s">
        <v>372</v>
      </c>
      <c r="G458">
        <v>11</v>
      </c>
      <c r="H458" t="s">
        <v>323</v>
      </c>
      <c r="I458" t="s">
        <v>45</v>
      </c>
      <c r="J458" t="s">
        <v>325</v>
      </c>
      <c r="K458" t="s">
        <v>285</v>
      </c>
      <c r="L458" t="s">
        <v>327</v>
      </c>
    </row>
    <row r="459" spans="1:12">
      <c r="A459" t="s">
        <v>318</v>
      </c>
      <c r="B459" t="s">
        <v>319</v>
      </c>
      <c r="C459" t="s">
        <v>728</v>
      </c>
      <c r="D459" s="28">
        <v>7610900096641</v>
      </c>
      <c r="E459" s="29" t="s">
        <v>371</v>
      </c>
      <c r="F459" s="29" t="s">
        <v>372</v>
      </c>
      <c r="G459">
        <v>10</v>
      </c>
      <c r="H459" t="s">
        <v>323</v>
      </c>
      <c r="I459" t="s">
        <v>45</v>
      </c>
      <c r="J459" t="s">
        <v>325</v>
      </c>
      <c r="K459" t="s">
        <v>285</v>
      </c>
      <c r="L459" t="s">
        <v>327</v>
      </c>
    </row>
    <row r="460" spans="1:12">
      <c r="A460" t="s">
        <v>318</v>
      </c>
      <c r="B460" t="s">
        <v>319</v>
      </c>
      <c r="C460" t="s">
        <v>729</v>
      </c>
      <c r="D460" s="28">
        <v>7610900096650</v>
      </c>
      <c r="E460" s="29" t="s">
        <v>371</v>
      </c>
      <c r="F460" s="29" t="s">
        <v>372</v>
      </c>
      <c r="G460">
        <v>12</v>
      </c>
      <c r="H460" t="s">
        <v>323</v>
      </c>
      <c r="I460" t="s">
        <v>45</v>
      </c>
      <c r="J460" t="s">
        <v>325</v>
      </c>
      <c r="K460" t="s">
        <v>285</v>
      </c>
      <c r="L460" t="s">
        <v>327</v>
      </c>
    </row>
    <row r="461" spans="1:12">
      <c r="A461" t="s">
        <v>318</v>
      </c>
      <c r="B461" t="s">
        <v>319</v>
      </c>
      <c r="C461" t="s">
        <v>519</v>
      </c>
      <c r="D461" s="28">
        <v>7610900096651</v>
      </c>
      <c r="E461" s="29" t="s">
        <v>371</v>
      </c>
      <c r="F461" s="29" t="s">
        <v>372</v>
      </c>
      <c r="G461">
        <v>12</v>
      </c>
      <c r="H461" t="s">
        <v>323</v>
      </c>
      <c r="I461" t="s">
        <v>45</v>
      </c>
      <c r="J461" t="s">
        <v>325</v>
      </c>
      <c r="K461" t="s">
        <v>285</v>
      </c>
      <c r="L461" t="s">
        <v>327</v>
      </c>
    </row>
    <row r="462" spans="1:12">
      <c r="A462" t="s">
        <v>318</v>
      </c>
      <c r="B462" t="s">
        <v>319</v>
      </c>
      <c r="C462" t="s">
        <v>499</v>
      </c>
      <c r="D462" s="28">
        <v>7610900096652</v>
      </c>
      <c r="E462" s="29" t="s">
        <v>371</v>
      </c>
      <c r="F462" s="29" t="s">
        <v>372</v>
      </c>
      <c r="G462">
        <v>8</v>
      </c>
      <c r="H462" t="s">
        <v>323</v>
      </c>
      <c r="I462" t="s">
        <v>45</v>
      </c>
      <c r="J462" t="s">
        <v>325</v>
      </c>
      <c r="K462" t="s">
        <v>285</v>
      </c>
      <c r="L462" t="s">
        <v>327</v>
      </c>
    </row>
    <row r="463" spans="1:12">
      <c r="A463" t="s">
        <v>318</v>
      </c>
      <c r="B463" t="s">
        <v>319</v>
      </c>
      <c r="C463" t="s">
        <v>730</v>
      </c>
      <c r="D463" s="28">
        <v>7610900096653</v>
      </c>
      <c r="E463" s="29" t="s">
        <v>371</v>
      </c>
      <c r="F463" s="29" t="s">
        <v>372</v>
      </c>
      <c r="G463">
        <v>12</v>
      </c>
      <c r="H463" t="s">
        <v>323</v>
      </c>
      <c r="I463" t="s">
        <v>45</v>
      </c>
      <c r="J463" t="s">
        <v>325</v>
      </c>
      <c r="K463" t="s">
        <v>285</v>
      </c>
      <c r="L463" t="s">
        <v>327</v>
      </c>
    </row>
    <row r="464" spans="1:12">
      <c r="A464" t="s">
        <v>318</v>
      </c>
      <c r="B464" t="s">
        <v>319</v>
      </c>
      <c r="C464" t="s">
        <v>710</v>
      </c>
      <c r="D464" s="28">
        <v>7610900096661</v>
      </c>
      <c r="E464" s="29" t="s">
        <v>371</v>
      </c>
      <c r="F464" s="29" t="s">
        <v>372</v>
      </c>
      <c r="G464">
        <v>9</v>
      </c>
      <c r="H464" t="s">
        <v>323</v>
      </c>
      <c r="I464" t="s">
        <v>45</v>
      </c>
      <c r="J464" t="s">
        <v>325</v>
      </c>
      <c r="K464" t="s">
        <v>285</v>
      </c>
      <c r="L464" t="s">
        <v>327</v>
      </c>
    </row>
    <row r="465" spans="1:12">
      <c r="A465" t="s">
        <v>318</v>
      </c>
      <c r="B465" t="s">
        <v>319</v>
      </c>
      <c r="C465" t="s">
        <v>707</v>
      </c>
      <c r="D465" s="28">
        <v>7610900096662</v>
      </c>
      <c r="E465" s="29" t="s">
        <v>371</v>
      </c>
      <c r="F465" s="29" t="s">
        <v>372</v>
      </c>
      <c r="G465">
        <v>9</v>
      </c>
      <c r="H465" t="s">
        <v>323</v>
      </c>
      <c r="I465" t="s">
        <v>45</v>
      </c>
      <c r="J465" t="s">
        <v>325</v>
      </c>
      <c r="K465" t="s">
        <v>285</v>
      </c>
      <c r="L465" t="s">
        <v>327</v>
      </c>
    </row>
    <row r="466" spans="1:12">
      <c r="A466" t="s">
        <v>318</v>
      </c>
      <c r="B466" t="s">
        <v>319</v>
      </c>
      <c r="C466" t="s">
        <v>564</v>
      </c>
      <c r="D466" s="28">
        <v>7610900096666</v>
      </c>
      <c r="E466" s="29" t="s">
        <v>371</v>
      </c>
      <c r="F466" s="29" t="s">
        <v>372</v>
      </c>
      <c r="G466">
        <v>11</v>
      </c>
      <c r="H466" t="s">
        <v>323</v>
      </c>
      <c r="I466" t="s">
        <v>45</v>
      </c>
      <c r="J466" t="s">
        <v>325</v>
      </c>
      <c r="K466" t="s">
        <v>285</v>
      </c>
      <c r="L466" t="s">
        <v>327</v>
      </c>
    </row>
    <row r="467" spans="1:12">
      <c r="A467" t="s">
        <v>318</v>
      </c>
      <c r="B467" t="s">
        <v>319</v>
      </c>
      <c r="C467" t="s">
        <v>731</v>
      </c>
      <c r="D467" s="28">
        <v>7610900096670</v>
      </c>
      <c r="E467" s="29" t="s">
        <v>371</v>
      </c>
      <c r="F467" s="29" t="s">
        <v>372</v>
      </c>
      <c r="G467">
        <v>9</v>
      </c>
      <c r="H467" t="s">
        <v>323</v>
      </c>
      <c r="I467" t="s">
        <v>45</v>
      </c>
      <c r="J467" t="s">
        <v>325</v>
      </c>
      <c r="K467" t="s">
        <v>285</v>
      </c>
      <c r="L467" t="s">
        <v>327</v>
      </c>
    </row>
    <row r="468" spans="1:12">
      <c r="A468" t="s">
        <v>318</v>
      </c>
      <c r="B468" t="s">
        <v>319</v>
      </c>
      <c r="C468" t="s">
        <v>732</v>
      </c>
      <c r="D468" s="28">
        <v>7610900096680</v>
      </c>
      <c r="E468" s="29" t="s">
        <v>371</v>
      </c>
      <c r="F468" s="29" t="s">
        <v>372</v>
      </c>
      <c r="G468">
        <v>8</v>
      </c>
      <c r="H468" t="s">
        <v>323</v>
      </c>
      <c r="I468" t="s">
        <v>45</v>
      </c>
      <c r="J468" t="s">
        <v>325</v>
      </c>
      <c r="K468" t="s">
        <v>285</v>
      </c>
      <c r="L468" t="s">
        <v>327</v>
      </c>
    </row>
    <row r="469" spans="1:12">
      <c r="A469" t="s">
        <v>318</v>
      </c>
      <c r="B469" t="s">
        <v>319</v>
      </c>
      <c r="C469" t="s">
        <v>733</v>
      </c>
      <c r="D469" s="28">
        <v>7610900096682</v>
      </c>
      <c r="E469" s="29" t="s">
        <v>371</v>
      </c>
      <c r="F469" s="29" t="s">
        <v>372</v>
      </c>
      <c r="G469">
        <v>9</v>
      </c>
      <c r="H469" t="s">
        <v>323</v>
      </c>
      <c r="I469" t="s">
        <v>45</v>
      </c>
      <c r="J469" t="s">
        <v>325</v>
      </c>
      <c r="K469" t="s">
        <v>285</v>
      </c>
      <c r="L469" t="s">
        <v>327</v>
      </c>
    </row>
    <row r="470" spans="1:12">
      <c r="A470" t="s">
        <v>318</v>
      </c>
      <c r="B470" t="s">
        <v>319</v>
      </c>
      <c r="C470" t="s">
        <v>734</v>
      </c>
      <c r="D470" s="28">
        <v>7610900096689</v>
      </c>
      <c r="E470" s="29" t="s">
        <v>371</v>
      </c>
      <c r="F470" s="29" t="s">
        <v>372</v>
      </c>
      <c r="G470">
        <v>11</v>
      </c>
      <c r="H470" t="s">
        <v>323</v>
      </c>
      <c r="I470" t="s">
        <v>45</v>
      </c>
      <c r="J470" t="s">
        <v>325</v>
      </c>
      <c r="K470" t="s">
        <v>735</v>
      </c>
      <c r="L470" t="s">
        <v>327</v>
      </c>
    </row>
    <row r="471" spans="1:12">
      <c r="A471" t="s">
        <v>318</v>
      </c>
      <c r="B471" t="s">
        <v>319</v>
      </c>
      <c r="C471" t="s">
        <v>697</v>
      </c>
      <c r="D471" s="28">
        <v>7610900096696</v>
      </c>
      <c r="E471" s="29" t="s">
        <v>371</v>
      </c>
      <c r="F471" s="29" t="s">
        <v>372</v>
      </c>
      <c r="G471">
        <v>9</v>
      </c>
      <c r="H471" t="s">
        <v>323</v>
      </c>
      <c r="I471" t="s">
        <v>45</v>
      </c>
      <c r="J471" t="s">
        <v>325</v>
      </c>
      <c r="K471" t="s">
        <v>285</v>
      </c>
      <c r="L471" t="s">
        <v>327</v>
      </c>
    </row>
    <row r="472" spans="1:12">
      <c r="A472" t="s">
        <v>318</v>
      </c>
      <c r="B472" t="s">
        <v>319</v>
      </c>
      <c r="C472" t="s">
        <v>736</v>
      </c>
      <c r="D472" s="28">
        <v>7610900096703</v>
      </c>
      <c r="E472" s="29" t="s">
        <v>371</v>
      </c>
      <c r="F472" s="29" t="s">
        <v>372</v>
      </c>
      <c r="G472">
        <v>8</v>
      </c>
      <c r="H472" t="s">
        <v>323</v>
      </c>
      <c r="I472" t="s">
        <v>45</v>
      </c>
      <c r="J472" t="s">
        <v>325</v>
      </c>
      <c r="K472" t="s">
        <v>285</v>
      </c>
      <c r="L472" t="s">
        <v>327</v>
      </c>
    </row>
    <row r="473" spans="1:12">
      <c r="A473" t="s">
        <v>318</v>
      </c>
      <c r="B473" t="s">
        <v>319</v>
      </c>
      <c r="C473" t="s">
        <v>389</v>
      </c>
      <c r="D473" s="28">
        <v>7610900096711</v>
      </c>
      <c r="E473" s="29" t="s">
        <v>371</v>
      </c>
      <c r="F473" s="29" t="s">
        <v>372</v>
      </c>
      <c r="G473">
        <v>10</v>
      </c>
      <c r="H473" t="s">
        <v>323</v>
      </c>
      <c r="I473" t="s">
        <v>45</v>
      </c>
      <c r="J473" t="s">
        <v>325</v>
      </c>
      <c r="K473" t="s">
        <v>285</v>
      </c>
      <c r="L473" t="s">
        <v>327</v>
      </c>
    </row>
    <row r="474" spans="1:12">
      <c r="A474" t="s">
        <v>318</v>
      </c>
      <c r="B474" t="s">
        <v>319</v>
      </c>
      <c r="C474" t="s">
        <v>737</v>
      </c>
      <c r="D474" s="28">
        <v>7610900096712</v>
      </c>
      <c r="E474" s="29" t="s">
        <v>371</v>
      </c>
      <c r="F474" s="29" t="s">
        <v>372</v>
      </c>
      <c r="G474">
        <v>8</v>
      </c>
      <c r="H474" t="s">
        <v>323</v>
      </c>
      <c r="I474" t="s">
        <v>45</v>
      </c>
      <c r="J474" t="s">
        <v>325</v>
      </c>
      <c r="K474" t="s">
        <v>285</v>
      </c>
      <c r="L474" t="s">
        <v>327</v>
      </c>
    </row>
    <row r="475" spans="1:12">
      <c r="A475" t="s">
        <v>318</v>
      </c>
      <c r="B475" t="s">
        <v>319</v>
      </c>
      <c r="C475" t="s">
        <v>493</v>
      </c>
      <c r="D475" s="28">
        <v>7610900096719</v>
      </c>
      <c r="E475" s="29" t="s">
        <v>371</v>
      </c>
      <c r="F475" s="29" t="s">
        <v>372</v>
      </c>
      <c r="G475">
        <v>11</v>
      </c>
      <c r="H475" t="s">
        <v>323</v>
      </c>
      <c r="I475" t="s">
        <v>45</v>
      </c>
      <c r="J475" t="s">
        <v>325</v>
      </c>
      <c r="K475" t="s">
        <v>285</v>
      </c>
      <c r="L475" t="s">
        <v>327</v>
      </c>
    </row>
    <row r="476" spans="1:12">
      <c r="A476" t="s">
        <v>318</v>
      </c>
      <c r="B476" t="s">
        <v>319</v>
      </c>
      <c r="C476" t="s">
        <v>598</v>
      </c>
      <c r="D476" s="28">
        <v>7610900096722</v>
      </c>
      <c r="E476" s="29" t="s">
        <v>371</v>
      </c>
      <c r="F476" s="29" t="s">
        <v>372</v>
      </c>
      <c r="G476">
        <v>11</v>
      </c>
      <c r="H476" t="s">
        <v>323</v>
      </c>
      <c r="I476" t="s">
        <v>45</v>
      </c>
      <c r="J476" t="s">
        <v>325</v>
      </c>
      <c r="K476" t="s">
        <v>285</v>
      </c>
      <c r="L476" t="s">
        <v>327</v>
      </c>
    </row>
    <row r="477" spans="1:12">
      <c r="A477" t="s">
        <v>318</v>
      </c>
      <c r="B477" t="s">
        <v>319</v>
      </c>
      <c r="C477" t="s">
        <v>738</v>
      </c>
      <c r="D477" s="28">
        <v>7610900096731</v>
      </c>
      <c r="E477" s="29" t="s">
        <v>371</v>
      </c>
      <c r="F477" s="29" t="s">
        <v>372</v>
      </c>
      <c r="G477">
        <v>10</v>
      </c>
      <c r="H477" t="s">
        <v>323</v>
      </c>
      <c r="I477" t="s">
        <v>45</v>
      </c>
      <c r="J477" t="s">
        <v>325</v>
      </c>
      <c r="K477" t="s">
        <v>285</v>
      </c>
      <c r="L477" t="s">
        <v>327</v>
      </c>
    </row>
    <row r="478" spans="1:12">
      <c r="A478" t="s">
        <v>318</v>
      </c>
      <c r="B478" t="s">
        <v>319</v>
      </c>
      <c r="C478" t="s">
        <v>571</v>
      </c>
      <c r="D478" s="28">
        <v>7610900096733</v>
      </c>
      <c r="E478" s="29" t="s">
        <v>371</v>
      </c>
      <c r="F478" s="29" t="s">
        <v>372</v>
      </c>
      <c r="G478">
        <v>11</v>
      </c>
      <c r="H478" t="s">
        <v>323</v>
      </c>
      <c r="I478" t="s">
        <v>45</v>
      </c>
      <c r="J478" t="s">
        <v>325</v>
      </c>
      <c r="K478" t="s">
        <v>285</v>
      </c>
      <c r="L478" t="s">
        <v>327</v>
      </c>
    </row>
    <row r="479" spans="1:12">
      <c r="A479" t="s">
        <v>318</v>
      </c>
      <c r="B479" t="s">
        <v>319</v>
      </c>
      <c r="C479" t="s">
        <v>739</v>
      </c>
      <c r="D479" s="28">
        <v>7610900096738</v>
      </c>
      <c r="E479" s="29" t="s">
        <v>371</v>
      </c>
      <c r="F479" s="29" t="s">
        <v>372</v>
      </c>
      <c r="G479">
        <v>8</v>
      </c>
      <c r="H479" t="s">
        <v>323</v>
      </c>
      <c r="I479" t="s">
        <v>45</v>
      </c>
      <c r="J479" t="s">
        <v>325</v>
      </c>
      <c r="K479" t="s">
        <v>285</v>
      </c>
      <c r="L479" t="s">
        <v>327</v>
      </c>
    </row>
    <row r="480" spans="1:12">
      <c r="A480" t="s">
        <v>318</v>
      </c>
      <c r="B480" t="s">
        <v>319</v>
      </c>
      <c r="C480" t="s">
        <v>740</v>
      </c>
      <c r="D480" s="28">
        <v>7610900096739</v>
      </c>
      <c r="E480" s="29" t="s">
        <v>371</v>
      </c>
      <c r="F480" s="29" t="s">
        <v>372</v>
      </c>
      <c r="G480">
        <v>9</v>
      </c>
      <c r="H480" t="s">
        <v>323</v>
      </c>
      <c r="I480" t="s">
        <v>45</v>
      </c>
      <c r="J480" t="s">
        <v>325</v>
      </c>
      <c r="K480" t="s">
        <v>285</v>
      </c>
      <c r="L480" t="s">
        <v>327</v>
      </c>
    </row>
    <row r="481" spans="1:12">
      <c r="A481" t="s">
        <v>318</v>
      </c>
      <c r="B481" t="s">
        <v>319</v>
      </c>
      <c r="C481" t="s">
        <v>741</v>
      </c>
      <c r="D481" s="28">
        <v>7610900096763</v>
      </c>
      <c r="E481" s="29" t="s">
        <v>371</v>
      </c>
      <c r="F481" s="29" t="s">
        <v>372</v>
      </c>
      <c r="G481">
        <v>9</v>
      </c>
      <c r="H481" t="s">
        <v>323</v>
      </c>
      <c r="I481" t="s">
        <v>45</v>
      </c>
      <c r="J481" t="s">
        <v>325</v>
      </c>
      <c r="K481" t="s">
        <v>285</v>
      </c>
      <c r="L481" t="s">
        <v>327</v>
      </c>
    </row>
    <row r="482" spans="1:12">
      <c r="A482" t="s">
        <v>318</v>
      </c>
      <c r="B482" t="s">
        <v>319</v>
      </c>
      <c r="C482" t="s">
        <v>716</v>
      </c>
      <c r="D482" s="28">
        <v>7610900096766</v>
      </c>
      <c r="E482" s="29" t="s">
        <v>371</v>
      </c>
      <c r="F482" s="29" t="s">
        <v>372</v>
      </c>
      <c r="G482">
        <v>9</v>
      </c>
      <c r="H482" t="s">
        <v>323</v>
      </c>
      <c r="I482" t="s">
        <v>45</v>
      </c>
      <c r="J482" t="s">
        <v>325</v>
      </c>
      <c r="K482" t="s">
        <v>285</v>
      </c>
      <c r="L482" t="s">
        <v>327</v>
      </c>
    </row>
    <row r="483" spans="1:12">
      <c r="A483" t="s">
        <v>318</v>
      </c>
      <c r="B483" t="s">
        <v>319</v>
      </c>
      <c r="C483" t="s">
        <v>742</v>
      </c>
      <c r="D483" s="28">
        <v>7610900096767</v>
      </c>
      <c r="E483" s="29" t="s">
        <v>371</v>
      </c>
      <c r="F483" s="29" t="s">
        <v>372</v>
      </c>
      <c r="G483">
        <v>10</v>
      </c>
      <c r="H483" t="s">
        <v>323</v>
      </c>
      <c r="I483" t="s">
        <v>45</v>
      </c>
      <c r="J483" t="s">
        <v>325</v>
      </c>
      <c r="K483" t="s">
        <v>285</v>
      </c>
      <c r="L483" t="s">
        <v>327</v>
      </c>
    </row>
    <row r="484" spans="1:12">
      <c r="A484" t="s">
        <v>318</v>
      </c>
      <c r="B484" t="s">
        <v>319</v>
      </c>
      <c r="C484" t="s">
        <v>743</v>
      </c>
      <c r="D484" s="28">
        <v>7610900096768</v>
      </c>
      <c r="E484" s="29" t="s">
        <v>371</v>
      </c>
      <c r="F484" s="29" t="s">
        <v>372</v>
      </c>
      <c r="G484">
        <v>12</v>
      </c>
      <c r="H484" t="s">
        <v>323</v>
      </c>
      <c r="I484" t="s">
        <v>45</v>
      </c>
      <c r="J484" t="s">
        <v>325</v>
      </c>
      <c r="K484" t="s">
        <v>285</v>
      </c>
      <c r="L484" t="s">
        <v>327</v>
      </c>
    </row>
    <row r="485" spans="1:12">
      <c r="A485" t="s">
        <v>318</v>
      </c>
      <c r="B485" t="s">
        <v>319</v>
      </c>
      <c r="C485" t="s">
        <v>718</v>
      </c>
      <c r="D485" s="28">
        <v>7610900096838</v>
      </c>
      <c r="E485" s="29" t="s">
        <v>371</v>
      </c>
      <c r="F485" s="29" t="s">
        <v>372</v>
      </c>
      <c r="G485">
        <v>9</v>
      </c>
      <c r="H485" t="s">
        <v>323</v>
      </c>
      <c r="I485" t="s">
        <v>45</v>
      </c>
      <c r="J485" t="s">
        <v>325</v>
      </c>
      <c r="K485" t="s">
        <v>285</v>
      </c>
      <c r="L485" t="s">
        <v>327</v>
      </c>
    </row>
    <row r="486" spans="1:12">
      <c r="A486" t="s">
        <v>318</v>
      </c>
      <c r="B486" t="s">
        <v>319</v>
      </c>
      <c r="C486" t="s">
        <v>744</v>
      </c>
      <c r="D486" s="28">
        <v>7610900096841</v>
      </c>
      <c r="E486" s="29" t="s">
        <v>371</v>
      </c>
      <c r="F486" s="29" t="s">
        <v>372</v>
      </c>
      <c r="G486">
        <v>12</v>
      </c>
      <c r="H486" t="s">
        <v>323</v>
      </c>
      <c r="I486" t="s">
        <v>45</v>
      </c>
      <c r="J486" t="s">
        <v>325</v>
      </c>
      <c r="K486" t="s">
        <v>285</v>
      </c>
      <c r="L486" t="s">
        <v>327</v>
      </c>
    </row>
    <row r="487" spans="1:12">
      <c r="A487" t="s">
        <v>318</v>
      </c>
      <c r="B487" t="s">
        <v>319</v>
      </c>
      <c r="C487" t="s">
        <v>745</v>
      </c>
      <c r="D487" s="28">
        <v>7610900096972</v>
      </c>
      <c r="E487" s="29" t="s">
        <v>371</v>
      </c>
      <c r="F487" s="29" t="s">
        <v>372</v>
      </c>
      <c r="G487">
        <v>12</v>
      </c>
      <c r="H487" t="s">
        <v>323</v>
      </c>
      <c r="I487" t="s">
        <v>45</v>
      </c>
      <c r="J487" t="s">
        <v>325</v>
      </c>
      <c r="K487" t="s">
        <v>285</v>
      </c>
      <c r="L487" t="s">
        <v>327</v>
      </c>
    </row>
    <row r="488" spans="1:12">
      <c r="A488" t="s">
        <v>318</v>
      </c>
      <c r="B488" t="s">
        <v>319</v>
      </c>
      <c r="C488" t="s">
        <v>520</v>
      </c>
      <c r="D488" s="28">
        <v>7610900097166</v>
      </c>
      <c r="E488" s="29" t="s">
        <v>371</v>
      </c>
      <c r="F488" s="29" t="s">
        <v>372</v>
      </c>
      <c r="G488">
        <v>9</v>
      </c>
      <c r="H488" t="s">
        <v>323</v>
      </c>
      <c r="I488" t="s">
        <v>45</v>
      </c>
      <c r="J488" t="s">
        <v>325</v>
      </c>
      <c r="K488" t="s">
        <v>285</v>
      </c>
      <c r="L488" t="s">
        <v>327</v>
      </c>
    </row>
    <row r="489" spans="1:12">
      <c r="A489" t="s">
        <v>318</v>
      </c>
      <c r="B489" t="s">
        <v>319</v>
      </c>
      <c r="C489" t="s">
        <v>746</v>
      </c>
      <c r="D489" s="28">
        <v>7610900097253</v>
      </c>
      <c r="E489" s="29" t="s">
        <v>371</v>
      </c>
      <c r="F489" s="29" t="s">
        <v>372</v>
      </c>
      <c r="G489">
        <v>8</v>
      </c>
      <c r="H489" t="s">
        <v>323</v>
      </c>
      <c r="I489" t="s">
        <v>45</v>
      </c>
      <c r="J489" t="s">
        <v>325</v>
      </c>
      <c r="K489" t="s">
        <v>285</v>
      </c>
      <c r="L489" t="s">
        <v>327</v>
      </c>
    </row>
    <row r="490" spans="1:12">
      <c r="A490" t="s">
        <v>318</v>
      </c>
      <c r="B490" t="s">
        <v>319</v>
      </c>
      <c r="C490" t="s">
        <v>716</v>
      </c>
      <c r="D490" s="28">
        <v>7610900097317</v>
      </c>
      <c r="E490" s="29" t="s">
        <v>371</v>
      </c>
      <c r="F490" s="29" t="s">
        <v>372</v>
      </c>
      <c r="G490">
        <v>7</v>
      </c>
      <c r="H490" t="s">
        <v>323</v>
      </c>
      <c r="I490" t="s">
        <v>45</v>
      </c>
      <c r="J490" t="s">
        <v>325</v>
      </c>
      <c r="K490" t="s">
        <v>285</v>
      </c>
      <c r="L490" t="s">
        <v>327</v>
      </c>
    </row>
    <row r="491" spans="1:12">
      <c r="A491" t="s">
        <v>318</v>
      </c>
      <c r="B491" t="s">
        <v>319</v>
      </c>
      <c r="C491" t="s">
        <v>747</v>
      </c>
      <c r="D491" s="28">
        <v>7610900097322</v>
      </c>
      <c r="E491" s="29" t="s">
        <v>371</v>
      </c>
      <c r="F491" s="29" t="s">
        <v>372</v>
      </c>
      <c r="G491">
        <v>6</v>
      </c>
      <c r="H491" t="s">
        <v>323</v>
      </c>
      <c r="I491" t="s">
        <v>45</v>
      </c>
      <c r="J491" t="s">
        <v>325</v>
      </c>
      <c r="K491" t="s">
        <v>285</v>
      </c>
      <c r="L491" t="s">
        <v>327</v>
      </c>
    </row>
    <row r="492" spans="1:12">
      <c r="A492" t="s">
        <v>318</v>
      </c>
      <c r="B492" t="s">
        <v>319</v>
      </c>
      <c r="C492" t="s">
        <v>518</v>
      </c>
      <c r="D492" s="28">
        <v>7610900099929</v>
      </c>
      <c r="E492" s="29" t="s">
        <v>371</v>
      </c>
      <c r="F492" s="29" t="s">
        <v>372</v>
      </c>
      <c r="G492">
        <v>11</v>
      </c>
      <c r="H492" t="s">
        <v>323</v>
      </c>
      <c r="I492" t="s">
        <v>45</v>
      </c>
      <c r="J492" t="s">
        <v>325</v>
      </c>
      <c r="K492" t="s">
        <v>285</v>
      </c>
      <c r="L492" t="s">
        <v>327</v>
      </c>
    </row>
    <row r="493" spans="1:12">
      <c r="A493" t="s">
        <v>318</v>
      </c>
      <c r="B493" t="s">
        <v>319</v>
      </c>
      <c r="C493" t="s">
        <v>748</v>
      </c>
      <c r="D493" s="28">
        <v>7610900100051</v>
      </c>
      <c r="E493" s="29" t="s">
        <v>371</v>
      </c>
      <c r="F493" s="29" t="s">
        <v>372</v>
      </c>
      <c r="G493">
        <v>10</v>
      </c>
      <c r="H493" t="s">
        <v>323</v>
      </c>
      <c r="I493" t="s">
        <v>45</v>
      </c>
      <c r="J493" t="s">
        <v>325</v>
      </c>
      <c r="K493" t="s">
        <v>285</v>
      </c>
      <c r="L493" t="s">
        <v>327</v>
      </c>
    </row>
    <row r="494" spans="1:12">
      <c r="A494" t="s">
        <v>318</v>
      </c>
      <c r="B494" t="s">
        <v>319</v>
      </c>
      <c r="C494" t="s">
        <v>749</v>
      </c>
      <c r="D494" s="28">
        <v>7610900104679</v>
      </c>
      <c r="E494" s="29" t="s">
        <v>529</v>
      </c>
      <c r="F494" s="29" t="s">
        <v>372</v>
      </c>
      <c r="G494">
        <v>15</v>
      </c>
      <c r="H494" t="s">
        <v>323</v>
      </c>
      <c r="I494" t="s">
        <v>45</v>
      </c>
      <c r="J494" t="s">
        <v>325</v>
      </c>
      <c r="K494" t="s">
        <v>285</v>
      </c>
      <c r="L494" t="s">
        <v>327</v>
      </c>
    </row>
    <row r="495" spans="1:12">
      <c r="A495" t="s">
        <v>318</v>
      </c>
      <c r="B495" t="s">
        <v>319</v>
      </c>
      <c r="C495" t="s">
        <v>750</v>
      </c>
      <c r="D495" s="28">
        <v>7610900104680</v>
      </c>
      <c r="E495" s="29" t="s">
        <v>529</v>
      </c>
      <c r="F495" s="29" t="s">
        <v>372</v>
      </c>
      <c r="G495">
        <v>15</v>
      </c>
      <c r="H495" t="s">
        <v>323</v>
      </c>
      <c r="I495" t="s">
        <v>45</v>
      </c>
      <c r="J495" t="s">
        <v>325</v>
      </c>
      <c r="K495" t="s">
        <v>285</v>
      </c>
      <c r="L495" t="s">
        <v>327</v>
      </c>
    </row>
    <row r="496" spans="1:12">
      <c r="A496" t="s">
        <v>318</v>
      </c>
      <c r="B496" t="s">
        <v>319</v>
      </c>
      <c r="C496" t="s">
        <v>751</v>
      </c>
      <c r="D496" s="28">
        <v>7610900104681</v>
      </c>
      <c r="E496" s="29" t="s">
        <v>529</v>
      </c>
      <c r="F496" s="29" t="s">
        <v>372</v>
      </c>
      <c r="G496">
        <v>14</v>
      </c>
      <c r="H496" t="s">
        <v>323</v>
      </c>
      <c r="I496" t="s">
        <v>45</v>
      </c>
      <c r="J496" t="s">
        <v>325</v>
      </c>
      <c r="K496" t="s">
        <v>285</v>
      </c>
      <c r="L496" t="s">
        <v>327</v>
      </c>
    </row>
    <row r="497" spans="1:12">
      <c r="A497" t="s">
        <v>318</v>
      </c>
      <c r="B497" t="s">
        <v>319</v>
      </c>
      <c r="C497" t="s">
        <v>442</v>
      </c>
      <c r="D497" s="28">
        <v>7610900104682</v>
      </c>
      <c r="E497" s="29" t="s">
        <v>529</v>
      </c>
      <c r="F497" s="29" t="s">
        <v>372</v>
      </c>
      <c r="G497">
        <v>15</v>
      </c>
      <c r="H497" t="s">
        <v>323</v>
      </c>
      <c r="I497" t="s">
        <v>45</v>
      </c>
      <c r="J497" t="s">
        <v>325</v>
      </c>
      <c r="K497" t="s">
        <v>285</v>
      </c>
      <c r="L497" t="s">
        <v>327</v>
      </c>
    </row>
    <row r="498" spans="1:12">
      <c r="A498" t="s">
        <v>318</v>
      </c>
      <c r="B498" t="s">
        <v>319</v>
      </c>
      <c r="C498" t="s">
        <v>752</v>
      </c>
      <c r="D498" s="28">
        <v>7610900104683</v>
      </c>
      <c r="E498" s="29" t="s">
        <v>529</v>
      </c>
      <c r="F498" s="29" t="s">
        <v>372</v>
      </c>
      <c r="G498">
        <v>11</v>
      </c>
      <c r="H498" t="s">
        <v>323</v>
      </c>
      <c r="I498" t="s">
        <v>45</v>
      </c>
      <c r="J498" t="s">
        <v>325</v>
      </c>
      <c r="K498" t="s">
        <v>285</v>
      </c>
      <c r="L498" t="s">
        <v>327</v>
      </c>
    </row>
    <row r="499" spans="1:12">
      <c r="A499" t="s">
        <v>318</v>
      </c>
      <c r="B499" t="s">
        <v>319</v>
      </c>
      <c r="C499" t="s">
        <v>711</v>
      </c>
      <c r="D499" s="28">
        <v>7610900109578</v>
      </c>
      <c r="E499" s="29" t="s">
        <v>371</v>
      </c>
      <c r="F499" s="29" t="s">
        <v>372</v>
      </c>
      <c r="G499">
        <v>15</v>
      </c>
      <c r="H499" t="s">
        <v>323</v>
      </c>
      <c r="I499" t="s">
        <v>45</v>
      </c>
      <c r="J499" t="s">
        <v>325</v>
      </c>
      <c r="K499" t="s">
        <v>285</v>
      </c>
      <c r="L499" t="s">
        <v>327</v>
      </c>
    </row>
    <row r="500" spans="1:12">
      <c r="A500" t="s">
        <v>318</v>
      </c>
      <c r="B500" t="s">
        <v>319</v>
      </c>
      <c r="C500" t="s">
        <v>753</v>
      </c>
      <c r="D500" s="28">
        <v>7610900056927</v>
      </c>
      <c r="E500" s="29" t="s">
        <v>371</v>
      </c>
      <c r="F500" s="29" t="s">
        <v>372</v>
      </c>
      <c r="G500">
        <v>12</v>
      </c>
      <c r="H500" t="s">
        <v>323</v>
      </c>
      <c r="I500" t="s">
        <v>45</v>
      </c>
      <c r="J500" t="s">
        <v>325</v>
      </c>
      <c r="K500" t="s">
        <v>285</v>
      </c>
      <c r="L500" t="s">
        <v>327</v>
      </c>
    </row>
    <row r="501" spans="1:12">
      <c r="A501" t="s">
        <v>318</v>
      </c>
      <c r="B501" t="s">
        <v>319</v>
      </c>
      <c r="C501" t="s">
        <v>754</v>
      </c>
      <c r="D501" s="28">
        <v>7610900056940</v>
      </c>
      <c r="E501" s="29" t="s">
        <v>371</v>
      </c>
      <c r="F501" s="29" t="s">
        <v>372</v>
      </c>
      <c r="G501">
        <v>12</v>
      </c>
      <c r="H501" t="s">
        <v>323</v>
      </c>
      <c r="I501" t="s">
        <v>45</v>
      </c>
      <c r="J501" t="s">
        <v>325</v>
      </c>
      <c r="K501" t="s">
        <v>285</v>
      </c>
      <c r="L501" t="s">
        <v>327</v>
      </c>
    </row>
    <row r="502" spans="1:12">
      <c r="A502" t="s">
        <v>318</v>
      </c>
      <c r="B502" t="s">
        <v>319</v>
      </c>
      <c r="C502" t="s">
        <v>755</v>
      </c>
      <c r="D502" s="28">
        <v>7610900056949</v>
      </c>
      <c r="E502" s="29" t="s">
        <v>371</v>
      </c>
      <c r="F502" s="29" t="s">
        <v>372</v>
      </c>
      <c r="G502">
        <v>13</v>
      </c>
      <c r="H502" t="s">
        <v>323</v>
      </c>
      <c r="I502" t="s">
        <v>45</v>
      </c>
      <c r="J502" t="s">
        <v>325</v>
      </c>
      <c r="K502" t="s">
        <v>285</v>
      </c>
      <c r="L502" t="s">
        <v>327</v>
      </c>
    </row>
    <row r="503" spans="1:12">
      <c r="A503" t="s">
        <v>318</v>
      </c>
      <c r="B503" t="s">
        <v>319</v>
      </c>
      <c r="C503" t="s">
        <v>756</v>
      </c>
      <c r="D503" s="28">
        <v>7610900056953</v>
      </c>
      <c r="E503" s="29" t="s">
        <v>371</v>
      </c>
      <c r="F503" s="29" t="s">
        <v>372</v>
      </c>
      <c r="G503">
        <v>0</v>
      </c>
      <c r="H503" t="s">
        <v>323</v>
      </c>
      <c r="I503" t="s">
        <v>45</v>
      </c>
      <c r="J503" t="s">
        <v>325</v>
      </c>
      <c r="K503" t="s">
        <v>285</v>
      </c>
      <c r="L503" t="s">
        <v>327</v>
      </c>
    </row>
    <row r="504" spans="1:12">
      <c r="A504" t="s">
        <v>318</v>
      </c>
      <c r="B504" t="s">
        <v>319</v>
      </c>
      <c r="C504" t="s">
        <v>757</v>
      </c>
      <c r="D504" s="28">
        <v>7610900057046</v>
      </c>
      <c r="E504" s="29" t="s">
        <v>371</v>
      </c>
      <c r="F504" s="29" t="s">
        <v>372</v>
      </c>
      <c r="G504">
        <v>13</v>
      </c>
      <c r="H504" t="s">
        <v>323</v>
      </c>
      <c r="I504" t="s">
        <v>45</v>
      </c>
      <c r="J504" t="s">
        <v>325</v>
      </c>
      <c r="K504" t="s">
        <v>285</v>
      </c>
      <c r="L504" t="s">
        <v>327</v>
      </c>
    </row>
    <row r="505" spans="1:12">
      <c r="A505" t="s">
        <v>318</v>
      </c>
      <c r="B505" t="s">
        <v>319</v>
      </c>
      <c r="C505" t="s">
        <v>758</v>
      </c>
      <c r="D505" s="28">
        <v>7610900057051</v>
      </c>
      <c r="E505" s="29" t="s">
        <v>371</v>
      </c>
      <c r="F505" s="29" t="s">
        <v>372</v>
      </c>
      <c r="G505">
        <v>13</v>
      </c>
      <c r="H505" t="s">
        <v>323</v>
      </c>
      <c r="I505" t="s">
        <v>45</v>
      </c>
      <c r="J505" t="s">
        <v>325</v>
      </c>
      <c r="K505" t="s">
        <v>285</v>
      </c>
      <c r="L505" t="s">
        <v>327</v>
      </c>
    </row>
    <row r="506" spans="1:12">
      <c r="A506" t="s">
        <v>318</v>
      </c>
      <c r="B506" t="s">
        <v>319</v>
      </c>
      <c r="C506" t="s">
        <v>759</v>
      </c>
      <c r="D506" s="28">
        <v>7610900057054</v>
      </c>
      <c r="E506" s="29" t="s">
        <v>371</v>
      </c>
      <c r="F506" s="29" t="s">
        <v>372</v>
      </c>
      <c r="G506">
        <v>0</v>
      </c>
      <c r="H506" t="s">
        <v>323</v>
      </c>
      <c r="I506" t="s">
        <v>45</v>
      </c>
      <c r="J506" t="s">
        <v>325</v>
      </c>
      <c r="K506" t="s">
        <v>285</v>
      </c>
      <c r="L506" t="s">
        <v>327</v>
      </c>
    </row>
    <row r="507" spans="1:12">
      <c r="A507" t="s">
        <v>318</v>
      </c>
      <c r="B507" t="s">
        <v>319</v>
      </c>
      <c r="C507" t="s">
        <v>760</v>
      </c>
      <c r="D507" s="28">
        <v>7610900057069</v>
      </c>
      <c r="E507" s="29" t="s">
        <v>529</v>
      </c>
      <c r="F507" s="29" t="s">
        <v>372</v>
      </c>
      <c r="G507">
        <v>14</v>
      </c>
      <c r="H507" t="s">
        <v>323</v>
      </c>
      <c r="I507" t="s">
        <v>45</v>
      </c>
      <c r="J507" t="s">
        <v>325</v>
      </c>
      <c r="K507" t="s">
        <v>285</v>
      </c>
      <c r="L507" t="s">
        <v>327</v>
      </c>
    </row>
    <row r="508" spans="1:12">
      <c r="A508" t="s">
        <v>318</v>
      </c>
      <c r="B508" t="s">
        <v>319</v>
      </c>
      <c r="C508" t="s">
        <v>761</v>
      </c>
      <c r="D508" s="28">
        <v>7610900057074</v>
      </c>
      <c r="E508" s="29" t="s">
        <v>529</v>
      </c>
      <c r="F508" s="29" t="s">
        <v>372</v>
      </c>
      <c r="G508">
        <v>0</v>
      </c>
      <c r="H508" t="s">
        <v>323</v>
      </c>
      <c r="I508" t="s">
        <v>45</v>
      </c>
      <c r="J508" t="s">
        <v>325</v>
      </c>
      <c r="K508" t="s">
        <v>285</v>
      </c>
      <c r="L508" t="s">
        <v>327</v>
      </c>
    </row>
    <row r="509" spans="1:12">
      <c r="A509" t="s">
        <v>318</v>
      </c>
      <c r="B509" t="s">
        <v>319</v>
      </c>
      <c r="C509" t="s">
        <v>718</v>
      </c>
      <c r="D509" s="28">
        <v>7610900100556</v>
      </c>
      <c r="E509" s="29" t="s">
        <v>371</v>
      </c>
      <c r="F509" s="29" t="s">
        <v>372</v>
      </c>
      <c r="G509">
        <v>13</v>
      </c>
      <c r="H509" t="s">
        <v>323</v>
      </c>
      <c r="I509" t="s">
        <v>45</v>
      </c>
      <c r="J509" t="s">
        <v>325</v>
      </c>
      <c r="K509" t="s">
        <v>285</v>
      </c>
      <c r="L509" t="s">
        <v>327</v>
      </c>
    </row>
    <row r="510" spans="1:12">
      <c r="A510" t="s">
        <v>318</v>
      </c>
      <c r="B510" t="s">
        <v>319</v>
      </c>
      <c r="C510" t="s">
        <v>762</v>
      </c>
      <c r="D510" s="28">
        <v>7610900100557</v>
      </c>
      <c r="E510" s="29" t="s">
        <v>371</v>
      </c>
      <c r="F510" s="29" t="s">
        <v>372</v>
      </c>
      <c r="G510">
        <v>11</v>
      </c>
      <c r="H510" t="s">
        <v>323</v>
      </c>
      <c r="I510" t="s">
        <v>45</v>
      </c>
      <c r="J510" t="s">
        <v>325</v>
      </c>
      <c r="K510" t="s">
        <v>285</v>
      </c>
      <c r="L510" t="s">
        <v>327</v>
      </c>
    </row>
    <row r="511" spans="1:12">
      <c r="A511" t="s">
        <v>318</v>
      </c>
      <c r="B511" t="s">
        <v>319</v>
      </c>
      <c r="C511" t="s">
        <v>697</v>
      </c>
      <c r="D511" s="28">
        <v>7610900100558</v>
      </c>
      <c r="E511" s="29" t="s">
        <v>371</v>
      </c>
      <c r="F511" s="29" t="s">
        <v>372</v>
      </c>
      <c r="G511">
        <v>12</v>
      </c>
      <c r="H511" t="s">
        <v>323</v>
      </c>
      <c r="I511" t="s">
        <v>45</v>
      </c>
      <c r="J511" t="s">
        <v>325</v>
      </c>
      <c r="K511" t="s">
        <v>285</v>
      </c>
      <c r="L511" t="s">
        <v>327</v>
      </c>
    </row>
    <row r="512" spans="1:12">
      <c r="A512" t="s">
        <v>318</v>
      </c>
      <c r="B512" t="s">
        <v>319</v>
      </c>
      <c r="C512" t="s">
        <v>763</v>
      </c>
      <c r="D512" s="28">
        <v>7610900100560</v>
      </c>
      <c r="E512" s="29" t="s">
        <v>371</v>
      </c>
      <c r="F512" s="29" t="s">
        <v>372</v>
      </c>
      <c r="G512">
        <v>7</v>
      </c>
      <c r="H512" t="s">
        <v>323</v>
      </c>
      <c r="I512" t="s">
        <v>45</v>
      </c>
      <c r="J512" t="s">
        <v>325</v>
      </c>
      <c r="K512" t="s">
        <v>285</v>
      </c>
      <c r="L512" t="s">
        <v>327</v>
      </c>
    </row>
    <row r="513" spans="1:12">
      <c r="A513" t="s">
        <v>318</v>
      </c>
      <c r="B513" t="s">
        <v>319</v>
      </c>
      <c r="C513" t="s">
        <v>726</v>
      </c>
      <c r="D513" s="28">
        <v>7610900100561</v>
      </c>
      <c r="E513" s="29" t="s">
        <v>371</v>
      </c>
      <c r="F513" s="29" t="s">
        <v>372</v>
      </c>
      <c r="G513">
        <v>9</v>
      </c>
      <c r="H513" t="s">
        <v>323</v>
      </c>
      <c r="I513" t="s">
        <v>45</v>
      </c>
      <c r="J513" t="s">
        <v>325</v>
      </c>
      <c r="K513" t="s">
        <v>285</v>
      </c>
      <c r="L513" t="s">
        <v>327</v>
      </c>
    </row>
    <row r="514" spans="1:12">
      <c r="A514" t="s">
        <v>318</v>
      </c>
      <c r="B514" t="s">
        <v>319</v>
      </c>
      <c r="C514" t="s">
        <v>764</v>
      </c>
      <c r="D514" s="28">
        <v>7610900100563</v>
      </c>
      <c r="E514" s="29" t="s">
        <v>371</v>
      </c>
      <c r="F514" s="29" t="s">
        <v>372</v>
      </c>
      <c r="G514">
        <v>12</v>
      </c>
      <c r="H514" t="s">
        <v>323</v>
      </c>
      <c r="I514" t="s">
        <v>45</v>
      </c>
      <c r="J514" t="s">
        <v>325</v>
      </c>
      <c r="K514" t="s">
        <v>285</v>
      </c>
      <c r="L514" t="s">
        <v>327</v>
      </c>
    </row>
    <row r="515" spans="1:12">
      <c r="A515" t="s">
        <v>318</v>
      </c>
      <c r="B515" t="s">
        <v>319</v>
      </c>
      <c r="C515" t="s">
        <v>765</v>
      </c>
      <c r="D515" s="28">
        <v>7610900100588</v>
      </c>
      <c r="E515" s="29" t="s">
        <v>371</v>
      </c>
      <c r="F515" s="29" t="s">
        <v>372</v>
      </c>
      <c r="G515">
        <v>12</v>
      </c>
      <c r="H515" t="s">
        <v>323</v>
      </c>
      <c r="I515" t="s">
        <v>45</v>
      </c>
      <c r="J515" t="s">
        <v>325</v>
      </c>
      <c r="K515" t="s">
        <v>285</v>
      </c>
      <c r="L515" t="s">
        <v>327</v>
      </c>
    </row>
    <row r="516" spans="1:12">
      <c r="A516" t="s">
        <v>318</v>
      </c>
      <c r="B516" t="s">
        <v>319</v>
      </c>
      <c r="C516" t="s">
        <v>688</v>
      </c>
      <c r="D516" s="28">
        <v>7610900100589</v>
      </c>
      <c r="E516" s="29" t="s">
        <v>371</v>
      </c>
      <c r="F516" s="29" t="s">
        <v>372</v>
      </c>
      <c r="G516">
        <v>10</v>
      </c>
      <c r="H516" t="s">
        <v>323</v>
      </c>
      <c r="I516" t="s">
        <v>45</v>
      </c>
      <c r="J516" t="s">
        <v>325</v>
      </c>
      <c r="K516" t="s">
        <v>285</v>
      </c>
      <c r="L516" t="s">
        <v>327</v>
      </c>
    </row>
    <row r="517" spans="1:12">
      <c r="A517" t="s">
        <v>318</v>
      </c>
      <c r="B517" t="s">
        <v>319</v>
      </c>
      <c r="C517" t="s">
        <v>766</v>
      </c>
      <c r="D517" s="28">
        <v>7610900100590</v>
      </c>
      <c r="E517" s="29" t="s">
        <v>371</v>
      </c>
      <c r="F517" s="29" t="s">
        <v>372</v>
      </c>
      <c r="G517">
        <v>13</v>
      </c>
      <c r="H517" t="s">
        <v>323</v>
      </c>
      <c r="I517" t="s">
        <v>45</v>
      </c>
      <c r="J517" t="s">
        <v>325</v>
      </c>
      <c r="K517" t="s">
        <v>285</v>
      </c>
      <c r="L517" t="s">
        <v>327</v>
      </c>
    </row>
    <row r="518" spans="1:12">
      <c r="A518" t="s">
        <v>318</v>
      </c>
      <c r="B518" t="s">
        <v>319</v>
      </c>
      <c r="C518" t="s">
        <v>519</v>
      </c>
      <c r="D518" s="28">
        <v>7610900100592</v>
      </c>
      <c r="E518" s="29" t="s">
        <v>371</v>
      </c>
      <c r="F518" s="29" t="s">
        <v>372</v>
      </c>
      <c r="G518">
        <v>12</v>
      </c>
      <c r="H518" t="s">
        <v>323</v>
      </c>
      <c r="I518" t="s">
        <v>45</v>
      </c>
      <c r="J518" t="s">
        <v>325</v>
      </c>
      <c r="K518" t="s">
        <v>285</v>
      </c>
      <c r="L518" t="s">
        <v>327</v>
      </c>
    </row>
    <row r="519" spans="1:12">
      <c r="A519" t="s">
        <v>318</v>
      </c>
      <c r="B519" t="s">
        <v>319</v>
      </c>
      <c r="C519" t="s">
        <v>741</v>
      </c>
      <c r="D519" s="28">
        <v>7610900100593</v>
      </c>
      <c r="E519" s="29" t="s">
        <v>371</v>
      </c>
      <c r="F519" s="29" t="s">
        <v>372</v>
      </c>
      <c r="G519">
        <v>9</v>
      </c>
      <c r="H519" t="s">
        <v>323</v>
      </c>
      <c r="I519" t="s">
        <v>45</v>
      </c>
      <c r="J519" t="s">
        <v>325</v>
      </c>
      <c r="K519" t="s">
        <v>285</v>
      </c>
      <c r="L519" t="s">
        <v>327</v>
      </c>
    </row>
    <row r="520" spans="1:12">
      <c r="A520" t="s">
        <v>318</v>
      </c>
      <c r="B520" t="s">
        <v>319</v>
      </c>
      <c r="C520" t="s">
        <v>767</v>
      </c>
      <c r="D520" s="28">
        <v>7610900100594</v>
      </c>
      <c r="E520" s="29" t="s">
        <v>371</v>
      </c>
      <c r="F520" s="29" t="s">
        <v>372</v>
      </c>
      <c r="G520">
        <v>12</v>
      </c>
      <c r="H520" t="s">
        <v>323</v>
      </c>
      <c r="I520" t="s">
        <v>45</v>
      </c>
      <c r="J520" t="s">
        <v>325</v>
      </c>
      <c r="K520" t="s">
        <v>285</v>
      </c>
      <c r="L520" t="s">
        <v>327</v>
      </c>
    </row>
    <row r="521" spans="1:12">
      <c r="A521" t="s">
        <v>318</v>
      </c>
      <c r="B521" t="s">
        <v>319</v>
      </c>
      <c r="C521" t="s">
        <v>768</v>
      </c>
      <c r="D521" s="28">
        <v>7610900100598</v>
      </c>
      <c r="E521" s="29" t="s">
        <v>371</v>
      </c>
      <c r="F521" s="29" t="s">
        <v>372</v>
      </c>
      <c r="G521">
        <v>12</v>
      </c>
      <c r="H521" t="s">
        <v>323</v>
      </c>
      <c r="I521" t="s">
        <v>45</v>
      </c>
      <c r="J521" t="s">
        <v>325</v>
      </c>
      <c r="K521" t="s">
        <v>285</v>
      </c>
      <c r="L521" t="s">
        <v>327</v>
      </c>
    </row>
    <row r="522" spans="1:12">
      <c r="A522" t="s">
        <v>318</v>
      </c>
      <c r="B522" t="s">
        <v>319</v>
      </c>
      <c r="C522" t="s">
        <v>769</v>
      </c>
      <c r="D522" s="28">
        <v>7610900100600</v>
      </c>
      <c r="E522" s="29" t="s">
        <v>371</v>
      </c>
      <c r="F522" s="29" t="s">
        <v>372</v>
      </c>
      <c r="G522">
        <v>9</v>
      </c>
      <c r="H522" t="s">
        <v>323</v>
      </c>
      <c r="I522" t="s">
        <v>45</v>
      </c>
      <c r="J522" t="s">
        <v>325</v>
      </c>
      <c r="K522" t="s">
        <v>285</v>
      </c>
      <c r="L522" t="s">
        <v>327</v>
      </c>
    </row>
    <row r="523" spans="1:12">
      <c r="A523" t="s">
        <v>318</v>
      </c>
      <c r="B523" t="s">
        <v>319</v>
      </c>
      <c r="C523" t="s">
        <v>770</v>
      </c>
      <c r="D523" s="28">
        <v>7610900100601</v>
      </c>
      <c r="E523" s="29" t="s">
        <v>371</v>
      </c>
      <c r="F523" s="29" t="s">
        <v>372</v>
      </c>
      <c r="G523">
        <v>13</v>
      </c>
      <c r="H523" t="s">
        <v>323</v>
      </c>
      <c r="I523" t="s">
        <v>45</v>
      </c>
      <c r="J523" t="s">
        <v>325</v>
      </c>
      <c r="K523" t="s">
        <v>285</v>
      </c>
      <c r="L523" t="s">
        <v>327</v>
      </c>
    </row>
    <row r="524" spans="1:12">
      <c r="A524" t="s">
        <v>318</v>
      </c>
      <c r="B524" t="s">
        <v>319</v>
      </c>
      <c r="C524" t="s">
        <v>771</v>
      </c>
      <c r="D524" s="28">
        <v>7610900100602</v>
      </c>
      <c r="E524" s="29" t="s">
        <v>529</v>
      </c>
      <c r="F524" s="29" t="s">
        <v>372</v>
      </c>
      <c r="G524">
        <v>15</v>
      </c>
      <c r="H524" t="s">
        <v>323</v>
      </c>
      <c r="I524" t="s">
        <v>45</v>
      </c>
      <c r="J524" t="s">
        <v>325</v>
      </c>
      <c r="K524" t="s">
        <v>285</v>
      </c>
      <c r="L524" t="s">
        <v>327</v>
      </c>
    </row>
    <row r="525" spans="1:12">
      <c r="A525" t="s">
        <v>318</v>
      </c>
      <c r="B525" t="s">
        <v>319</v>
      </c>
      <c r="C525" t="s">
        <v>772</v>
      </c>
      <c r="D525" s="28">
        <v>7610900116582</v>
      </c>
      <c r="E525" s="29" t="s">
        <v>371</v>
      </c>
      <c r="F525" s="29" t="s">
        <v>372</v>
      </c>
      <c r="G525">
        <v>11</v>
      </c>
      <c r="H525" t="s">
        <v>323</v>
      </c>
      <c r="I525" t="s">
        <v>45</v>
      </c>
      <c r="J525" t="s">
        <v>325</v>
      </c>
      <c r="K525" t="s">
        <v>285</v>
      </c>
      <c r="L525" t="s">
        <v>327</v>
      </c>
    </row>
    <row r="526" spans="1:12">
      <c r="A526" t="s">
        <v>318</v>
      </c>
      <c r="B526" t="s">
        <v>319</v>
      </c>
      <c r="C526" t="s">
        <v>591</v>
      </c>
      <c r="D526" s="28">
        <v>7610900077910</v>
      </c>
      <c r="E526" s="29" t="s">
        <v>371</v>
      </c>
      <c r="F526" s="29" t="s">
        <v>372</v>
      </c>
      <c r="G526">
        <v>4</v>
      </c>
      <c r="H526" t="s">
        <v>323</v>
      </c>
      <c r="I526" t="s">
        <v>45</v>
      </c>
      <c r="J526" t="s">
        <v>325</v>
      </c>
      <c r="K526" t="s">
        <v>285</v>
      </c>
      <c r="L526" t="s">
        <v>327</v>
      </c>
    </row>
    <row r="527" spans="1:12">
      <c r="A527" t="s">
        <v>318</v>
      </c>
      <c r="B527" t="s">
        <v>319</v>
      </c>
      <c r="C527" t="s">
        <v>773</v>
      </c>
      <c r="D527" s="28">
        <v>7610900081847</v>
      </c>
      <c r="E527" s="29" t="s">
        <v>371</v>
      </c>
      <c r="F527" s="29" t="s">
        <v>372</v>
      </c>
      <c r="G527">
        <v>7</v>
      </c>
      <c r="H527" t="s">
        <v>323</v>
      </c>
      <c r="I527" t="s">
        <v>45</v>
      </c>
      <c r="J527" t="s">
        <v>325</v>
      </c>
      <c r="K527" t="s">
        <v>285</v>
      </c>
      <c r="L527" t="s">
        <v>327</v>
      </c>
    </row>
    <row r="528" spans="1:12">
      <c r="A528" t="s">
        <v>318</v>
      </c>
      <c r="B528" t="s">
        <v>319</v>
      </c>
      <c r="C528" t="s">
        <v>774</v>
      </c>
      <c r="D528" s="28">
        <v>7610900086496</v>
      </c>
      <c r="E528" s="29" t="s">
        <v>371</v>
      </c>
      <c r="F528" s="29" t="s">
        <v>372</v>
      </c>
      <c r="G528">
        <v>11</v>
      </c>
      <c r="H528" t="s">
        <v>323</v>
      </c>
      <c r="I528" t="s">
        <v>45</v>
      </c>
      <c r="J528" t="s">
        <v>325</v>
      </c>
      <c r="K528" t="s">
        <v>285</v>
      </c>
      <c r="L528" t="s">
        <v>327</v>
      </c>
    </row>
    <row r="529" spans="1:12">
      <c r="A529" t="s">
        <v>318</v>
      </c>
      <c r="B529" t="s">
        <v>319</v>
      </c>
      <c r="C529" t="s">
        <v>775</v>
      </c>
      <c r="D529" s="28">
        <v>7610900119153</v>
      </c>
      <c r="E529" s="29" t="s">
        <v>371</v>
      </c>
      <c r="F529" s="29" t="s">
        <v>372</v>
      </c>
      <c r="G529">
        <v>10</v>
      </c>
      <c r="H529" t="s">
        <v>323</v>
      </c>
      <c r="I529" t="s">
        <v>45</v>
      </c>
      <c r="J529" t="s">
        <v>325</v>
      </c>
      <c r="K529" t="s">
        <v>285</v>
      </c>
      <c r="L529" t="s">
        <v>327</v>
      </c>
    </row>
    <row r="530" spans="1:12">
      <c r="A530" t="s">
        <v>318</v>
      </c>
      <c r="B530" t="s">
        <v>319</v>
      </c>
      <c r="C530" t="s">
        <v>776</v>
      </c>
      <c r="D530" s="28">
        <v>7610900122661</v>
      </c>
      <c r="E530" s="29" t="s">
        <v>371</v>
      </c>
      <c r="F530" s="29" t="s">
        <v>372</v>
      </c>
      <c r="G530">
        <v>13</v>
      </c>
      <c r="H530" t="s">
        <v>323</v>
      </c>
      <c r="I530" t="s">
        <v>45</v>
      </c>
      <c r="J530" t="s">
        <v>325</v>
      </c>
      <c r="K530" t="s">
        <v>285</v>
      </c>
      <c r="L530" t="s">
        <v>327</v>
      </c>
    </row>
    <row r="531" spans="1:12">
      <c r="A531" t="s">
        <v>318</v>
      </c>
      <c r="B531" t="s">
        <v>319</v>
      </c>
      <c r="C531" t="s">
        <v>777</v>
      </c>
      <c r="D531" s="28">
        <v>761091112227</v>
      </c>
      <c r="E531" s="29" t="s">
        <v>371</v>
      </c>
      <c r="F531" s="29" t="s">
        <v>372</v>
      </c>
      <c r="G531">
        <v>12</v>
      </c>
      <c r="H531" t="s">
        <v>323</v>
      </c>
      <c r="I531" t="s">
        <v>45</v>
      </c>
      <c r="J531" t="s">
        <v>325</v>
      </c>
      <c r="K531" t="s">
        <v>285</v>
      </c>
      <c r="L531" t="s">
        <v>327</v>
      </c>
    </row>
    <row r="532" spans="1:12">
      <c r="A532" t="s">
        <v>318</v>
      </c>
      <c r="B532" t="s">
        <v>319</v>
      </c>
      <c r="C532" t="s">
        <v>778</v>
      </c>
      <c r="D532" s="28">
        <v>761091112233</v>
      </c>
      <c r="E532" s="29" t="s">
        <v>371</v>
      </c>
      <c r="F532" s="29" t="s">
        <v>372</v>
      </c>
      <c r="G532">
        <v>12</v>
      </c>
      <c r="H532" t="s">
        <v>323</v>
      </c>
      <c r="I532" t="s">
        <v>324</v>
      </c>
      <c r="J532" t="s">
        <v>325</v>
      </c>
      <c r="K532" t="s">
        <v>285</v>
      </c>
      <c r="L532" t="s">
        <v>327</v>
      </c>
    </row>
    <row r="533" spans="1:12">
      <c r="A533" t="s">
        <v>318</v>
      </c>
      <c r="B533" t="s">
        <v>319</v>
      </c>
      <c r="C533" t="s">
        <v>779</v>
      </c>
      <c r="D533" s="28">
        <v>761091112247</v>
      </c>
      <c r="E533" s="29" t="s">
        <v>371</v>
      </c>
      <c r="F533" s="29" t="s">
        <v>372</v>
      </c>
      <c r="G533">
        <v>8</v>
      </c>
      <c r="H533" t="s">
        <v>323</v>
      </c>
      <c r="I533" t="s">
        <v>45</v>
      </c>
      <c r="J533" t="s">
        <v>325</v>
      </c>
      <c r="K533" t="s">
        <v>285</v>
      </c>
      <c r="L533" t="s">
        <v>327</v>
      </c>
    </row>
    <row r="534" spans="1:12">
      <c r="A534" t="s">
        <v>318</v>
      </c>
      <c r="B534" t="s">
        <v>319</v>
      </c>
      <c r="C534" t="s">
        <v>780</v>
      </c>
      <c r="D534" s="28">
        <v>761091112254</v>
      </c>
      <c r="E534" s="29" t="s">
        <v>371</v>
      </c>
      <c r="F534" s="29" t="s">
        <v>372</v>
      </c>
      <c r="G534">
        <v>12</v>
      </c>
      <c r="H534" t="s">
        <v>323</v>
      </c>
      <c r="I534" t="s">
        <v>45</v>
      </c>
      <c r="J534" t="s">
        <v>325</v>
      </c>
      <c r="K534" t="s">
        <v>285</v>
      </c>
      <c r="L534" t="s">
        <v>327</v>
      </c>
    </row>
    <row r="535" spans="1:12">
      <c r="A535" t="s">
        <v>318</v>
      </c>
      <c r="B535" t="s">
        <v>319</v>
      </c>
      <c r="C535" t="s">
        <v>536</v>
      </c>
      <c r="D535" s="28">
        <v>761091112265</v>
      </c>
      <c r="E535" s="29" t="s">
        <v>371</v>
      </c>
      <c r="F535" s="29" t="s">
        <v>372</v>
      </c>
      <c r="G535">
        <v>8</v>
      </c>
      <c r="H535" t="s">
        <v>323</v>
      </c>
      <c r="I535" t="s">
        <v>45</v>
      </c>
      <c r="J535" t="s">
        <v>325</v>
      </c>
      <c r="K535" t="s">
        <v>285</v>
      </c>
      <c r="L535" t="s">
        <v>327</v>
      </c>
    </row>
    <row r="536" spans="1:12">
      <c r="A536" t="s">
        <v>318</v>
      </c>
      <c r="B536" t="s">
        <v>319</v>
      </c>
      <c r="C536" t="s">
        <v>417</v>
      </c>
      <c r="D536" s="28">
        <v>761091112273</v>
      </c>
      <c r="E536" s="29" t="s">
        <v>371</v>
      </c>
      <c r="F536" s="29" t="s">
        <v>372</v>
      </c>
      <c r="G536">
        <v>12</v>
      </c>
      <c r="H536" t="s">
        <v>323</v>
      </c>
      <c r="I536" t="s">
        <v>45</v>
      </c>
      <c r="J536" t="s">
        <v>325</v>
      </c>
      <c r="K536" t="s">
        <v>285</v>
      </c>
      <c r="L536" t="s">
        <v>327</v>
      </c>
    </row>
    <row r="537" spans="1:12">
      <c r="A537" t="s">
        <v>318</v>
      </c>
      <c r="B537" t="s">
        <v>319</v>
      </c>
      <c r="C537" t="s">
        <v>781</v>
      </c>
      <c r="D537" s="28">
        <v>761091112276</v>
      </c>
      <c r="E537" s="29" t="s">
        <v>371</v>
      </c>
      <c r="F537" s="29" t="s">
        <v>372</v>
      </c>
      <c r="G537">
        <v>6</v>
      </c>
      <c r="H537" t="s">
        <v>323</v>
      </c>
      <c r="I537" t="s">
        <v>45</v>
      </c>
      <c r="J537" t="s">
        <v>325</v>
      </c>
      <c r="K537" t="s">
        <v>285</v>
      </c>
      <c r="L537" t="s">
        <v>327</v>
      </c>
    </row>
    <row r="538" spans="1:12">
      <c r="A538" t="s">
        <v>318</v>
      </c>
      <c r="B538" t="s">
        <v>319</v>
      </c>
      <c r="C538" t="s">
        <v>782</v>
      </c>
      <c r="D538" s="28">
        <v>761091112284</v>
      </c>
      <c r="E538" s="29" t="s">
        <v>371</v>
      </c>
      <c r="F538" s="29" t="s">
        <v>372</v>
      </c>
      <c r="G538">
        <v>9</v>
      </c>
      <c r="H538" t="s">
        <v>323</v>
      </c>
      <c r="I538" t="s">
        <v>45</v>
      </c>
      <c r="J538" t="s">
        <v>325</v>
      </c>
      <c r="K538" t="s">
        <v>285</v>
      </c>
      <c r="L538" t="s">
        <v>327</v>
      </c>
    </row>
    <row r="539" spans="1:12">
      <c r="A539" t="s">
        <v>318</v>
      </c>
      <c r="B539" t="s">
        <v>319</v>
      </c>
      <c r="C539" t="s">
        <v>388</v>
      </c>
      <c r="D539" s="28">
        <v>761091112293</v>
      </c>
      <c r="E539" s="29" t="s">
        <v>371</v>
      </c>
      <c r="F539" s="29" t="s">
        <v>372</v>
      </c>
      <c r="G539">
        <v>9</v>
      </c>
      <c r="H539" t="s">
        <v>323</v>
      </c>
      <c r="I539" t="s">
        <v>45</v>
      </c>
      <c r="J539" t="s">
        <v>325</v>
      </c>
      <c r="K539" t="s">
        <v>285</v>
      </c>
      <c r="L539" t="s">
        <v>327</v>
      </c>
    </row>
    <row r="540" spans="1:12">
      <c r="A540" t="s">
        <v>318</v>
      </c>
      <c r="B540" t="s">
        <v>319</v>
      </c>
      <c r="C540" t="s">
        <v>783</v>
      </c>
      <c r="D540" s="28">
        <v>761091112306</v>
      </c>
      <c r="E540" s="29" t="s">
        <v>371</v>
      </c>
      <c r="F540" s="29" t="s">
        <v>372</v>
      </c>
      <c r="G540">
        <v>10</v>
      </c>
      <c r="H540" t="s">
        <v>323</v>
      </c>
      <c r="I540" t="s">
        <v>45</v>
      </c>
      <c r="J540" t="s">
        <v>325</v>
      </c>
      <c r="K540" t="s">
        <v>285</v>
      </c>
      <c r="L540" t="s">
        <v>327</v>
      </c>
    </row>
    <row r="541" spans="1:12">
      <c r="A541" t="s">
        <v>318</v>
      </c>
      <c r="B541" t="s">
        <v>319</v>
      </c>
      <c r="C541" t="s">
        <v>387</v>
      </c>
      <c r="D541" s="28">
        <v>761091112313</v>
      </c>
      <c r="E541" s="29" t="s">
        <v>371</v>
      </c>
      <c r="F541" s="29" t="s">
        <v>372</v>
      </c>
      <c r="G541">
        <v>9</v>
      </c>
      <c r="H541" t="s">
        <v>323</v>
      </c>
      <c r="I541" t="s">
        <v>45</v>
      </c>
      <c r="J541" t="s">
        <v>325</v>
      </c>
      <c r="K541" t="s">
        <v>285</v>
      </c>
      <c r="L541" t="s">
        <v>327</v>
      </c>
    </row>
    <row r="542" spans="1:12">
      <c r="A542" t="s">
        <v>318</v>
      </c>
      <c r="B542" t="s">
        <v>319</v>
      </c>
      <c r="C542" t="s">
        <v>784</v>
      </c>
      <c r="D542" s="28">
        <v>761091112323</v>
      </c>
      <c r="E542" s="29" t="s">
        <v>371</v>
      </c>
      <c r="F542" s="29" t="s">
        <v>372</v>
      </c>
      <c r="G542">
        <v>12</v>
      </c>
      <c r="H542" t="s">
        <v>323</v>
      </c>
      <c r="I542" t="s">
        <v>45</v>
      </c>
      <c r="J542" t="s">
        <v>325</v>
      </c>
      <c r="K542" t="s">
        <v>285</v>
      </c>
      <c r="L542" t="s">
        <v>327</v>
      </c>
    </row>
    <row r="543" spans="1:12">
      <c r="A543" t="s">
        <v>318</v>
      </c>
      <c r="B543" t="s">
        <v>319</v>
      </c>
      <c r="C543" t="s">
        <v>785</v>
      </c>
      <c r="D543" s="28">
        <v>761091112325</v>
      </c>
      <c r="E543" s="29" t="s">
        <v>371</v>
      </c>
      <c r="F543" s="29" t="s">
        <v>372</v>
      </c>
      <c r="G543">
        <v>13</v>
      </c>
      <c r="H543" t="s">
        <v>323</v>
      </c>
      <c r="I543" t="s">
        <v>45</v>
      </c>
      <c r="J543" t="s">
        <v>325</v>
      </c>
      <c r="K543" t="s">
        <v>285</v>
      </c>
      <c r="L543" t="s">
        <v>327</v>
      </c>
    </row>
    <row r="544" spans="1:12">
      <c r="A544" t="s">
        <v>318</v>
      </c>
      <c r="B544" t="s">
        <v>319</v>
      </c>
      <c r="C544" t="s">
        <v>786</v>
      </c>
      <c r="D544" s="28">
        <v>761091112327</v>
      </c>
      <c r="E544" s="29" t="s">
        <v>371</v>
      </c>
      <c r="F544" s="29" t="s">
        <v>372</v>
      </c>
      <c r="G544">
        <v>10</v>
      </c>
      <c r="H544" t="s">
        <v>323</v>
      </c>
      <c r="I544" t="s">
        <v>45</v>
      </c>
      <c r="J544" t="s">
        <v>325</v>
      </c>
      <c r="K544" t="s">
        <v>285</v>
      </c>
      <c r="L544" t="s">
        <v>327</v>
      </c>
    </row>
    <row r="545" spans="1:12">
      <c r="A545" t="s">
        <v>318</v>
      </c>
      <c r="B545" t="s">
        <v>319</v>
      </c>
      <c r="C545" t="s">
        <v>442</v>
      </c>
      <c r="D545" s="28">
        <v>761091112333</v>
      </c>
      <c r="E545" s="29" t="s">
        <v>371</v>
      </c>
      <c r="F545" s="29" t="s">
        <v>372</v>
      </c>
      <c r="G545">
        <v>9</v>
      </c>
      <c r="H545" t="s">
        <v>323</v>
      </c>
      <c r="I545" t="s">
        <v>45</v>
      </c>
      <c r="J545" t="s">
        <v>325</v>
      </c>
      <c r="K545" t="s">
        <v>285</v>
      </c>
      <c r="L545" t="s">
        <v>327</v>
      </c>
    </row>
    <row r="546" spans="1:12">
      <c r="A546" t="s">
        <v>318</v>
      </c>
      <c r="B546" t="s">
        <v>319</v>
      </c>
      <c r="C546" t="s">
        <v>505</v>
      </c>
      <c r="D546" s="28">
        <v>761091112343</v>
      </c>
      <c r="E546" s="29" t="s">
        <v>371</v>
      </c>
      <c r="F546" s="29" t="s">
        <v>372</v>
      </c>
      <c r="G546">
        <v>12</v>
      </c>
      <c r="H546" t="s">
        <v>323</v>
      </c>
      <c r="I546" t="s">
        <v>45</v>
      </c>
      <c r="J546" t="s">
        <v>325</v>
      </c>
      <c r="K546" t="s">
        <v>285</v>
      </c>
      <c r="L546" t="s">
        <v>327</v>
      </c>
    </row>
    <row r="547" spans="1:12">
      <c r="A547" t="s">
        <v>318</v>
      </c>
      <c r="B547" t="s">
        <v>319</v>
      </c>
      <c r="C547" t="s">
        <v>787</v>
      </c>
      <c r="D547" s="28">
        <v>761091112360</v>
      </c>
      <c r="E547" s="29" t="s">
        <v>371</v>
      </c>
      <c r="F547" s="29" t="s">
        <v>372</v>
      </c>
      <c r="G547">
        <v>7</v>
      </c>
      <c r="H547" t="s">
        <v>323</v>
      </c>
      <c r="I547" t="s">
        <v>45</v>
      </c>
      <c r="J547" t="s">
        <v>325</v>
      </c>
      <c r="K547" t="s">
        <v>285</v>
      </c>
      <c r="L547" t="s">
        <v>327</v>
      </c>
    </row>
    <row r="548" spans="1:12">
      <c r="A548" t="s">
        <v>318</v>
      </c>
      <c r="B548" t="s">
        <v>319</v>
      </c>
      <c r="C548" t="s">
        <v>788</v>
      </c>
      <c r="D548" s="28">
        <v>761091112411</v>
      </c>
      <c r="E548" s="29" t="s">
        <v>371</v>
      </c>
      <c r="F548" s="29" t="s">
        <v>372</v>
      </c>
      <c r="G548">
        <v>12</v>
      </c>
      <c r="H548" t="s">
        <v>323</v>
      </c>
      <c r="I548" t="s">
        <v>45</v>
      </c>
      <c r="J548" t="s">
        <v>325</v>
      </c>
      <c r="K548" t="s">
        <v>285</v>
      </c>
      <c r="L548" t="s">
        <v>327</v>
      </c>
    </row>
    <row r="549" spans="1:12">
      <c r="A549" t="s">
        <v>318</v>
      </c>
      <c r="B549" t="s">
        <v>319</v>
      </c>
      <c r="C549" t="s">
        <v>789</v>
      </c>
      <c r="D549" s="28">
        <v>761091112414</v>
      </c>
      <c r="E549" s="29" t="s">
        <v>371</v>
      </c>
      <c r="F549" s="29" t="s">
        <v>372</v>
      </c>
      <c r="G549">
        <v>9</v>
      </c>
      <c r="H549" t="s">
        <v>323</v>
      </c>
      <c r="I549" t="s">
        <v>45</v>
      </c>
      <c r="J549" t="s">
        <v>325</v>
      </c>
      <c r="K549" t="s">
        <v>285</v>
      </c>
      <c r="L549" t="s">
        <v>327</v>
      </c>
    </row>
    <row r="550" spans="1:12">
      <c r="A550" t="s">
        <v>318</v>
      </c>
      <c r="B550" t="s">
        <v>319</v>
      </c>
      <c r="C550" t="s">
        <v>572</v>
      </c>
      <c r="D550" s="28">
        <v>761091112901</v>
      </c>
      <c r="E550" s="29" t="s">
        <v>371</v>
      </c>
      <c r="F550" s="29" t="s">
        <v>372</v>
      </c>
      <c r="G550">
        <v>13</v>
      </c>
      <c r="H550" t="s">
        <v>323</v>
      </c>
      <c r="I550" t="s">
        <v>45</v>
      </c>
      <c r="J550" t="s">
        <v>325</v>
      </c>
      <c r="K550" t="s">
        <v>285</v>
      </c>
      <c r="L550" t="s">
        <v>327</v>
      </c>
    </row>
    <row r="551" spans="1:12">
      <c r="A551" t="s">
        <v>318</v>
      </c>
      <c r="B551" t="s">
        <v>319</v>
      </c>
      <c r="C551" t="s">
        <v>573</v>
      </c>
      <c r="D551" s="28">
        <v>761091112903</v>
      </c>
      <c r="E551" s="29" t="s">
        <v>371</v>
      </c>
      <c r="F551" s="29" t="s">
        <v>372</v>
      </c>
      <c r="G551">
        <v>9</v>
      </c>
      <c r="H551" t="s">
        <v>323</v>
      </c>
      <c r="I551" t="s">
        <v>45</v>
      </c>
      <c r="J551" t="s">
        <v>325</v>
      </c>
      <c r="K551" t="s">
        <v>285</v>
      </c>
      <c r="L551" t="s">
        <v>327</v>
      </c>
    </row>
    <row r="552" spans="1:12">
      <c r="A552" t="s">
        <v>318</v>
      </c>
      <c r="B552" t="s">
        <v>319</v>
      </c>
      <c r="C552" t="s">
        <v>790</v>
      </c>
      <c r="D552" s="28">
        <v>761091112904</v>
      </c>
      <c r="E552" s="29" t="s">
        <v>371</v>
      </c>
      <c r="F552" s="29" t="s">
        <v>372</v>
      </c>
      <c r="G552">
        <v>11</v>
      </c>
      <c r="H552" t="s">
        <v>323</v>
      </c>
      <c r="I552" t="s">
        <v>45</v>
      </c>
      <c r="J552" t="s">
        <v>325</v>
      </c>
      <c r="K552" t="s">
        <v>285</v>
      </c>
      <c r="L552" t="s">
        <v>327</v>
      </c>
    </row>
    <row r="553" spans="1:12">
      <c r="A553" t="s">
        <v>318</v>
      </c>
      <c r="B553" t="s">
        <v>319</v>
      </c>
      <c r="C553" t="s">
        <v>568</v>
      </c>
      <c r="D553" s="28">
        <v>761091112905</v>
      </c>
      <c r="E553" s="29" t="s">
        <v>371</v>
      </c>
      <c r="F553" s="29" t="s">
        <v>372</v>
      </c>
      <c r="G553">
        <v>11</v>
      </c>
      <c r="H553" t="s">
        <v>323</v>
      </c>
      <c r="I553" t="s">
        <v>45</v>
      </c>
      <c r="J553" t="s">
        <v>325</v>
      </c>
      <c r="K553" t="s">
        <v>285</v>
      </c>
      <c r="L553" t="s">
        <v>327</v>
      </c>
    </row>
    <row r="554" spans="1:12">
      <c r="A554" t="s">
        <v>318</v>
      </c>
      <c r="B554" t="s">
        <v>319</v>
      </c>
      <c r="C554" t="s">
        <v>791</v>
      </c>
      <c r="D554" s="28">
        <v>761091112906</v>
      </c>
      <c r="E554" s="29" t="s">
        <v>371</v>
      </c>
      <c r="F554" s="29" t="s">
        <v>372</v>
      </c>
      <c r="G554">
        <v>11</v>
      </c>
      <c r="H554" t="s">
        <v>323</v>
      </c>
      <c r="I554" t="s">
        <v>45</v>
      </c>
      <c r="J554" t="s">
        <v>325</v>
      </c>
      <c r="K554" t="s">
        <v>285</v>
      </c>
      <c r="L554" t="s">
        <v>327</v>
      </c>
    </row>
    <row r="555" spans="1:12">
      <c r="A555" t="s">
        <v>318</v>
      </c>
      <c r="B555" t="s">
        <v>319</v>
      </c>
      <c r="C555" t="s">
        <v>440</v>
      </c>
      <c r="D555" s="28">
        <v>761091113089</v>
      </c>
      <c r="E555" s="29" t="s">
        <v>371</v>
      </c>
      <c r="F555" s="29" t="s">
        <v>372</v>
      </c>
      <c r="G555">
        <v>12</v>
      </c>
      <c r="H555" t="s">
        <v>323</v>
      </c>
      <c r="I555" t="s">
        <v>45</v>
      </c>
      <c r="J555" t="s">
        <v>325</v>
      </c>
      <c r="K555" t="s">
        <v>285</v>
      </c>
      <c r="L555" t="s">
        <v>327</v>
      </c>
    </row>
    <row r="556" spans="1:12">
      <c r="A556" t="s">
        <v>318</v>
      </c>
      <c r="B556" t="s">
        <v>319</v>
      </c>
      <c r="C556" t="s">
        <v>792</v>
      </c>
      <c r="D556" s="28">
        <v>761091113234</v>
      </c>
      <c r="E556" s="29" t="s">
        <v>371</v>
      </c>
      <c r="F556" s="29" t="s">
        <v>372</v>
      </c>
      <c r="G556">
        <v>8</v>
      </c>
      <c r="H556" t="s">
        <v>323</v>
      </c>
      <c r="I556" t="s">
        <v>45</v>
      </c>
      <c r="J556" t="s">
        <v>325</v>
      </c>
      <c r="K556" t="s">
        <v>285</v>
      </c>
      <c r="L556" t="s">
        <v>327</v>
      </c>
    </row>
    <row r="557" spans="1:12">
      <c r="A557" t="s">
        <v>318</v>
      </c>
      <c r="B557" t="s">
        <v>319</v>
      </c>
      <c r="C557" t="s">
        <v>793</v>
      </c>
      <c r="D557" s="28">
        <v>761091113247</v>
      </c>
      <c r="E557" s="29" t="s">
        <v>371</v>
      </c>
      <c r="F557" s="29" t="s">
        <v>372</v>
      </c>
      <c r="G557">
        <v>11</v>
      </c>
      <c r="H557" t="s">
        <v>323</v>
      </c>
      <c r="I557" t="s">
        <v>45</v>
      </c>
      <c r="J557" t="s">
        <v>325</v>
      </c>
      <c r="K557" t="s">
        <v>285</v>
      </c>
      <c r="L557" t="s">
        <v>327</v>
      </c>
    </row>
    <row r="558" spans="1:12">
      <c r="A558" t="s">
        <v>318</v>
      </c>
      <c r="B558" t="s">
        <v>319</v>
      </c>
      <c r="C558" t="s">
        <v>511</v>
      </c>
      <c r="D558" s="28">
        <v>761091113602</v>
      </c>
      <c r="E558" s="29" t="s">
        <v>371</v>
      </c>
      <c r="F558" s="29" t="s">
        <v>372</v>
      </c>
      <c r="G558">
        <v>12</v>
      </c>
      <c r="H558" t="s">
        <v>323</v>
      </c>
      <c r="I558" t="s">
        <v>45</v>
      </c>
      <c r="J558" t="s">
        <v>325</v>
      </c>
      <c r="K558" t="s">
        <v>285</v>
      </c>
      <c r="L558" t="s">
        <v>327</v>
      </c>
    </row>
    <row r="559" spans="1:12">
      <c r="A559" t="s">
        <v>318</v>
      </c>
      <c r="B559" t="s">
        <v>319</v>
      </c>
      <c r="C559" t="s">
        <v>794</v>
      </c>
      <c r="D559" s="28">
        <v>761091113715</v>
      </c>
      <c r="E559" s="29" t="s">
        <v>371</v>
      </c>
      <c r="F559" s="29" t="s">
        <v>372</v>
      </c>
      <c r="G559">
        <v>12</v>
      </c>
      <c r="H559" t="s">
        <v>323</v>
      </c>
      <c r="I559" t="s">
        <v>45</v>
      </c>
      <c r="J559" t="s">
        <v>325</v>
      </c>
      <c r="K559" t="s">
        <v>285</v>
      </c>
      <c r="L559" t="s">
        <v>327</v>
      </c>
    </row>
    <row r="560" spans="1:12">
      <c r="A560" t="s">
        <v>318</v>
      </c>
      <c r="B560" t="s">
        <v>319</v>
      </c>
      <c r="C560" t="s">
        <v>795</v>
      </c>
      <c r="D560" s="28">
        <v>761091113720</v>
      </c>
      <c r="E560" s="29" t="s">
        <v>371</v>
      </c>
      <c r="F560" s="29" t="s">
        <v>372</v>
      </c>
      <c r="G560">
        <v>12</v>
      </c>
      <c r="H560" t="s">
        <v>323</v>
      </c>
      <c r="I560" t="s">
        <v>45</v>
      </c>
      <c r="J560" t="s">
        <v>325</v>
      </c>
      <c r="K560" t="s">
        <v>285</v>
      </c>
      <c r="L560" t="s">
        <v>327</v>
      </c>
    </row>
    <row r="561" spans="1:12">
      <c r="A561" t="s">
        <v>318</v>
      </c>
      <c r="B561" t="s">
        <v>319</v>
      </c>
      <c r="C561" t="s">
        <v>796</v>
      </c>
      <c r="D561" s="28">
        <v>761091113724</v>
      </c>
      <c r="E561" s="29" t="s">
        <v>371</v>
      </c>
      <c r="F561" s="29" t="s">
        <v>372</v>
      </c>
      <c r="G561">
        <v>10</v>
      </c>
      <c r="H561" t="s">
        <v>323</v>
      </c>
      <c r="I561" t="s">
        <v>45</v>
      </c>
      <c r="J561" t="s">
        <v>325</v>
      </c>
      <c r="K561" t="s">
        <v>285</v>
      </c>
      <c r="L561" t="s">
        <v>327</v>
      </c>
    </row>
    <row r="562" spans="1:12">
      <c r="A562" t="s">
        <v>318</v>
      </c>
      <c r="B562" t="s">
        <v>319</v>
      </c>
      <c r="C562" t="s">
        <v>377</v>
      </c>
      <c r="D562" s="28">
        <v>761091113726</v>
      </c>
      <c r="E562" s="29" t="s">
        <v>371</v>
      </c>
      <c r="F562" s="29" t="s">
        <v>372</v>
      </c>
      <c r="G562">
        <v>12</v>
      </c>
      <c r="H562" t="s">
        <v>323</v>
      </c>
      <c r="I562" t="s">
        <v>45</v>
      </c>
      <c r="J562" t="s">
        <v>325</v>
      </c>
      <c r="K562" t="s">
        <v>285</v>
      </c>
      <c r="L562" t="s">
        <v>327</v>
      </c>
    </row>
    <row r="563" spans="1:12">
      <c r="A563" t="s">
        <v>318</v>
      </c>
      <c r="B563" t="s">
        <v>319</v>
      </c>
      <c r="C563" t="s">
        <v>387</v>
      </c>
      <c r="D563" s="28">
        <v>761091114213</v>
      </c>
      <c r="E563" s="29" t="s">
        <v>371</v>
      </c>
      <c r="F563" s="29" t="s">
        <v>372</v>
      </c>
      <c r="G563">
        <v>10</v>
      </c>
      <c r="H563" t="s">
        <v>323</v>
      </c>
      <c r="I563" t="s">
        <v>45</v>
      </c>
      <c r="J563" t="s">
        <v>325</v>
      </c>
      <c r="K563" t="s">
        <v>285</v>
      </c>
      <c r="L563" t="s">
        <v>327</v>
      </c>
    </row>
    <row r="564" spans="1:12">
      <c r="A564" t="s">
        <v>318</v>
      </c>
      <c r="B564" t="s">
        <v>319</v>
      </c>
      <c r="C564" t="s">
        <v>454</v>
      </c>
      <c r="D564" s="28">
        <v>761091114283</v>
      </c>
      <c r="E564" s="29" t="s">
        <v>371</v>
      </c>
      <c r="F564" s="29" t="s">
        <v>372</v>
      </c>
      <c r="G564">
        <v>6</v>
      </c>
      <c r="H564" t="s">
        <v>323</v>
      </c>
      <c r="I564" t="s">
        <v>45</v>
      </c>
      <c r="J564" t="s">
        <v>325</v>
      </c>
      <c r="K564" t="s">
        <v>285</v>
      </c>
      <c r="L564" t="s">
        <v>327</v>
      </c>
    </row>
    <row r="565" spans="1:12">
      <c r="A565" t="s">
        <v>318</v>
      </c>
      <c r="B565" t="s">
        <v>319</v>
      </c>
      <c r="C565" t="s">
        <v>454</v>
      </c>
      <c r="D565" s="28">
        <v>761091114366</v>
      </c>
      <c r="E565" s="29" t="s">
        <v>371</v>
      </c>
      <c r="F565" s="29" t="s">
        <v>372</v>
      </c>
      <c r="G565">
        <v>7</v>
      </c>
      <c r="H565" t="s">
        <v>323</v>
      </c>
      <c r="I565" t="s">
        <v>45</v>
      </c>
      <c r="J565" t="s">
        <v>325</v>
      </c>
      <c r="K565" t="s">
        <v>285</v>
      </c>
      <c r="L565" t="s">
        <v>327</v>
      </c>
    </row>
    <row r="566" spans="1:12">
      <c r="A566" t="s">
        <v>318</v>
      </c>
      <c r="B566" t="s">
        <v>319</v>
      </c>
      <c r="C566" t="s">
        <v>511</v>
      </c>
      <c r="D566" s="28">
        <v>761091114368</v>
      </c>
      <c r="E566" s="29" t="s">
        <v>371</v>
      </c>
      <c r="F566" s="29" t="s">
        <v>372</v>
      </c>
      <c r="G566">
        <v>4</v>
      </c>
      <c r="H566" t="s">
        <v>323</v>
      </c>
      <c r="I566" t="s">
        <v>45</v>
      </c>
      <c r="J566" t="s">
        <v>325</v>
      </c>
      <c r="K566" t="s">
        <v>285</v>
      </c>
      <c r="L566" t="s">
        <v>327</v>
      </c>
    </row>
    <row r="567" spans="1:12">
      <c r="A567" t="s">
        <v>318</v>
      </c>
      <c r="B567" t="s">
        <v>319</v>
      </c>
      <c r="C567" t="s">
        <v>797</v>
      </c>
      <c r="D567" s="28">
        <v>7610900096558</v>
      </c>
      <c r="E567" s="29" t="s">
        <v>371</v>
      </c>
      <c r="F567" s="29" t="s">
        <v>372</v>
      </c>
      <c r="G567">
        <v>9</v>
      </c>
      <c r="H567" t="s">
        <v>323</v>
      </c>
      <c r="I567" t="s">
        <v>45</v>
      </c>
      <c r="J567" t="s">
        <v>325</v>
      </c>
      <c r="K567" t="s">
        <v>285</v>
      </c>
      <c r="L567" t="s">
        <v>327</v>
      </c>
    </row>
    <row r="568" spans="1:12">
      <c r="A568" t="s">
        <v>318</v>
      </c>
      <c r="B568" t="s">
        <v>319</v>
      </c>
      <c r="C568" t="s">
        <v>453</v>
      </c>
      <c r="D568" s="28">
        <v>7610900096566</v>
      </c>
      <c r="E568" s="29" t="s">
        <v>371</v>
      </c>
      <c r="F568" s="29" t="s">
        <v>372</v>
      </c>
      <c r="G568">
        <v>11</v>
      </c>
      <c r="H568" t="s">
        <v>323</v>
      </c>
      <c r="I568" t="s">
        <v>45</v>
      </c>
      <c r="J568" t="s">
        <v>325</v>
      </c>
      <c r="K568" t="s">
        <v>285</v>
      </c>
      <c r="L568" t="s">
        <v>327</v>
      </c>
    </row>
    <row r="569" spans="1:12">
      <c r="A569" t="s">
        <v>318</v>
      </c>
      <c r="B569" t="s">
        <v>319</v>
      </c>
      <c r="C569" t="s">
        <v>798</v>
      </c>
      <c r="D569" s="28">
        <v>7610900096576</v>
      </c>
      <c r="E569" s="29" t="s">
        <v>371</v>
      </c>
      <c r="F569" s="29" t="s">
        <v>372</v>
      </c>
      <c r="G569">
        <v>8</v>
      </c>
      <c r="H569" t="s">
        <v>323</v>
      </c>
      <c r="I569" t="s">
        <v>45</v>
      </c>
      <c r="J569" t="s">
        <v>325</v>
      </c>
      <c r="K569" t="s">
        <v>285</v>
      </c>
      <c r="L569" t="s">
        <v>327</v>
      </c>
    </row>
    <row r="570" spans="1:12">
      <c r="A570" t="s">
        <v>318</v>
      </c>
      <c r="B570" t="s">
        <v>319</v>
      </c>
      <c r="C570" t="s">
        <v>571</v>
      </c>
      <c r="D570" s="28">
        <v>7610900096586</v>
      </c>
      <c r="E570" s="29" t="s">
        <v>371</v>
      </c>
      <c r="F570" s="29" t="s">
        <v>372</v>
      </c>
      <c r="G570">
        <v>8</v>
      </c>
      <c r="H570" t="s">
        <v>323</v>
      </c>
      <c r="I570" t="s">
        <v>45</v>
      </c>
      <c r="J570" t="s">
        <v>325</v>
      </c>
      <c r="K570" t="s">
        <v>285</v>
      </c>
      <c r="L570" t="s">
        <v>327</v>
      </c>
    </row>
    <row r="571" spans="1:12">
      <c r="A571" t="s">
        <v>318</v>
      </c>
      <c r="B571" t="s">
        <v>319</v>
      </c>
      <c r="C571" t="s">
        <v>799</v>
      </c>
      <c r="D571" s="28">
        <v>7610900096588</v>
      </c>
      <c r="E571" s="29" t="s">
        <v>371</v>
      </c>
      <c r="F571" s="29" t="s">
        <v>372</v>
      </c>
      <c r="G571">
        <v>11</v>
      </c>
      <c r="H571" t="s">
        <v>323</v>
      </c>
      <c r="I571" t="s">
        <v>45</v>
      </c>
      <c r="J571" t="s">
        <v>325</v>
      </c>
      <c r="K571" t="s">
        <v>285</v>
      </c>
      <c r="L571" t="s">
        <v>327</v>
      </c>
    </row>
    <row r="572" spans="1:12">
      <c r="A572" t="s">
        <v>318</v>
      </c>
      <c r="B572" t="s">
        <v>319</v>
      </c>
      <c r="C572" t="s">
        <v>519</v>
      </c>
      <c r="D572" s="28">
        <v>7610900096589</v>
      </c>
      <c r="E572" s="29" t="s">
        <v>371</v>
      </c>
      <c r="F572" s="29" t="s">
        <v>372</v>
      </c>
      <c r="G572">
        <v>6</v>
      </c>
      <c r="H572" t="s">
        <v>323</v>
      </c>
      <c r="I572" t="s">
        <v>45</v>
      </c>
      <c r="J572" t="s">
        <v>325</v>
      </c>
      <c r="K572" t="s">
        <v>285</v>
      </c>
      <c r="L572" t="s">
        <v>327</v>
      </c>
    </row>
    <row r="573" spans="1:12">
      <c r="A573" t="s">
        <v>318</v>
      </c>
      <c r="B573" t="s">
        <v>319</v>
      </c>
      <c r="C573" t="s">
        <v>800</v>
      </c>
      <c r="D573" s="28">
        <v>7610900096590</v>
      </c>
      <c r="E573" s="29" t="s">
        <v>371</v>
      </c>
      <c r="F573" s="29" t="s">
        <v>372</v>
      </c>
      <c r="G573">
        <v>4</v>
      </c>
      <c r="H573" t="s">
        <v>323</v>
      </c>
      <c r="I573" t="s">
        <v>45</v>
      </c>
      <c r="J573" t="s">
        <v>325</v>
      </c>
      <c r="K573" t="s">
        <v>285</v>
      </c>
      <c r="L573" t="s">
        <v>327</v>
      </c>
    </row>
    <row r="574" spans="1:12">
      <c r="A574" t="s">
        <v>318</v>
      </c>
      <c r="B574" t="s">
        <v>319</v>
      </c>
      <c r="C574" t="s">
        <v>801</v>
      </c>
      <c r="D574" s="28">
        <v>7610900096591</v>
      </c>
      <c r="E574" s="29" t="s">
        <v>371</v>
      </c>
      <c r="F574" s="29" t="s">
        <v>372</v>
      </c>
      <c r="G574">
        <v>0</v>
      </c>
      <c r="H574" t="s">
        <v>323</v>
      </c>
      <c r="I574" t="s">
        <v>45</v>
      </c>
      <c r="J574" t="s">
        <v>325</v>
      </c>
      <c r="K574" t="s">
        <v>285</v>
      </c>
      <c r="L574" t="s">
        <v>327</v>
      </c>
    </row>
    <row r="575" spans="1:12">
      <c r="A575" t="s">
        <v>318</v>
      </c>
      <c r="B575" t="s">
        <v>319</v>
      </c>
      <c r="C575" t="s">
        <v>802</v>
      </c>
      <c r="D575" s="28">
        <v>7610900096592</v>
      </c>
      <c r="E575" s="29" t="s">
        <v>371</v>
      </c>
      <c r="F575" s="29" t="s">
        <v>372</v>
      </c>
      <c r="G575">
        <v>13</v>
      </c>
      <c r="H575" t="s">
        <v>323</v>
      </c>
      <c r="I575" t="s">
        <v>45</v>
      </c>
      <c r="J575" t="s">
        <v>325</v>
      </c>
      <c r="K575" t="s">
        <v>285</v>
      </c>
      <c r="L575" t="s">
        <v>327</v>
      </c>
    </row>
    <row r="576" spans="1:12">
      <c r="A576" t="s">
        <v>318</v>
      </c>
      <c r="B576" t="s">
        <v>319</v>
      </c>
      <c r="C576" t="s">
        <v>658</v>
      </c>
      <c r="D576" s="28">
        <v>7610900096594</v>
      </c>
      <c r="E576" s="29" t="s">
        <v>371</v>
      </c>
      <c r="F576" s="29" t="s">
        <v>372</v>
      </c>
      <c r="G576">
        <v>13</v>
      </c>
      <c r="H576" t="s">
        <v>323</v>
      </c>
      <c r="I576" t="s">
        <v>45</v>
      </c>
      <c r="J576" t="s">
        <v>325</v>
      </c>
      <c r="K576" t="s">
        <v>285</v>
      </c>
      <c r="L576" t="s">
        <v>327</v>
      </c>
    </row>
    <row r="577" spans="1:12">
      <c r="A577" t="s">
        <v>318</v>
      </c>
      <c r="B577" t="s">
        <v>319</v>
      </c>
      <c r="C577" t="s">
        <v>373</v>
      </c>
      <c r="D577" s="28">
        <v>7610900096600</v>
      </c>
      <c r="E577" s="29" t="s">
        <v>371</v>
      </c>
      <c r="F577" s="29" t="s">
        <v>372</v>
      </c>
      <c r="G577">
        <v>12</v>
      </c>
      <c r="H577" t="s">
        <v>323</v>
      </c>
      <c r="I577" t="s">
        <v>45</v>
      </c>
      <c r="J577" t="s">
        <v>325</v>
      </c>
      <c r="K577" t="s">
        <v>285</v>
      </c>
      <c r="L577" t="s">
        <v>327</v>
      </c>
    </row>
    <row r="578" spans="1:12">
      <c r="A578" t="s">
        <v>318</v>
      </c>
      <c r="B578" t="s">
        <v>319</v>
      </c>
      <c r="C578" t="s">
        <v>379</v>
      </c>
      <c r="D578" s="28">
        <v>7610900096601</v>
      </c>
      <c r="E578" s="29" t="s">
        <v>371</v>
      </c>
      <c r="F578" s="29" t="s">
        <v>372</v>
      </c>
      <c r="G578">
        <v>8</v>
      </c>
      <c r="H578" t="s">
        <v>323</v>
      </c>
      <c r="I578" t="s">
        <v>45</v>
      </c>
      <c r="J578" t="s">
        <v>325</v>
      </c>
      <c r="K578" t="s">
        <v>285</v>
      </c>
      <c r="L578" t="s">
        <v>327</v>
      </c>
    </row>
    <row r="579" spans="1:12">
      <c r="A579" t="s">
        <v>318</v>
      </c>
      <c r="B579" t="s">
        <v>319</v>
      </c>
      <c r="C579" t="s">
        <v>803</v>
      </c>
      <c r="D579" s="28">
        <v>7610900096605</v>
      </c>
      <c r="E579" s="29" t="s">
        <v>371</v>
      </c>
      <c r="F579" s="29" t="s">
        <v>372</v>
      </c>
      <c r="G579">
        <v>0</v>
      </c>
      <c r="H579" t="s">
        <v>323</v>
      </c>
      <c r="I579" t="s">
        <v>45</v>
      </c>
      <c r="J579" t="s">
        <v>325</v>
      </c>
      <c r="K579" t="s">
        <v>285</v>
      </c>
      <c r="L579" t="s">
        <v>327</v>
      </c>
    </row>
    <row r="580" spans="1:12">
      <c r="A580" t="s">
        <v>318</v>
      </c>
      <c r="B580" t="s">
        <v>319</v>
      </c>
      <c r="C580" t="s">
        <v>804</v>
      </c>
      <c r="D580" s="28">
        <v>7610900096606</v>
      </c>
      <c r="E580" s="29" t="s">
        <v>371</v>
      </c>
      <c r="F580" s="29" t="s">
        <v>372</v>
      </c>
      <c r="G580">
        <v>9</v>
      </c>
      <c r="H580" t="s">
        <v>323</v>
      </c>
      <c r="I580" t="s">
        <v>45</v>
      </c>
      <c r="J580" t="s">
        <v>325</v>
      </c>
      <c r="K580" t="s">
        <v>285</v>
      </c>
      <c r="L580" t="s">
        <v>327</v>
      </c>
    </row>
    <row r="581" spans="1:12">
      <c r="A581" t="s">
        <v>318</v>
      </c>
      <c r="B581" t="s">
        <v>319</v>
      </c>
      <c r="C581" t="s">
        <v>805</v>
      </c>
      <c r="D581" s="28">
        <v>7610900096609</v>
      </c>
      <c r="E581" s="29" t="s">
        <v>371</v>
      </c>
      <c r="F581" s="29" t="s">
        <v>372</v>
      </c>
      <c r="G581">
        <v>9</v>
      </c>
      <c r="H581" t="s">
        <v>323</v>
      </c>
      <c r="I581" t="s">
        <v>45</v>
      </c>
      <c r="J581" t="s">
        <v>325</v>
      </c>
      <c r="K581" t="s">
        <v>285</v>
      </c>
      <c r="L581" t="s">
        <v>327</v>
      </c>
    </row>
    <row r="582" spans="1:12">
      <c r="A582" t="s">
        <v>318</v>
      </c>
      <c r="B582" t="s">
        <v>319</v>
      </c>
      <c r="C582" t="s">
        <v>806</v>
      </c>
      <c r="D582" s="28">
        <v>7610900096610</v>
      </c>
      <c r="E582" s="29" t="s">
        <v>371</v>
      </c>
      <c r="F582" s="29" t="s">
        <v>372</v>
      </c>
      <c r="G582">
        <v>10</v>
      </c>
      <c r="H582" t="s">
        <v>323</v>
      </c>
      <c r="I582" t="s">
        <v>45</v>
      </c>
      <c r="J582" t="s">
        <v>325</v>
      </c>
      <c r="K582" t="s">
        <v>285</v>
      </c>
      <c r="L582" t="s">
        <v>327</v>
      </c>
    </row>
    <row r="583" spans="1:12">
      <c r="A583" t="s">
        <v>318</v>
      </c>
      <c r="B583" t="s">
        <v>319</v>
      </c>
      <c r="C583" t="s">
        <v>807</v>
      </c>
      <c r="D583" s="28">
        <v>7610900096614</v>
      </c>
      <c r="E583" s="29" t="s">
        <v>371</v>
      </c>
      <c r="F583" s="29" t="s">
        <v>372</v>
      </c>
      <c r="G583">
        <v>13</v>
      </c>
      <c r="H583" t="s">
        <v>323</v>
      </c>
      <c r="I583" t="s">
        <v>45</v>
      </c>
      <c r="J583" t="s">
        <v>325</v>
      </c>
      <c r="K583" t="s">
        <v>285</v>
      </c>
      <c r="L583" t="s">
        <v>327</v>
      </c>
    </row>
    <row r="584" spans="1:12">
      <c r="A584" t="s">
        <v>318</v>
      </c>
      <c r="B584" t="s">
        <v>319</v>
      </c>
      <c r="C584" t="s">
        <v>808</v>
      </c>
      <c r="D584" s="28">
        <v>7610900096615</v>
      </c>
      <c r="E584" s="29" t="s">
        <v>371</v>
      </c>
      <c r="F584" s="29" t="s">
        <v>372</v>
      </c>
      <c r="G584">
        <v>9</v>
      </c>
      <c r="H584" t="s">
        <v>323</v>
      </c>
      <c r="I584" t="s">
        <v>45</v>
      </c>
      <c r="J584" t="s">
        <v>325</v>
      </c>
      <c r="K584" t="s">
        <v>285</v>
      </c>
      <c r="L584" t="s">
        <v>327</v>
      </c>
    </row>
    <row r="585" spans="1:12">
      <c r="A585" t="s">
        <v>318</v>
      </c>
      <c r="B585" t="s">
        <v>319</v>
      </c>
      <c r="C585" t="s">
        <v>809</v>
      </c>
      <c r="D585" s="28">
        <v>7610900096616</v>
      </c>
      <c r="E585" s="29" t="s">
        <v>371</v>
      </c>
      <c r="F585" s="29" t="s">
        <v>372</v>
      </c>
      <c r="G585">
        <v>6</v>
      </c>
      <c r="H585" t="s">
        <v>323</v>
      </c>
      <c r="I585" t="s">
        <v>45</v>
      </c>
      <c r="J585" t="s">
        <v>325</v>
      </c>
      <c r="K585" t="s">
        <v>285</v>
      </c>
      <c r="L585" t="s">
        <v>327</v>
      </c>
    </row>
    <row r="586" spans="1:12">
      <c r="A586" t="s">
        <v>318</v>
      </c>
      <c r="B586" t="s">
        <v>319</v>
      </c>
      <c r="C586" t="s">
        <v>810</v>
      </c>
      <c r="D586" s="28">
        <v>7610900096620</v>
      </c>
      <c r="E586" s="29" t="s">
        <v>371</v>
      </c>
      <c r="F586" s="29" t="s">
        <v>372</v>
      </c>
      <c r="G586">
        <v>13</v>
      </c>
      <c r="H586" t="s">
        <v>323</v>
      </c>
      <c r="I586" t="s">
        <v>45</v>
      </c>
      <c r="J586" t="s">
        <v>325</v>
      </c>
      <c r="K586" t="s">
        <v>285</v>
      </c>
      <c r="L586" t="s">
        <v>327</v>
      </c>
    </row>
    <row r="587" spans="1:12">
      <c r="A587" t="s">
        <v>318</v>
      </c>
      <c r="B587" t="s">
        <v>319</v>
      </c>
      <c r="C587" t="s">
        <v>565</v>
      </c>
      <c r="D587" s="28">
        <v>7610900096623</v>
      </c>
      <c r="E587" s="29" t="s">
        <v>371</v>
      </c>
      <c r="F587" s="29" t="s">
        <v>372</v>
      </c>
      <c r="G587">
        <v>13</v>
      </c>
      <c r="H587" t="s">
        <v>323</v>
      </c>
      <c r="I587" t="s">
        <v>45</v>
      </c>
      <c r="J587" t="s">
        <v>325</v>
      </c>
      <c r="K587" t="s">
        <v>285</v>
      </c>
      <c r="L587" t="s">
        <v>327</v>
      </c>
    </row>
    <row r="588" spans="1:12">
      <c r="A588" t="s">
        <v>318</v>
      </c>
      <c r="B588" t="s">
        <v>319</v>
      </c>
      <c r="C588" t="s">
        <v>725</v>
      </c>
      <c r="D588" s="28">
        <v>7610900096630</v>
      </c>
      <c r="E588" s="29" t="s">
        <v>371</v>
      </c>
      <c r="F588" s="29" t="s">
        <v>372</v>
      </c>
      <c r="G588">
        <v>11</v>
      </c>
      <c r="H588" t="s">
        <v>323</v>
      </c>
      <c r="I588" t="s">
        <v>45</v>
      </c>
      <c r="J588" t="s">
        <v>325</v>
      </c>
      <c r="K588" t="s">
        <v>285</v>
      </c>
      <c r="L588" t="s">
        <v>327</v>
      </c>
    </row>
    <row r="589" spans="1:12">
      <c r="A589" t="s">
        <v>318</v>
      </c>
      <c r="B589" t="s">
        <v>319</v>
      </c>
      <c r="C589" t="s">
        <v>811</v>
      </c>
      <c r="D589" s="28">
        <v>7610900096631</v>
      </c>
      <c r="E589" s="29" t="s">
        <v>371</v>
      </c>
      <c r="F589" s="29" t="s">
        <v>372</v>
      </c>
      <c r="G589">
        <v>8</v>
      </c>
      <c r="H589" t="s">
        <v>323</v>
      </c>
      <c r="I589" t="s">
        <v>45</v>
      </c>
      <c r="J589" t="s">
        <v>325</v>
      </c>
      <c r="K589" t="s">
        <v>285</v>
      </c>
      <c r="L589" t="s">
        <v>327</v>
      </c>
    </row>
    <row r="590" spans="1:12">
      <c r="A590" t="s">
        <v>318</v>
      </c>
      <c r="B590" t="s">
        <v>319</v>
      </c>
      <c r="C590" t="s">
        <v>812</v>
      </c>
      <c r="D590" s="28">
        <v>7610900096632</v>
      </c>
      <c r="E590" s="29" t="s">
        <v>371</v>
      </c>
      <c r="F590" s="29" t="s">
        <v>372</v>
      </c>
      <c r="G590">
        <v>11</v>
      </c>
      <c r="H590" t="s">
        <v>323</v>
      </c>
      <c r="I590" t="s">
        <v>45</v>
      </c>
      <c r="J590" t="s">
        <v>325</v>
      </c>
      <c r="K590" t="s">
        <v>285</v>
      </c>
      <c r="L590" t="s">
        <v>327</v>
      </c>
    </row>
    <row r="591" spans="1:12">
      <c r="A591" t="s">
        <v>318</v>
      </c>
      <c r="B591" t="s">
        <v>319</v>
      </c>
      <c r="C591" t="s">
        <v>564</v>
      </c>
      <c r="D591" s="28">
        <v>7610900096633</v>
      </c>
      <c r="E591" s="29" t="s">
        <v>371</v>
      </c>
      <c r="F591" s="29" t="s">
        <v>372</v>
      </c>
      <c r="G591">
        <v>8</v>
      </c>
      <c r="H591" t="s">
        <v>323</v>
      </c>
      <c r="I591" t="s">
        <v>45</v>
      </c>
      <c r="J591" t="s">
        <v>325</v>
      </c>
      <c r="K591" t="s">
        <v>285</v>
      </c>
      <c r="L591" t="s">
        <v>327</v>
      </c>
    </row>
    <row r="592" spans="1:12">
      <c r="A592" t="s">
        <v>318</v>
      </c>
      <c r="B592" t="s">
        <v>319</v>
      </c>
      <c r="C592" t="s">
        <v>813</v>
      </c>
      <c r="D592" s="28">
        <v>7610900100049</v>
      </c>
      <c r="E592" s="29" t="s">
        <v>529</v>
      </c>
      <c r="F592" s="29" t="s">
        <v>372</v>
      </c>
      <c r="G592">
        <v>11</v>
      </c>
      <c r="H592" t="s">
        <v>323</v>
      </c>
      <c r="I592" t="s">
        <v>45</v>
      </c>
      <c r="J592" t="s">
        <v>325</v>
      </c>
      <c r="K592" t="s">
        <v>285</v>
      </c>
      <c r="L592" t="s">
        <v>327</v>
      </c>
    </row>
    <row r="593" spans="1:12">
      <c r="A593" t="s">
        <v>318</v>
      </c>
      <c r="B593" t="s">
        <v>319</v>
      </c>
      <c r="C593" t="s">
        <v>814</v>
      </c>
      <c r="D593" s="28">
        <v>7610900100055</v>
      </c>
      <c r="E593" s="29" t="s">
        <v>529</v>
      </c>
      <c r="F593" s="29" t="s">
        <v>372</v>
      </c>
      <c r="G593">
        <v>12</v>
      </c>
      <c r="H593" t="s">
        <v>323</v>
      </c>
      <c r="I593" t="s">
        <v>45</v>
      </c>
      <c r="J593" t="s">
        <v>325</v>
      </c>
      <c r="K593" t="s">
        <v>285</v>
      </c>
      <c r="L593" t="s">
        <v>327</v>
      </c>
    </row>
    <row r="594" spans="1:12">
      <c r="A594" t="s">
        <v>318</v>
      </c>
      <c r="B594" t="s">
        <v>319</v>
      </c>
      <c r="C594" t="s">
        <v>815</v>
      </c>
      <c r="D594" s="28">
        <v>7610900100057</v>
      </c>
      <c r="E594" s="29" t="s">
        <v>529</v>
      </c>
      <c r="F594" s="29" t="s">
        <v>372</v>
      </c>
      <c r="G594">
        <v>10</v>
      </c>
      <c r="H594" t="s">
        <v>323</v>
      </c>
      <c r="I594" t="s">
        <v>45</v>
      </c>
      <c r="J594" t="s">
        <v>325</v>
      </c>
      <c r="K594" t="s">
        <v>285</v>
      </c>
      <c r="L594" t="s">
        <v>327</v>
      </c>
    </row>
    <row r="595" spans="1:12">
      <c r="A595" t="s">
        <v>318</v>
      </c>
      <c r="B595" t="s">
        <v>319</v>
      </c>
      <c r="C595" t="s">
        <v>816</v>
      </c>
      <c r="D595" s="28">
        <v>7610900100058</v>
      </c>
      <c r="E595" s="29" t="s">
        <v>529</v>
      </c>
      <c r="F595" s="29" t="s">
        <v>372</v>
      </c>
      <c r="G595">
        <v>11</v>
      </c>
      <c r="H595" t="s">
        <v>323</v>
      </c>
      <c r="I595" t="s">
        <v>45</v>
      </c>
      <c r="J595" t="s">
        <v>325</v>
      </c>
      <c r="K595" t="s">
        <v>285</v>
      </c>
      <c r="L595" t="s">
        <v>327</v>
      </c>
    </row>
    <row r="596" spans="1:12">
      <c r="A596" t="s">
        <v>318</v>
      </c>
      <c r="B596" t="s">
        <v>319</v>
      </c>
      <c r="C596" t="s">
        <v>416</v>
      </c>
      <c r="D596" s="28">
        <v>7610900100062</v>
      </c>
      <c r="E596" s="29" t="s">
        <v>529</v>
      </c>
      <c r="F596" s="29" t="s">
        <v>372</v>
      </c>
      <c r="G596">
        <v>12</v>
      </c>
      <c r="H596" t="s">
        <v>323</v>
      </c>
      <c r="I596" t="s">
        <v>45</v>
      </c>
      <c r="J596" t="s">
        <v>325</v>
      </c>
      <c r="K596" t="s">
        <v>285</v>
      </c>
      <c r="L596" t="s">
        <v>327</v>
      </c>
    </row>
    <row r="597" spans="1:12">
      <c r="A597" t="s">
        <v>318</v>
      </c>
      <c r="B597" t="s">
        <v>319</v>
      </c>
      <c r="C597" t="s">
        <v>817</v>
      </c>
      <c r="D597" s="28">
        <v>761091121088</v>
      </c>
      <c r="E597" s="29" t="s">
        <v>371</v>
      </c>
      <c r="F597" s="29" t="s">
        <v>372</v>
      </c>
      <c r="G597">
        <v>8</v>
      </c>
      <c r="H597" t="s">
        <v>323</v>
      </c>
      <c r="I597" t="s">
        <v>45</v>
      </c>
      <c r="J597" t="s">
        <v>325</v>
      </c>
      <c r="K597" t="s">
        <v>285</v>
      </c>
      <c r="L597" t="s">
        <v>327</v>
      </c>
    </row>
    <row r="598" spans="1:12">
      <c r="A598" t="s">
        <v>318</v>
      </c>
      <c r="B598" t="s">
        <v>319</v>
      </c>
      <c r="C598" t="s">
        <v>818</v>
      </c>
      <c r="D598" s="28">
        <v>761091122651</v>
      </c>
      <c r="E598" s="29" t="s">
        <v>371</v>
      </c>
      <c r="F598" s="29" t="s">
        <v>372</v>
      </c>
      <c r="G598">
        <v>13</v>
      </c>
      <c r="H598" t="s">
        <v>323</v>
      </c>
      <c r="I598" t="s">
        <v>45</v>
      </c>
      <c r="J598" t="s">
        <v>325</v>
      </c>
      <c r="K598" t="s">
        <v>285</v>
      </c>
      <c r="L598" t="s">
        <v>327</v>
      </c>
    </row>
    <row r="599" spans="1:12">
      <c r="A599" t="s">
        <v>318</v>
      </c>
      <c r="B599" t="s">
        <v>319</v>
      </c>
      <c r="C599" t="s">
        <v>819</v>
      </c>
      <c r="D599" s="28">
        <v>7610900099861</v>
      </c>
      <c r="E599" s="29" t="s">
        <v>371</v>
      </c>
      <c r="F599" s="29" t="s">
        <v>372</v>
      </c>
      <c r="G599">
        <v>9</v>
      </c>
      <c r="H599" t="s">
        <v>323</v>
      </c>
      <c r="I599" t="s">
        <v>45</v>
      </c>
      <c r="J599" t="s">
        <v>325</v>
      </c>
      <c r="K599" t="s">
        <v>285</v>
      </c>
      <c r="L599" t="s">
        <v>327</v>
      </c>
    </row>
    <row r="600" spans="1:12">
      <c r="A600" t="s">
        <v>318</v>
      </c>
      <c r="B600" t="s">
        <v>319</v>
      </c>
      <c r="C600" t="s">
        <v>820</v>
      </c>
      <c r="D600" s="28">
        <v>7610900099863</v>
      </c>
      <c r="E600" s="29" t="s">
        <v>371</v>
      </c>
      <c r="F600" s="29" t="s">
        <v>372</v>
      </c>
      <c r="G600">
        <v>12</v>
      </c>
      <c r="H600" t="s">
        <v>323</v>
      </c>
      <c r="I600" t="s">
        <v>45</v>
      </c>
      <c r="J600" t="s">
        <v>325</v>
      </c>
      <c r="K600" t="s">
        <v>285</v>
      </c>
      <c r="L600" t="s">
        <v>327</v>
      </c>
    </row>
    <row r="601" spans="1:12">
      <c r="A601" t="s">
        <v>318</v>
      </c>
      <c r="B601" t="s">
        <v>319</v>
      </c>
      <c r="C601" t="s">
        <v>821</v>
      </c>
      <c r="D601" s="28">
        <v>7610900099872</v>
      </c>
      <c r="E601" s="29" t="s">
        <v>371</v>
      </c>
      <c r="F601" s="29" t="s">
        <v>372</v>
      </c>
      <c r="G601">
        <v>10</v>
      </c>
      <c r="H601" t="s">
        <v>323</v>
      </c>
      <c r="I601" t="s">
        <v>45</v>
      </c>
      <c r="J601" t="s">
        <v>325</v>
      </c>
      <c r="K601" t="s">
        <v>285</v>
      </c>
      <c r="L601" t="s">
        <v>327</v>
      </c>
    </row>
    <row r="602" spans="1:12">
      <c r="A602" t="s">
        <v>318</v>
      </c>
      <c r="B602" t="s">
        <v>319</v>
      </c>
      <c r="C602" t="s">
        <v>822</v>
      </c>
      <c r="D602" s="28">
        <v>7610900099873</v>
      </c>
      <c r="E602" s="29" t="s">
        <v>371</v>
      </c>
      <c r="F602" s="29" t="s">
        <v>372</v>
      </c>
      <c r="G602">
        <v>11</v>
      </c>
      <c r="H602" t="s">
        <v>323</v>
      </c>
      <c r="I602" t="s">
        <v>45</v>
      </c>
      <c r="J602" t="s">
        <v>325</v>
      </c>
      <c r="K602" t="s">
        <v>285</v>
      </c>
      <c r="L602" t="s">
        <v>327</v>
      </c>
    </row>
    <row r="603" spans="1:12">
      <c r="A603" t="s">
        <v>318</v>
      </c>
      <c r="B603" t="s">
        <v>319</v>
      </c>
      <c r="C603" t="s">
        <v>823</v>
      </c>
      <c r="D603" s="28">
        <v>7610900099876</v>
      </c>
      <c r="E603" s="29" t="s">
        <v>371</v>
      </c>
      <c r="F603" s="29" t="s">
        <v>372</v>
      </c>
      <c r="G603">
        <v>8</v>
      </c>
      <c r="H603" t="s">
        <v>323</v>
      </c>
      <c r="I603" t="s">
        <v>45</v>
      </c>
      <c r="J603" t="s">
        <v>325</v>
      </c>
      <c r="K603" t="s">
        <v>285</v>
      </c>
      <c r="L603" t="s">
        <v>327</v>
      </c>
    </row>
    <row r="604" spans="1:12">
      <c r="A604" t="s">
        <v>318</v>
      </c>
      <c r="B604" t="s">
        <v>319</v>
      </c>
      <c r="C604" t="s">
        <v>824</v>
      </c>
      <c r="D604" s="28">
        <v>7610900099877</v>
      </c>
      <c r="E604" s="29" t="s">
        <v>371</v>
      </c>
      <c r="F604" s="29" t="s">
        <v>372</v>
      </c>
      <c r="G604">
        <v>7</v>
      </c>
      <c r="H604" t="s">
        <v>323</v>
      </c>
      <c r="I604" t="s">
        <v>45</v>
      </c>
      <c r="J604" t="s">
        <v>325</v>
      </c>
      <c r="K604" t="s">
        <v>285</v>
      </c>
      <c r="L604" t="s">
        <v>327</v>
      </c>
    </row>
    <row r="605" spans="1:12">
      <c r="A605" t="s">
        <v>318</v>
      </c>
      <c r="B605" t="s">
        <v>319</v>
      </c>
      <c r="C605" t="s">
        <v>602</v>
      </c>
      <c r="D605" s="28">
        <v>7610900031934</v>
      </c>
      <c r="E605" s="29" t="s">
        <v>371</v>
      </c>
      <c r="F605" s="29" t="s">
        <v>372</v>
      </c>
      <c r="G605">
        <v>10</v>
      </c>
      <c r="H605" t="s">
        <v>323</v>
      </c>
      <c r="I605" t="s">
        <v>45</v>
      </c>
      <c r="J605" t="s">
        <v>325</v>
      </c>
      <c r="K605" t="s">
        <v>285</v>
      </c>
      <c r="L605" t="s">
        <v>327</v>
      </c>
    </row>
    <row r="606" spans="1:12">
      <c r="A606" t="s">
        <v>318</v>
      </c>
      <c r="B606" t="s">
        <v>319</v>
      </c>
      <c r="C606" t="s">
        <v>527</v>
      </c>
      <c r="D606" s="28">
        <v>7610900032114</v>
      </c>
      <c r="E606" s="29" t="s">
        <v>371</v>
      </c>
      <c r="F606" s="29" t="s">
        <v>372</v>
      </c>
      <c r="G606">
        <v>11</v>
      </c>
      <c r="H606" t="s">
        <v>323</v>
      </c>
      <c r="I606" t="s">
        <v>45</v>
      </c>
      <c r="J606" t="s">
        <v>325</v>
      </c>
      <c r="K606" t="s">
        <v>285</v>
      </c>
      <c r="L606" t="s">
        <v>327</v>
      </c>
    </row>
    <row r="607" spans="1:12">
      <c r="A607" t="s">
        <v>318</v>
      </c>
      <c r="B607" t="s">
        <v>319</v>
      </c>
      <c r="C607" t="s">
        <v>602</v>
      </c>
      <c r="D607" s="28">
        <v>7610900057648</v>
      </c>
      <c r="E607" s="29" t="s">
        <v>371</v>
      </c>
      <c r="F607" s="29" t="s">
        <v>372</v>
      </c>
      <c r="G607">
        <v>8</v>
      </c>
      <c r="H607" t="s">
        <v>323</v>
      </c>
      <c r="I607" t="s">
        <v>45</v>
      </c>
      <c r="J607" t="s">
        <v>325</v>
      </c>
      <c r="K607" t="s">
        <v>285</v>
      </c>
      <c r="L607" t="s">
        <v>327</v>
      </c>
    </row>
    <row r="608" spans="1:12">
      <c r="A608" t="s">
        <v>318</v>
      </c>
      <c r="B608" t="s">
        <v>319</v>
      </c>
      <c r="C608" t="s">
        <v>825</v>
      </c>
      <c r="D608" s="28">
        <v>7610900057692</v>
      </c>
      <c r="E608" s="29" t="s">
        <v>371</v>
      </c>
      <c r="F608" s="29" t="s">
        <v>372</v>
      </c>
      <c r="G608">
        <v>7</v>
      </c>
      <c r="H608" t="s">
        <v>323</v>
      </c>
      <c r="I608" t="s">
        <v>45</v>
      </c>
      <c r="J608" t="s">
        <v>325</v>
      </c>
      <c r="K608" t="s">
        <v>285</v>
      </c>
      <c r="L608" t="s">
        <v>327</v>
      </c>
    </row>
    <row r="609" spans="1:12">
      <c r="A609" t="s">
        <v>318</v>
      </c>
      <c r="B609" t="s">
        <v>319</v>
      </c>
      <c r="C609" t="s">
        <v>826</v>
      </c>
      <c r="D609" s="28">
        <v>7610900057723</v>
      </c>
      <c r="E609" s="29" t="s">
        <v>371</v>
      </c>
      <c r="F609" s="29" t="s">
        <v>372</v>
      </c>
      <c r="G609">
        <v>7</v>
      </c>
      <c r="H609" t="s">
        <v>323</v>
      </c>
      <c r="I609" t="s">
        <v>45</v>
      </c>
      <c r="J609" t="s">
        <v>325</v>
      </c>
      <c r="K609" t="s">
        <v>285</v>
      </c>
      <c r="L609" t="s">
        <v>327</v>
      </c>
    </row>
    <row r="610" spans="1:12">
      <c r="A610" t="s">
        <v>318</v>
      </c>
      <c r="B610" t="s">
        <v>319</v>
      </c>
      <c r="C610" t="s">
        <v>827</v>
      </c>
      <c r="D610" s="28">
        <v>7610900057727</v>
      </c>
      <c r="E610" s="29" t="s">
        <v>371</v>
      </c>
      <c r="F610" s="29" t="s">
        <v>372</v>
      </c>
      <c r="G610">
        <v>8</v>
      </c>
      <c r="H610" t="s">
        <v>323</v>
      </c>
      <c r="I610" t="s">
        <v>45</v>
      </c>
      <c r="J610" t="s">
        <v>325</v>
      </c>
      <c r="K610" t="s">
        <v>285</v>
      </c>
      <c r="L610" t="s">
        <v>327</v>
      </c>
    </row>
    <row r="611" spans="1:12">
      <c r="A611" t="s">
        <v>318</v>
      </c>
      <c r="B611" t="s">
        <v>319</v>
      </c>
      <c r="C611" t="s">
        <v>828</v>
      </c>
      <c r="D611" s="28">
        <v>7610900057730</v>
      </c>
      <c r="E611" s="29" t="s">
        <v>371</v>
      </c>
      <c r="F611" s="29" t="s">
        <v>372</v>
      </c>
      <c r="G611">
        <v>8</v>
      </c>
      <c r="H611" t="s">
        <v>323</v>
      </c>
      <c r="I611" t="s">
        <v>45</v>
      </c>
      <c r="J611" t="s">
        <v>325</v>
      </c>
      <c r="K611" t="s">
        <v>285</v>
      </c>
      <c r="L611" t="s">
        <v>327</v>
      </c>
    </row>
    <row r="612" spans="1:12">
      <c r="A612" t="s">
        <v>318</v>
      </c>
      <c r="B612" t="s">
        <v>319</v>
      </c>
      <c r="C612" t="s">
        <v>829</v>
      </c>
      <c r="D612" s="28">
        <v>7610900057734</v>
      </c>
      <c r="E612" s="29" t="s">
        <v>371</v>
      </c>
      <c r="F612" s="29" t="s">
        <v>372</v>
      </c>
      <c r="G612">
        <v>7</v>
      </c>
      <c r="H612" t="s">
        <v>323</v>
      </c>
      <c r="I612" t="s">
        <v>45</v>
      </c>
      <c r="J612" t="s">
        <v>325</v>
      </c>
      <c r="K612" t="s">
        <v>285</v>
      </c>
      <c r="L612" t="s">
        <v>327</v>
      </c>
    </row>
    <row r="613" spans="1:12">
      <c r="A613" t="s">
        <v>318</v>
      </c>
      <c r="B613" t="s">
        <v>319</v>
      </c>
      <c r="C613" t="s">
        <v>830</v>
      </c>
      <c r="D613" s="28">
        <v>7610900057737</v>
      </c>
      <c r="E613" s="29" t="s">
        <v>371</v>
      </c>
      <c r="F613" s="29" t="s">
        <v>372</v>
      </c>
      <c r="G613">
        <v>13</v>
      </c>
      <c r="H613" t="s">
        <v>323</v>
      </c>
      <c r="I613" t="s">
        <v>45</v>
      </c>
      <c r="J613" t="s">
        <v>325</v>
      </c>
      <c r="K613" t="s">
        <v>285</v>
      </c>
      <c r="L613" t="s">
        <v>327</v>
      </c>
    </row>
    <row r="614" spans="1:12">
      <c r="A614" t="s">
        <v>318</v>
      </c>
      <c r="B614" t="s">
        <v>319</v>
      </c>
      <c r="C614" t="s">
        <v>831</v>
      </c>
      <c r="D614" s="28">
        <v>7610900057739</v>
      </c>
      <c r="E614" s="29" t="s">
        <v>371</v>
      </c>
      <c r="F614" s="29" t="s">
        <v>372</v>
      </c>
      <c r="G614">
        <v>9</v>
      </c>
      <c r="H614" t="s">
        <v>323</v>
      </c>
      <c r="I614" t="s">
        <v>45</v>
      </c>
      <c r="J614" t="s">
        <v>325</v>
      </c>
      <c r="K614" t="s">
        <v>285</v>
      </c>
      <c r="L614" t="s">
        <v>327</v>
      </c>
    </row>
    <row r="615" spans="1:12">
      <c r="A615" t="s">
        <v>318</v>
      </c>
      <c r="B615" t="s">
        <v>319</v>
      </c>
      <c r="C615" t="s">
        <v>832</v>
      </c>
      <c r="D615" s="28">
        <v>7610900057740</v>
      </c>
      <c r="E615" s="29" t="s">
        <v>371</v>
      </c>
      <c r="F615" s="29" t="s">
        <v>372</v>
      </c>
      <c r="G615">
        <v>13</v>
      </c>
      <c r="H615" t="s">
        <v>323</v>
      </c>
      <c r="I615" t="s">
        <v>45</v>
      </c>
      <c r="J615" t="s">
        <v>325</v>
      </c>
      <c r="K615" t="s">
        <v>285</v>
      </c>
      <c r="L615" t="s">
        <v>327</v>
      </c>
    </row>
    <row r="616" spans="1:12">
      <c r="A616" t="s">
        <v>318</v>
      </c>
      <c r="B616" t="s">
        <v>319</v>
      </c>
      <c r="C616" t="s">
        <v>833</v>
      </c>
      <c r="D616" s="28">
        <v>7610900057744</v>
      </c>
      <c r="E616" s="29" t="s">
        <v>371</v>
      </c>
      <c r="F616" s="29" t="s">
        <v>372</v>
      </c>
      <c r="G616">
        <v>10</v>
      </c>
      <c r="H616" t="s">
        <v>323</v>
      </c>
      <c r="I616" t="s">
        <v>45</v>
      </c>
      <c r="J616" t="s">
        <v>325</v>
      </c>
      <c r="K616" t="s">
        <v>285</v>
      </c>
      <c r="L616" t="s">
        <v>327</v>
      </c>
    </row>
    <row r="617" spans="1:12">
      <c r="A617" t="s">
        <v>318</v>
      </c>
      <c r="B617" t="s">
        <v>319</v>
      </c>
      <c r="C617" t="s">
        <v>440</v>
      </c>
      <c r="D617" s="28">
        <v>7610900057749</v>
      </c>
      <c r="E617" s="29" t="s">
        <v>371</v>
      </c>
      <c r="F617" s="29" t="s">
        <v>372</v>
      </c>
      <c r="G617">
        <v>9</v>
      </c>
      <c r="H617" t="s">
        <v>323</v>
      </c>
      <c r="I617" t="s">
        <v>45</v>
      </c>
      <c r="J617" t="s">
        <v>325</v>
      </c>
      <c r="K617" t="s">
        <v>285</v>
      </c>
      <c r="L617" t="s">
        <v>327</v>
      </c>
    </row>
    <row r="618" spans="1:12">
      <c r="A618" t="s">
        <v>318</v>
      </c>
      <c r="B618" t="s">
        <v>319</v>
      </c>
      <c r="C618" t="s">
        <v>834</v>
      </c>
      <c r="D618" s="28">
        <v>7610900057753</v>
      </c>
      <c r="E618" s="29" t="s">
        <v>371</v>
      </c>
      <c r="F618" s="29" t="s">
        <v>372</v>
      </c>
      <c r="G618">
        <v>5</v>
      </c>
      <c r="H618" t="s">
        <v>323</v>
      </c>
      <c r="I618" t="s">
        <v>45</v>
      </c>
      <c r="J618" t="s">
        <v>325</v>
      </c>
      <c r="K618" t="s">
        <v>285</v>
      </c>
      <c r="L618" t="s">
        <v>327</v>
      </c>
    </row>
    <row r="619" spans="1:12">
      <c r="A619" t="s">
        <v>318</v>
      </c>
      <c r="B619" t="s">
        <v>319</v>
      </c>
      <c r="C619" t="s">
        <v>835</v>
      </c>
      <c r="D619" s="28">
        <v>7610900057761</v>
      </c>
      <c r="E619" s="29" t="s">
        <v>371</v>
      </c>
      <c r="F619" s="29" t="s">
        <v>372</v>
      </c>
      <c r="G619">
        <v>5</v>
      </c>
      <c r="H619" t="s">
        <v>323</v>
      </c>
      <c r="I619" t="s">
        <v>45</v>
      </c>
      <c r="J619" t="s">
        <v>325</v>
      </c>
      <c r="K619" t="s">
        <v>285</v>
      </c>
      <c r="L619" t="s">
        <v>327</v>
      </c>
    </row>
    <row r="620" spans="1:12">
      <c r="A620" t="s">
        <v>318</v>
      </c>
      <c r="B620" t="s">
        <v>319</v>
      </c>
      <c r="C620" t="s">
        <v>836</v>
      </c>
      <c r="D620" s="28">
        <v>7610900057764</v>
      </c>
      <c r="E620" s="29" t="s">
        <v>371</v>
      </c>
      <c r="F620" s="29" t="s">
        <v>372</v>
      </c>
      <c r="G620">
        <v>9</v>
      </c>
      <c r="H620" t="s">
        <v>323</v>
      </c>
      <c r="I620" t="s">
        <v>45</v>
      </c>
      <c r="J620" t="s">
        <v>325</v>
      </c>
      <c r="K620" t="s">
        <v>285</v>
      </c>
      <c r="L620" t="s">
        <v>327</v>
      </c>
    </row>
    <row r="621" spans="1:12">
      <c r="A621" t="s">
        <v>318</v>
      </c>
      <c r="B621" t="s">
        <v>319</v>
      </c>
      <c r="C621" t="s">
        <v>837</v>
      </c>
      <c r="D621" s="28">
        <v>7610900069636</v>
      </c>
      <c r="E621" s="29" t="s">
        <v>371</v>
      </c>
      <c r="F621" s="29" t="s">
        <v>372</v>
      </c>
      <c r="G621">
        <v>12</v>
      </c>
      <c r="H621" t="s">
        <v>323</v>
      </c>
      <c r="I621" t="s">
        <v>45</v>
      </c>
      <c r="J621" t="s">
        <v>325</v>
      </c>
      <c r="K621" t="s">
        <v>285</v>
      </c>
      <c r="L621" t="s">
        <v>327</v>
      </c>
    </row>
    <row r="622" spans="1:12">
      <c r="A622" t="s">
        <v>318</v>
      </c>
      <c r="B622" t="s">
        <v>319</v>
      </c>
      <c r="C622" t="s">
        <v>838</v>
      </c>
      <c r="D622" s="28">
        <v>7610900069644</v>
      </c>
      <c r="E622" s="29" t="s">
        <v>371</v>
      </c>
      <c r="F622" s="29" t="s">
        <v>372</v>
      </c>
      <c r="G622">
        <v>9</v>
      </c>
      <c r="H622" t="s">
        <v>323</v>
      </c>
      <c r="I622" t="s">
        <v>45</v>
      </c>
      <c r="J622" t="s">
        <v>325</v>
      </c>
      <c r="K622" t="s">
        <v>285</v>
      </c>
      <c r="L622" t="s">
        <v>327</v>
      </c>
    </row>
    <row r="623" spans="1:12">
      <c r="A623" t="s">
        <v>318</v>
      </c>
      <c r="B623" t="s">
        <v>319</v>
      </c>
      <c r="C623" t="s">
        <v>382</v>
      </c>
      <c r="D623" s="28">
        <v>7610900070830</v>
      </c>
      <c r="E623" s="29" t="s">
        <v>371</v>
      </c>
      <c r="F623" s="29" t="s">
        <v>372</v>
      </c>
      <c r="G623">
        <v>8</v>
      </c>
      <c r="H623" t="s">
        <v>323</v>
      </c>
      <c r="I623" t="s">
        <v>45</v>
      </c>
      <c r="J623" t="s">
        <v>325</v>
      </c>
      <c r="K623" t="s">
        <v>285</v>
      </c>
      <c r="L623" t="s">
        <v>327</v>
      </c>
    </row>
    <row r="624" spans="1:12">
      <c r="A624" t="s">
        <v>318</v>
      </c>
      <c r="B624" t="s">
        <v>319</v>
      </c>
      <c r="C624" t="s">
        <v>839</v>
      </c>
      <c r="D624" s="28">
        <v>7610900070851</v>
      </c>
      <c r="E624" s="29" t="s">
        <v>371</v>
      </c>
      <c r="F624" s="29" t="s">
        <v>372</v>
      </c>
      <c r="G624">
        <v>8</v>
      </c>
      <c r="H624" t="s">
        <v>323</v>
      </c>
      <c r="I624" t="s">
        <v>45</v>
      </c>
      <c r="J624" t="s">
        <v>325</v>
      </c>
      <c r="K624" t="s">
        <v>285</v>
      </c>
      <c r="L624" t="s">
        <v>327</v>
      </c>
    </row>
    <row r="625" spans="1:12">
      <c r="A625" t="s">
        <v>318</v>
      </c>
      <c r="B625" t="s">
        <v>319</v>
      </c>
      <c r="C625" t="s">
        <v>840</v>
      </c>
      <c r="D625" s="28">
        <v>7610900070864</v>
      </c>
      <c r="E625" s="29" t="s">
        <v>371</v>
      </c>
      <c r="F625" s="29" t="s">
        <v>372</v>
      </c>
      <c r="G625">
        <v>10</v>
      </c>
      <c r="H625" t="s">
        <v>323</v>
      </c>
      <c r="I625" t="s">
        <v>45</v>
      </c>
      <c r="J625" t="s">
        <v>325</v>
      </c>
      <c r="K625" t="s">
        <v>285</v>
      </c>
      <c r="L625" t="s">
        <v>327</v>
      </c>
    </row>
    <row r="626" spans="1:12">
      <c r="A626" t="s">
        <v>318</v>
      </c>
      <c r="B626" t="s">
        <v>319</v>
      </c>
      <c r="C626" t="s">
        <v>377</v>
      </c>
      <c r="D626" s="28">
        <v>7610900070873</v>
      </c>
      <c r="E626" s="29" t="s">
        <v>371</v>
      </c>
      <c r="F626" s="29" t="s">
        <v>372</v>
      </c>
      <c r="G626">
        <v>9</v>
      </c>
      <c r="H626" t="s">
        <v>323</v>
      </c>
      <c r="I626" t="s">
        <v>45</v>
      </c>
      <c r="J626" t="s">
        <v>325</v>
      </c>
      <c r="K626" t="s">
        <v>285</v>
      </c>
      <c r="L626" t="s">
        <v>327</v>
      </c>
    </row>
    <row r="627" spans="1:12">
      <c r="A627" t="s">
        <v>318</v>
      </c>
      <c r="B627" t="s">
        <v>319</v>
      </c>
      <c r="C627" t="s">
        <v>379</v>
      </c>
      <c r="D627" s="28">
        <v>7610900070880</v>
      </c>
      <c r="E627" s="29" t="s">
        <v>371</v>
      </c>
      <c r="F627" s="29" t="s">
        <v>372</v>
      </c>
      <c r="G627">
        <v>11</v>
      </c>
      <c r="H627" t="s">
        <v>323</v>
      </c>
      <c r="I627" t="s">
        <v>324</v>
      </c>
      <c r="J627" t="s">
        <v>325</v>
      </c>
      <c r="K627" t="s">
        <v>285</v>
      </c>
      <c r="L627" t="s">
        <v>327</v>
      </c>
    </row>
    <row r="628" spans="1:12">
      <c r="A628" t="s">
        <v>318</v>
      </c>
      <c r="B628" t="s">
        <v>319</v>
      </c>
      <c r="C628" t="s">
        <v>841</v>
      </c>
      <c r="D628" s="28">
        <v>7610900070891</v>
      </c>
      <c r="E628" s="29" t="s">
        <v>371</v>
      </c>
      <c r="F628" s="29" t="s">
        <v>372</v>
      </c>
      <c r="G628">
        <v>7</v>
      </c>
      <c r="H628" t="s">
        <v>323</v>
      </c>
      <c r="I628" t="s">
        <v>45</v>
      </c>
      <c r="J628" t="s">
        <v>325</v>
      </c>
      <c r="K628" t="s">
        <v>285</v>
      </c>
      <c r="L628" t="s">
        <v>327</v>
      </c>
    </row>
    <row r="629" spans="1:12">
      <c r="A629" t="s">
        <v>318</v>
      </c>
      <c r="B629" t="s">
        <v>319</v>
      </c>
      <c r="C629" t="s">
        <v>842</v>
      </c>
      <c r="D629" s="28">
        <v>7610900070908</v>
      </c>
      <c r="E629" s="29" t="s">
        <v>371</v>
      </c>
      <c r="F629" s="29" t="s">
        <v>372</v>
      </c>
      <c r="G629">
        <v>8</v>
      </c>
      <c r="H629" t="s">
        <v>323</v>
      </c>
      <c r="I629" t="s">
        <v>45</v>
      </c>
      <c r="J629" t="s">
        <v>325</v>
      </c>
      <c r="K629" t="s">
        <v>285</v>
      </c>
      <c r="L629" t="s">
        <v>327</v>
      </c>
    </row>
    <row r="630" spans="1:12">
      <c r="A630" t="s">
        <v>318</v>
      </c>
      <c r="B630" t="s">
        <v>319</v>
      </c>
      <c r="C630" t="s">
        <v>843</v>
      </c>
      <c r="D630" s="28">
        <v>7610900070915</v>
      </c>
      <c r="E630" s="29" t="s">
        <v>371</v>
      </c>
      <c r="F630" s="29" t="s">
        <v>372</v>
      </c>
      <c r="G630">
        <v>5</v>
      </c>
      <c r="H630" t="s">
        <v>323</v>
      </c>
      <c r="I630" t="s">
        <v>45</v>
      </c>
      <c r="J630" t="s">
        <v>325</v>
      </c>
      <c r="K630" t="s">
        <v>285</v>
      </c>
      <c r="L630" t="s">
        <v>327</v>
      </c>
    </row>
    <row r="631" spans="1:12">
      <c r="A631" t="s">
        <v>318</v>
      </c>
      <c r="B631" t="s">
        <v>319</v>
      </c>
      <c r="C631" t="s">
        <v>348</v>
      </c>
      <c r="D631" s="28">
        <v>7610900071967</v>
      </c>
      <c r="E631" s="29" t="s">
        <v>371</v>
      </c>
      <c r="F631" s="29" t="s">
        <v>372</v>
      </c>
      <c r="G631">
        <v>12</v>
      </c>
      <c r="H631" t="s">
        <v>323</v>
      </c>
      <c r="I631" t="s">
        <v>45</v>
      </c>
      <c r="J631" t="s">
        <v>325</v>
      </c>
      <c r="K631" t="s">
        <v>285</v>
      </c>
      <c r="L631" t="s">
        <v>327</v>
      </c>
    </row>
    <row r="632" spans="1:12">
      <c r="A632" t="s">
        <v>318</v>
      </c>
      <c r="B632" t="s">
        <v>319</v>
      </c>
      <c r="C632" t="s">
        <v>844</v>
      </c>
      <c r="D632" s="28">
        <v>7610900072527</v>
      </c>
      <c r="E632" s="29" t="s">
        <v>371</v>
      </c>
      <c r="F632" s="29" t="s">
        <v>372</v>
      </c>
      <c r="G632">
        <v>9</v>
      </c>
      <c r="H632" t="s">
        <v>323</v>
      </c>
      <c r="I632" t="s">
        <v>45</v>
      </c>
      <c r="J632" t="s">
        <v>325</v>
      </c>
      <c r="K632" t="s">
        <v>285</v>
      </c>
      <c r="L632" t="s">
        <v>327</v>
      </c>
    </row>
    <row r="633" spans="1:12">
      <c r="A633" t="s">
        <v>318</v>
      </c>
      <c r="B633" t="s">
        <v>319</v>
      </c>
      <c r="C633" t="s">
        <v>845</v>
      </c>
      <c r="D633" s="28">
        <v>7610900072531</v>
      </c>
      <c r="E633" s="29" t="s">
        <v>371</v>
      </c>
      <c r="F633" s="29" t="s">
        <v>372</v>
      </c>
      <c r="G633">
        <v>8</v>
      </c>
      <c r="H633" t="s">
        <v>323</v>
      </c>
      <c r="I633" t="s">
        <v>45</v>
      </c>
      <c r="J633" t="s">
        <v>325</v>
      </c>
      <c r="K633" t="s">
        <v>285</v>
      </c>
      <c r="L633" t="s">
        <v>327</v>
      </c>
    </row>
    <row r="634" spans="1:12">
      <c r="A634" t="s">
        <v>318</v>
      </c>
      <c r="B634" t="s">
        <v>319</v>
      </c>
      <c r="C634" t="s">
        <v>507</v>
      </c>
      <c r="D634" s="28">
        <v>7610900072549</v>
      </c>
      <c r="E634" s="29" t="s">
        <v>371</v>
      </c>
      <c r="F634" s="29" t="s">
        <v>372</v>
      </c>
      <c r="G634">
        <v>12</v>
      </c>
      <c r="H634" t="s">
        <v>323</v>
      </c>
      <c r="I634" t="s">
        <v>45</v>
      </c>
      <c r="J634" t="s">
        <v>325</v>
      </c>
      <c r="K634" t="s">
        <v>285</v>
      </c>
      <c r="L634" t="s">
        <v>327</v>
      </c>
    </row>
    <row r="635" spans="1:12">
      <c r="A635" t="s">
        <v>318</v>
      </c>
      <c r="B635" t="s">
        <v>319</v>
      </c>
      <c r="C635" t="s">
        <v>511</v>
      </c>
      <c r="D635" s="28">
        <v>7610900072575</v>
      </c>
      <c r="E635" s="29" t="s">
        <v>371</v>
      </c>
      <c r="F635" s="29" t="s">
        <v>372</v>
      </c>
      <c r="G635">
        <v>11</v>
      </c>
      <c r="H635" t="s">
        <v>323</v>
      </c>
      <c r="I635" t="s">
        <v>45</v>
      </c>
      <c r="J635" t="s">
        <v>325</v>
      </c>
      <c r="K635" t="s">
        <v>285</v>
      </c>
      <c r="L635" t="s">
        <v>327</v>
      </c>
    </row>
    <row r="636" spans="1:12">
      <c r="A636" t="s">
        <v>318</v>
      </c>
      <c r="B636" t="s">
        <v>319</v>
      </c>
      <c r="C636" t="s">
        <v>846</v>
      </c>
      <c r="D636" s="28">
        <v>7610900072578</v>
      </c>
      <c r="E636" s="29" t="s">
        <v>371</v>
      </c>
      <c r="F636" s="29" t="s">
        <v>372</v>
      </c>
      <c r="G636">
        <v>7</v>
      </c>
      <c r="H636" t="s">
        <v>323</v>
      </c>
      <c r="I636" t="s">
        <v>45</v>
      </c>
      <c r="J636" t="s">
        <v>325</v>
      </c>
      <c r="K636" t="s">
        <v>285</v>
      </c>
      <c r="L636" t="s">
        <v>327</v>
      </c>
    </row>
    <row r="637" spans="1:12">
      <c r="A637" t="s">
        <v>318</v>
      </c>
      <c r="B637" t="s">
        <v>319</v>
      </c>
      <c r="C637" t="s">
        <v>847</v>
      </c>
      <c r="D637" s="28">
        <v>7610900072583</v>
      </c>
      <c r="E637" s="29" t="s">
        <v>371</v>
      </c>
      <c r="F637" s="29" t="s">
        <v>372</v>
      </c>
      <c r="G637">
        <v>11</v>
      </c>
      <c r="H637" t="s">
        <v>323</v>
      </c>
      <c r="I637" t="s">
        <v>45</v>
      </c>
      <c r="J637" t="s">
        <v>325</v>
      </c>
      <c r="K637" t="s">
        <v>285</v>
      </c>
      <c r="L637" t="s">
        <v>327</v>
      </c>
    </row>
    <row r="638" spans="1:12">
      <c r="A638" t="s">
        <v>318</v>
      </c>
      <c r="B638" t="s">
        <v>319</v>
      </c>
      <c r="C638" t="s">
        <v>848</v>
      </c>
      <c r="D638" s="28">
        <v>7610900072584</v>
      </c>
      <c r="E638" s="29" t="s">
        <v>371</v>
      </c>
      <c r="F638" s="29" t="s">
        <v>372</v>
      </c>
      <c r="G638">
        <v>9</v>
      </c>
      <c r="H638" t="s">
        <v>323</v>
      </c>
      <c r="I638" t="s">
        <v>45</v>
      </c>
      <c r="J638" t="s">
        <v>325</v>
      </c>
      <c r="K638" t="s">
        <v>285</v>
      </c>
      <c r="L638" t="s">
        <v>327</v>
      </c>
    </row>
    <row r="639" spans="1:12">
      <c r="A639" t="s">
        <v>318</v>
      </c>
      <c r="B639" t="s">
        <v>319</v>
      </c>
      <c r="C639" t="s">
        <v>385</v>
      </c>
      <c r="D639" s="28">
        <v>7610900072586</v>
      </c>
      <c r="E639" s="29" t="s">
        <v>371</v>
      </c>
      <c r="F639" s="29" t="s">
        <v>372</v>
      </c>
      <c r="G639">
        <v>9</v>
      </c>
      <c r="H639" t="s">
        <v>323</v>
      </c>
      <c r="I639" t="s">
        <v>45</v>
      </c>
      <c r="J639" t="s">
        <v>325</v>
      </c>
      <c r="K639" t="s">
        <v>285</v>
      </c>
      <c r="L639" t="s">
        <v>327</v>
      </c>
    </row>
    <row r="640" spans="1:12">
      <c r="A640" t="s">
        <v>318</v>
      </c>
      <c r="B640" t="s">
        <v>319</v>
      </c>
      <c r="C640" t="s">
        <v>382</v>
      </c>
      <c r="D640" s="28">
        <v>7610900072595</v>
      </c>
      <c r="E640" s="29" t="s">
        <v>371</v>
      </c>
      <c r="F640" s="29" t="s">
        <v>372</v>
      </c>
      <c r="G640">
        <v>9</v>
      </c>
      <c r="H640" t="s">
        <v>323</v>
      </c>
      <c r="I640" t="s">
        <v>45</v>
      </c>
      <c r="J640" t="s">
        <v>325</v>
      </c>
      <c r="K640" t="s">
        <v>285</v>
      </c>
      <c r="L640" t="s">
        <v>327</v>
      </c>
    </row>
    <row r="641" spans="1:12">
      <c r="A641" t="s">
        <v>318</v>
      </c>
      <c r="B641" t="s">
        <v>319</v>
      </c>
      <c r="C641" t="s">
        <v>843</v>
      </c>
      <c r="D641" s="28">
        <v>7610900072621</v>
      </c>
      <c r="E641" s="29" t="s">
        <v>371</v>
      </c>
      <c r="F641" s="29" t="s">
        <v>372</v>
      </c>
      <c r="G641">
        <v>10</v>
      </c>
      <c r="H641" t="s">
        <v>323</v>
      </c>
      <c r="I641" t="s">
        <v>45</v>
      </c>
      <c r="J641" t="s">
        <v>325</v>
      </c>
      <c r="K641" t="s">
        <v>285</v>
      </c>
      <c r="L641" t="s">
        <v>327</v>
      </c>
    </row>
    <row r="642" spans="1:12">
      <c r="A642" t="s">
        <v>318</v>
      </c>
      <c r="B642" t="s">
        <v>319</v>
      </c>
      <c r="C642" t="s">
        <v>849</v>
      </c>
      <c r="D642" s="28">
        <v>7610900073537</v>
      </c>
      <c r="E642" s="29" t="s">
        <v>371</v>
      </c>
      <c r="F642" s="29" t="s">
        <v>372</v>
      </c>
      <c r="G642">
        <v>7</v>
      </c>
      <c r="H642" t="s">
        <v>323</v>
      </c>
      <c r="I642" t="s">
        <v>45</v>
      </c>
      <c r="J642" t="s">
        <v>325</v>
      </c>
      <c r="K642" t="s">
        <v>285</v>
      </c>
      <c r="L642" t="s">
        <v>327</v>
      </c>
    </row>
    <row r="643" spans="1:12">
      <c r="A643" t="s">
        <v>318</v>
      </c>
      <c r="B643" t="s">
        <v>319</v>
      </c>
      <c r="C643" t="s">
        <v>513</v>
      </c>
      <c r="D643" s="28">
        <v>7610900073540</v>
      </c>
      <c r="E643" s="29" t="s">
        <v>371</v>
      </c>
      <c r="F643" s="29" t="s">
        <v>372</v>
      </c>
      <c r="G643">
        <v>9</v>
      </c>
      <c r="H643" t="s">
        <v>323</v>
      </c>
      <c r="I643" t="s">
        <v>45</v>
      </c>
      <c r="J643" t="s">
        <v>325</v>
      </c>
      <c r="K643" t="s">
        <v>285</v>
      </c>
      <c r="L643" t="s">
        <v>327</v>
      </c>
    </row>
    <row r="644" spans="1:12">
      <c r="A644" t="s">
        <v>318</v>
      </c>
      <c r="B644" t="s">
        <v>319</v>
      </c>
      <c r="C644" t="s">
        <v>850</v>
      </c>
      <c r="D644" s="28">
        <v>7610900073549</v>
      </c>
      <c r="E644" s="29" t="s">
        <v>371</v>
      </c>
      <c r="F644" s="29" t="s">
        <v>372</v>
      </c>
      <c r="G644">
        <v>7</v>
      </c>
      <c r="H644" t="s">
        <v>323</v>
      </c>
      <c r="I644" t="s">
        <v>45</v>
      </c>
      <c r="J644" t="s">
        <v>325</v>
      </c>
      <c r="K644" t="s">
        <v>285</v>
      </c>
      <c r="L644" t="s">
        <v>327</v>
      </c>
    </row>
    <row r="645" spans="1:12">
      <c r="A645" t="s">
        <v>318</v>
      </c>
      <c r="B645" t="s">
        <v>319</v>
      </c>
      <c r="C645" t="s">
        <v>851</v>
      </c>
      <c r="D645" s="28">
        <v>7610900073551</v>
      </c>
      <c r="E645" s="29" t="s">
        <v>371</v>
      </c>
      <c r="F645" s="29" t="s">
        <v>372</v>
      </c>
      <c r="G645">
        <v>8</v>
      </c>
      <c r="H645" t="s">
        <v>323</v>
      </c>
      <c r="I645" t="s">
        <v>45</v>
      </c>
      <c r="J645" t="s">
        <v>325</v>
      </c>
      <c r="K645" t="s">
        <v>285</v>
      </c>
      <c r="L645" t="s">
        <v>327</v>
      </c>
    </row>
    <row r="646" spans="1:12">
      <c r="A646" t="s">
        <v>318</v>
      </c>
      <c r="B646" t="s">
        <v>319</v>
      </c>
      <c r="C646" t="s">
        <v>852</v>
      </c>
      <c r="D646" s="28">
        <v>7610900073561</v>
      </c>
      <c r="E646" s="29" t="s">
        <v>371</v>
      </c>
      <c r="F646" s="29" t="s">
        <v>372</v>
      </c>
      <c r="G646">
        <v>11</v>
      </c>
      <c r="H646" t="s">
        <v>323</v>
      </c>
      <c r="I646" t="s">
        <v>45</v>
      </c>
      <c r="J646" t="s">
        <v>325</v>
      </c>
      <c r="K646" t="s">
        <v>285</v>
      </c>
      <c r="L646" t="s">
        <v>327</v>
      </c>
    </row>
    <row r="647" spans="1:12">
      <c r="A647" t="s">
        <v>318</v>
      </c>
      <c r="B647" t="s">
        <v>319</v>
      </c>
      <c r="C647" t="s">
        <v>373</v>
      </c>
      <c r="D647" s="28">
        <v>7610900095791</v>
      </c>
      <c r="E647" s="29" t="s">
        <v>371</v>
      </c>
      <c r="F647" s="29" t="s">
        <v>372</v>
      </c>
      <c r="G647">
        <v>10</v>
      </c>
      <c r="H647" t="s">
        <v>323</v>
      </c>
      <c r="I647" t="s">
        <v>45</v>
      </c>
      <c r="J647" t="s">
        <v>325</v>
      </c>
      <c r="K647" t="s">
        <v>285</v>
      </c>
      <c r="L647" t="s">
        <v>327</v>
      </c>
    </row>
    <row r="648" spans="1:12">
      <c r="A648" t="s">
        <v>318</v>
      </c>
      <c r="B648" t="s">
        <v>319</v>
      </c>
      <c r="C648" t="s">
        <v>853</v>
      </c>
      <c r="D648" s="28">
        <v>7610900095796</v>
      </c>
      <c r="E648" s="29" t="s">
        <v>371</v>
      </c>
      <c r="F648" s="29" t="s">
        <v>372</v>
      </c>
      <c r="G648">
        <v>10</v>
      </c>
      <c r="H648" t="s">
        <v>323</v>
      </c>
      <c r="I648" t="s">
        <v>45</v>
      </c>
      <c r="J648" t="s">
        <v>325</v>
      </c>
      <c r="K648" t="s">
        <v>285</v>
      </c>
      <c r="L648" t="s">
        <v>327</v>
      </c>
    </row>
    <row r="649" spans="1:12">
      <c r="A649" t="s">
        <v>318</v>
      </c>
      <c r="B649" t="s">
        <v>319</v>
      </c>
      <c r="C649" t="s">
        <v>854</v>
      </c>
      <c r="D649" s="28">
        <v>7610900095886</v>
      </c>
      <c r="E649" s="29" t="s">
        <v>371</v>
      </c>
      <c r="F649" s="29" t="s">
        <v>372</v>
      </c>
      <c r="G649">
        <v>11</v>
      </c>
      <c r="H649" t="s">
        <v>323</v>
      </c>
      <c r="I649" t="s">
        <v>45</v>
      </c>
      <c r="J649" t="s">
        <v>325</v>
      </c>
      <c r="K649" t="s">
        <v>285</v>
      </c>
      <c r="L649" t="s">
        <v>327</v>
      </c>
    </row>
    <row r="650" spans="1:12">
      <c r="A650" t="s">
        <v>318</v>
      </c>
      <c r="B650" t="s">
        <v>319</v>
      </c>
      <c r="C650" t="s">
        <v>855</v>
      </c>
      <c r="D650" s="28">
        <v>7610900095893</v>
      </c>
      <c r="E650" s="29" t="s">
        <v>371</v>
      </c>
      <c r="F650" s="29" t="s">
        <v>372</v>
      </c>
      <c r="G650">
        <v>6</v>
      </c>
      <c r="H650" t="s">
        <v>323</v>
      </c>
      <c r="I650" t="s">
        <v>45</v>
      </c>
      <c r="J650" t="s">
        <v>325</v>
      </c>
      <c r="K650" t="s">
        <v>285</v>
      </c>
      <c r="L650" t="s">
        <v>327</v>
      </c>
    </row>
    <row r="651" spans="1:12">
      <c r="A651" t="s">
        <v>318</v>
      </c>
      <c r="B651" t="s">
        <v>319</v>
      </c>
      <c r="C651" t="s">
        <v>511</v>
      </c>
      <c r="D651" s="28">
        <v>7610900099385</v>
      </c>
      <c r="E651" s="29" t="s">
        <v>371</v>
      </c>
      <c r="F651" s="29" t="s">
        <v>372</v>
      </c>
      <c r="G651">
        <v>9</v>
      </c>
      <c r="H651" t="s">
        <v>323</v>
      </c>
      <c r="I651" t="s">
        <v>45</v>
      </c>
      <c r="J651" t="s">
        <v>325</v>
      </c>
      <c r="K651" t="s">
        <v>285</v>
      </c>
      <c r="L651" t="s">
        <v>327</v>
      </c>
    </row>
    <row r="652" spans="1:12">
      <c r="A652" t="s">
        <v>318</v>
      </c>
      <c r="B652" t="s">
        <v>319</v>
      </c>
      <c r="C652" t="s">
        <v>856</v>
      </c>
      <c r="D652" s="28">
        <v>7610900099386</v>
      </c>
      <c r="E652" s="29" t="s">
        <v>371</v>
      </c>
      <c r="F652" s="29" t="s">
        <v>372</v>
      </c>
      <c r="G652">
        <v>6</v>
      </c>
      <c r="H652" t="s">
        <v>323</v>
      </c>
      <c r="I652" t="s">
        <v>45</v>
      </c>
      <c r="J652" t="s">
        <v>325</v>
      </c>
      <c r="K652" t="s">
        <v>285</v>
      </c>
      <c r="L652" t="s">
        <v>327</v>
      </c>
    </row>
    <row r="653" spans="1:12">
      <c r="A653" t="s">
        <v>318</v>
      </c>
      <c r="B653" t="s">
        <v>319</v>
      </c>
      <c r="C653" t="s">
        <v>857</v>
      </c>
      <c r="D653" s="28">
        <v>7610900099821</v>
      </c>
      <c r="E653" s="29" t="s">
        <v>371</v>
      </c>
      <c r="F653" s="29" t="s">
        <v>372</v>
      </c>
      <c r="G653">
        <v>12</v>
      </c>
      <c r="H653" t="s">
        <v>323</v>
      </c>
      <c r="I653" t="s">
        <v>45</v>
      </c>
      <c r="J653" t="s">
        <v>325</v>
      </c>
      <c r="K653" t="s">
        <v>285</v>
      </c>
      <c r="L653" t="s">
        <v>327</v>
      </c>
    </row>
    <row r="654" spans="1:12">
      <c r="A654" t="s">
        <v>318</v>
      </c>
      <c r="B654" t="s">
        <v>319</v>
      </c>
      <c r="C654" t="s">
        <v>489</v>
      </c>
      <c r="D654" s="28">
        <v>7610900099838</v>
      </c>
      <c r="E654" s="29" t="s">
        <v>371</v>
      </c>
      <c r="F654" s="29" t="s">
        <v>372</v>
      </c>
      <c r="G654">
        <v>11</v>
      </c>
      <c r="H654" t="s">
        <v>323</v>
      </c>
      <c r="I654" t="s">
        <v>45</v>
      </c>
      <c r="J654" t="s">
        <v>325</v>
      </c>
      <c r="K654" t="s">
        <v>285</v>
      </c>
      <c r="L654" t="s">
        <v>327</v>
      </c>
    </row>
    <row r="655" spans="1:12">
      <c r="A655" t="s">
        <v>318</v>
      </c>
      <c r="B655" t="s">
        <v>319</v>
      </c>
      <c r="C655" t="s">
        <v>858</v>
      </c>
      <c r="D655" s="28">
        <v>7610900099839</v>
      </c>
      <c r="E655" s="29" t="s">
        <v>371</v>
      </c>
      <c r="F655" s="29" t="s">
        <v>372</v>
      </c>
      <c r="G655">
        <v>10</v>
      </c>
      <c r="H655" t="s">
        <v>323</v>
      </c>
      <c r="I655" t="s">
        <v>45</v>
      </c>
      <c r="J655" t="s">
        <v>325</v>
      </c>
      <c r="K655" t="s">
        <v>285</v>
      </c>
      <c r="L655" t="s">
        <v>327</v>
      </c>
    </row>
    <row r="656" spans="1:12">
      <c r="A656" t="s">
        <v>318</v>
      </c>
      <c r="B656" t="s">
        <v>319</v>
      </c>
      <c r="C656" t="s">
        <v>859</v>
      </c>
      <c r="D656" s="28">
        <v>7610900099841</v>
      </c>
      <c r="E656" s="29" t="s">
        <v>371</v>
      </c>
      <c r="F656" s="29" t="s">
        <v>372</v>
      </c>
      <c r="G656">
        <v>10</v>
      </c>
      <c r="H656" t="s">
        <v>323</v>
      </c>
      <c r="I656" t="s">
        <v>45</v>
      </c>
      <c r="J656" t="s">
        <v>325</v>
      </c>
      <c r="K656" t="s">
        <v>285</v>
      </c>
      <c r="L656" t="s">
        <v>327</v>
      </c>
    </row>
    <row r="657" spans="1:12">
      <c r="A657" t="s">
        <v>318</v>
      </c>
      <c r="B657" t="s">
        <v>319</v>
      </c>
      <c r="C657" t="s">
        <v>575</v>
      </c>
      <c r="D657" s="28">
        <v>7610900100382</v>
      </c>
      <c r="E657" s="29" t="s">
        <v>371</v>
      </c>
      <c r="F657" s="29" t="s">
        <v>372</v>
      </c>
      <c r="G657">
        <v>10</v>
      </c>
      <c r="H657" t="s">
        <v>323</v>
      </c>
      <c r="I657" t="s">
        <v>45</v>
      </c>
      <c r="J657" t="s">
        <v>325</v>
      </c>
      <c r="K657" t="s">
        <v>285</v>
      </c>
      <c r="L657" t="s">
        <v>327</v>
      </c>
    </row>
    <row r="658" spans="1:12">
      <c r="A658" t="s">
        <v>318</v>
      </c>
      <c r="B658" t="s">
        <v>319</v>
      </c>
      <c r="C658" t="s">
        <v>860</v>
      </c>
      <c r="D658" s="28">
        <v>7610900100392</v>
      </c>
      <c r="E658" s="29" t="s">
        <v>371</v>
      </c>
      <c r="F658" s="29" t="s">
        <v>372</v>
      </c>
      <c r="G658">
        <v>10</v>
      </c>
      <c r="H658" t="s">
        <v>323</v>
      </c>
      <c r="I658" t="s">
        <v>45</v>
      </c>
      <c r="J658" t="s">
        <v>325</v>
      </c>
      <c r="K658" t="s">
        <v>285</v>
      </c>
      <c r="L658" t="s">
        <v>327</v>
      </c>
    </row>
    <row r="659" spans="1:12">
      <c r="A659" t="s">
        <v>318</v>
      </c>
      <c r="B659" t="s">
        <v>319</v>
      </c>
      <c r="C659" t="s">
        <v>861</v>
      </c>
      <c r="D659" s="28">
        <v>7610900100393</v>
      </c>
      <c r="E659" s="29" t="s">
        <v>371</v>
      </c>
      <c r="F659" s="29" t="s">
        <v>372</v>
      </c>
      <c r="G659">
        <v>12</v>
      </c>
      <c r="H659" t="s">
        <v>323</v>
      </c>
      <c r="I659" t="s">
        <v>45</v>
      </c>
      <c r="J659" t="s">
        <v>325</v>
      </c>
      <c r="K659" t="s">
        <v>285</v>
      </c>
      <c r="L659" t="s">
        <v>327</v>
      </c>
    </row>
    <row r="660" spans="1:12">
      <c r="A660" t="s">
        <v>318</v>
      </c>
      <c r="B660" t="s">
        <v>319</v>
      </c>
      <c r="C660" t="s">
        <v>862</v>
      </c>
      <c r="D660" s="28">
        <v>7610900100901</v>
      </c>
      <c r="E660" s="29" t="s">
        <v>371</v>
      </c>
      <c r="F660" s="29" t="s">
        <v>372</v>
      </c>
      <c r="G660">
        <v>9</v>
      </c>
      <c r="H660" t="s">
        <v>323</v>
      </c>
      <c r="I660" t="s">
        <v>45</v>
      </c>
      <c r="J660" t="s">
        <v>325</v>
      </c>
      <c r="K660" t="s">
        <v>285</v>
      </c>
      <c r="L660" t="s">
        <v>327</v>
      </c>
    </row>
    <row r="661" spans="1:12">
      <c r="A661" t="s">
        <v>318</v>
      </c>
      <c r="B661" t="s">
        <v>319</v>
      </c>
      <c r="C661" t="s">
        <v>863</v>
      </c>
      <c r="D661" s="28">
        <v>7610900100906</v>
      </c>
      <c r="E661" s="29" t="s">
        <v>371</v>
      </c>
      <c r="F661" s="29" t="s">
        <v>372</v>
      </c>
      <c r="G661">
        <v>7</v>
      </c>
      <c r="H661" t="s">
        <v>323</v>
      </c>
      <c r="I661" t="s">
        <v>45</v>
      </c>
      <c r="J661" t="s">
        <v>325</v>
      </c>
      <c r="K661" t="s">
        <v>285</v>
      </c>
      <c r="L661" t="s">
        <v>327</v>
      </c>
    </row>
    <row r="662" spans="1:12">
      <c r="A662" t="s">
        <v>318</v>
      </c>
      <c r="B662" t="s">
        <v>319</v>
      </c>
      <c r="C662" t="s">
        <v>864</v>
      </c>
      <c r="D662" s="28">
        <v>7610900101303</v>
      </c>
      <c r="E662" s="29" t="s">
        <v>371</v>
      </c>
      <c r="F662" s="29" t="s">
        <v>372</v>
      </c>
      <c r="G662">
        <v>10</v>
      </c>
      <c r="H662" t="s">
        <v>323</v>
      </c>
      <c r="I662" t="s">
        <v>45</v>
      </c>
      <c r="J662" t="s">
        <v>325</v>
      </c>
      <c r="K662" t="s">
        <v>285</v>
      </c>
      <c r="L662" t="s">
        <v>327</v>
      </c>
    </row>
    <row r="663" spans="1:12">
      <c r="A663" t="s">
        <v>318</v>
      </c>
      <c r="B663" t="s">
        <v>319</v>
      </c>
      <c r="C663" t="s">
        <v>865</v>
      </c>
      <c r="D663" s="28">
        <v>7610900101753</v>
      </c>
      <c r="E663" s="29" t="s">
        <v>371</v>
      </c>
      <c r="F663" s="29" t="s">
        <v>372</v>
      </c>
      <c r="G663">
        <v>6</v>
      </c>
      <c r="H663" t="s">
        <v>323</v>
      </c>
      <c r="I663" t="s">
        <v>45</v>
      </c>
      <c r="J663" t="s">
        <v>325</v>
      </c>
      <c r="K663" t="s">
        <v>285</v>
      </c>
      <c r="L663" t="s">
        <v>327</v>
      </c>
    </row>
    <row r="664" spans="1:12">
      <c r="A664" t="s">
        <v>318</v>
      </c>
      <c r="B664" t="s">
        <v>319</v>
      </c>
      <c r="C664" t="s">
        <v>866</v>
      </c>
      <c r="D664" s="28">
        <v>7610900101762</v>
      </c>
      <c r="E664" s="29" t="s">
        <v>371</v>
      </c>
      <c r="F664" s="29" t="s">
        <v>372</v>
      </c>
      <c r="G664">
        <v>8</v>
      </c>
      <c r="H664" t="s">
        <v>323</v>
      </c>
      <c r="I664" t="s">
        <v>45</v>
      </c>
      <c r="J664" t="s">
        <v>325</v>
      </c>
      <c r="K664" t="s">
        <v>285</v>
      </c>
      <c r="L664" t="s">
        <v>327</v>
      </c>
    </row>
    <row r="665" spans="1:12">
      <c r="A665" t="s">
        <v>318</v>
      </c>
      <c r="B665" t="s">
        <v>319</v>
      </c>
      <c r="C665" t="s">
        <v>860</v>
      </c>
      <c r="D665" s="28">
        <v>7610900102141</v>
      </c>
      <c r="E665" s="29" t="s">
        <v>371</v>
      </c>
      <c r="F665" s="29" t="s">
        <v>372</v>
      </c>
      <c r="G665">
        <v>8</v>
      </c>
      <c r="H665" t="s">
        <v>323</v>
      </c>
      <c r="I665" t="s">
        <v>45</v>
      </c>
      <c r="J665" t="s">
        <v>325</v>
      </c>
      <c r="K665" t="s">
        <v>285</v>
      </c>
      <c r="L665" t="s">
        <v>327</v>
      </c>
    </row>
    <row r="666" spans="1:12">
      <c r="A666" t="s">
        <v>318</v>
      </c>
      <c r="B666" t="s">
        <v>319</v>
      </c>
      <c r="C666" t="s">
        <v>867</v>
      </c>
      <c r="D666" s="28">
        <v>7610900102147</v>
      </c>
      <c r="E666" s="29" t="s">
        <v>371</v>
      </c>
      <c r="F666" s="29" t="s">
        <v>372</v>
      </c>
      <c r="G666">
        <v>8</v>
      </c>
      <c r="H666" t="s">
        <v>323</v>
      </c>
      <c r="I666" t="s">
        <v>45</v>
      </c>
      <c r="J666" t="s">
        <v>325</v>
      </c>
      <c r="K666" t="s">
        <v>285</v>
      </c>
      <c r="L666" t="s">
        <v>327</v>
      </c>
    </row>
    <row r="667" spans="1:12">
      <c r="A667" t="s">
        <v>318</v>
      </c>
      <c r="B667" t="s">
        <v>319</v>
      </c>
      <c r="C667" t="s">
        <v>868</v>
      </c>
      <c r="D667" s="28">
        <v>7610900102197</v>
      </c>
      <c r="E667" s="29" t="s">
        <v>371</v>
      </c>
      <c r="F667" s="29" t="s">
        <v>372</v>
      </c>
      <c r="G667">
        <v>9</v>
      </c>
      <c r="H667" t="s">
        <v>323</v>
      </c>
      <c r="I667" t="s">
        <v>45</v>
      </c>
      <c r="J667" t="s">
        <v>325</v>
      </c>
      <c r="K667" t="s">
        <v>285</v>
      </c>
      <c r="L667" t="s">
        <v>327</v>
      </c>
    </row>
    <row r="668" spans="1:12">
      <c r="A668" t="s">
        <v>318</v>
      </c>
      <c r="B668" t="s">
        <v>319</v>
      </c>
      <c r="C668" t="s">
        <v>869</v>
      </c>
      <c r="D668" s="28">
        <v>7610900102223</v>
      </c>
      <c r="E668" s="29" t="s">
        <v>371</v>
      </c>
      <c r="F668" s="29" t="s">
        <v>372</v>
      </c>
      <c r="G668">
        <v>10</v>
      </c>
      <c r="H668" t="s">
        <v>323</v>
      </c>
      <c r="I668" t="s">
        <v>45</v>
      </c>
      <c r="J668" t="s">
        <v>325</v>
      </c>
      <c r="K668" t="s">
        <v>285</v>
      </c>
      <c r="L668" t="s">
        <v>327</v>
      </c>
    </row>
    <row r="669" spans="1:12">
      <c r="A669" t="s">
        <v>318</v>
      </c>
      <c r="B669" t="s">
        <v>319</v>
      </c>
      <c r="C669" t="s">
        <v>870</v>
      </c>
      <c r="D669" s="28">
        <v>7610900102228</v>
      </c>
      <c r="E669" s="29" t="s">
        <v>371</v>
      </c>
      <c r="F669" s="29" t="s">
        <v>372</v>
      </c>
      <c r="G669">
        <v>7</v>
      </c>
      <c r="H669" t="s">
        <v>323</v>
      </c>
      <c r="I669" t="s">
        <v>45</v>
      </c>
      <c r="J669" t="s">
        <v>325</v>
      </c>
      <c r="K669" t="s">
        <v>285</v>
      </c>
      <c r="L669" t="s">
        <v>327</v>
      </c>
    </row>
    <row r="670" spans="1:12">
      <c r="A670" t="s">
        <v>318</v>
      </c>
      <c r="B670" t="s">
        <v>319</v>
      </c>
      <c r="C670" t="s">
        <v>871</v>
      </c>
      <c r="D670" s="28">
        <v>7610900102229</v>
      </c>
      <c r="E670" s="29" t="s">
        <v>371</v>
      </c>
      <c r="F670" s="29" t="s">
        <v>372</v>
      </c>
      <c r="G670">
        <v>10</v>
      </c>
      <c r="H670" t="s">
        <v>323</v>
      </c>
      <c r="I670" t="s">
        <v>45</v>
      </c>
      <c r="J670" t="s">
        <v>325</v>
      </c>
      <c r="K670" t="s">
        <v>285</v>
      </c>
      <c r="L670" t="s">
        <v>327</v>
      </c>
    </row>
    <row r="671" spans="1:12">
      <c r="A671" t="s">
        <v>318</v>
      </c>
      <c r="B671" t="s">
        <v>319</v>
      </c>
      <c r="C671" t="s">
        <v>668</v>
      </c>
      <c r="D671" s="28">
        <v>7610900102231</v>
      </c>
      <c r="E671" s="29" t="s">
        <v>371</v>
      </c>
      <c r="F671" s="29" t="s">
        <v>372</v>
      </c>
      <c r="G671">
        <v>5</v>
      </c>
      <c r="H671" t="s">
        <v>323</v>
      </c>
      <c r="I671" t="s">
        <v>45</v>
      </c>
      <c r="J671" t="s">
        <v>325</v>
      </c>
      <c r="K671" t="s">
        <v>285</v>
      </c>
      <c r="L671" t="s">
        <v>327</v>
      </c>
    </row>
    <row r="672" spans="1:12">
      <c r="A672" t="s">
        <v>318</v>
      </c>
      <c r="B672" t="s">
        <v>319</v>
      </c>
      <c r="C672" t="s">
        <v>872</v>
      </c>
      <c r="D672" s="28">
        <v>7610900102331</v>
      </c>
      <c r="E672" s="29" t="s">
        <v>371</v>
      </c>
      <c r="F672" s="29" t="s">
        <v>372</v>
      </c>
      <c r="G672">
        <v>10</v>
      </c>
      <c r="H672" t="s">
        <v>323</v>
      </c>
      <c r="I672" t="s">
        <v>45</v>
      </c>
      <c r="J672" t="s">
        <v>325</v>
      </c>
      <c r="K672" t="s">
        <v>285</v>
      </c>
      <c r="L672" t="s">
        <v>327</v>
      </c>
    </row>
    <row r="673" spans="1:12">
      <c r="A673" t="s">
        <v>318</v>
      </c>
      <c r="B673" t="s">
        <v>319</v>
      </c>
      <c r="C673" t="s">
        <v>873</v>
      </c>
      <c r="D673" s="28">
        <v>7610900102334</v>
      </c>
      <c r="E673" s="29" t="s">
        <v>371</v>
      </c>
      <c r="F673" s="29" t="s">
        <v>372</v>
      </c>
      <c r="G673">
        <v>9</v>
      </c>
      <c r="H673" t="s">
        <v>323</v>
      </c>
      <c r="I673" t="s">
        <v>45</v>
      </c>
      <c r="J673" t="s">
        <v>325</v>
      </c>
      <c r="K673" t="s">
        <v>285</v>
      </c>
      <c r="L673" t="s">
        <v>327</v>
      </c>
    </row>
    <row r="674" spans="1:12">
      <c r="A674" t="s">
        <v>318</v>
      </c>
      <c r="B674" t="s">
        <v>319</v>
      </c>
      <c r="C674" t="s">
        <v>351</v>
      </c>
      <c r="D674" s="28">
        <v>7610900102335</v>
      </c>
      <c r="E674" s="29" t="s">
        <v>371</v>
      </c>
      <c r="F674" s="29" t="s">
        <v>372</v>
      </c>
      <c r="G674">
        <v>7</v>
      </c>
      <c r="H674" t="s">
        <v>323</v>
      </c>
      <c r="I674" t="s">
        <v>45</v>
      </c>
      <c r="J674" t="s">
        <v>325</v>
      </c>
      <c r="K674" t="s">
        <v>285</v>
      </c>
      <c r="L674" t="s">
        <v>327</v>
      </c>
    </row>
    <row r="675" spans="1:12">
      <c r="A675" t="s">
        <v>318</v>
      </c>
      <c r="B675" t="s">
        <v>319</v>
      </c>
      <c r="C675" t="s">
        <v>572</v>
      </c>
      <c r="D675" s="28">
        <v>7610900102358</v>
      </c>
      <c r="E675" s="29" t="s">
        <v>371</v>
      </c>
      <c r="F675" s="29" t="s">
        <v>372</v>
      </c>
      <c r="G675">
        <v>7</v>
      </c>
      <c r="H675" t="s">
        <v>323</v>
      </c>
      <c r="I675" t="s">
        <v>45</v>
      </c>
      <c r="J675" t="s">
        <v>325</v>
      </c>
      <c r="K675" t="s">
        <v>337</v>
      </c>
      <c r="L675" t="s">
        <v>327</v>
      </c>
    </row>
    <row r="676" spans="1:12">
      <c r="A676" t="s">
        <v>318</v>
      </c>
      <c r="B676" t="s">
        <v>319</v>
      </c>
      <c r="C676" t="s">
        <v>725</v>
      </c>
      <c r="D676" s="28">
        <v>7610900102360</v>
      </c>
      <c r="E676" s="29" t="s">
        <v>371</v>
      </c>
      <c r="F676" s="29" t="s">
        <v>372</v>
      </c>
      <c r="G676">
        <v>12</v>
      </c>
      <c r="H676" t="s">
        <v>323</v>
      </c>
      <c r="I676" t="s">
        <v>45</v>
      </c>
      <c r="J676" t="s">
        <v>325</v>
      </c>
      <c r="K676" t="s">
        <v>285</v>
      </c>
      <c r="L676" t="s">
        <v>327</v>
      </c>
    </row>
    <row r="677" spans="1:12">
      <c r="A677" t="s">
        <v>318</v>
      </c>
      <c r="B677" t="s">
        <v>319</v>
      </c>
      <c r="C677" t="s">
        <v>874</v>
      </c>
      <c r="D677" s="28">
        <v>7610900110755</v>
      </c>
      <c r="E677" s="29" t="s">
        <v>371</v>
      </c>
      <c r="F677" s="29" t="s">
        <v>372</v>
      </c>
      <c r="G677">
        <v>12</v>
      </c>
      <c r="H677" t="s">
        <v>323</v>
      </c>
      <c r="I677" t="s">
        <v>45</v>
      </c>
      <c r="J677" t="s">
        <v>325</v>
      </c>
      <c r="K677" t="s">
        <v>285</v>
      </c>
      <c r="L677" t="s">
        <v>327</v>
      </c>
    </row>
    <row r="678" spans="1:12">
      <c r="A678" t="s">
        <v>318</v>
      </c>
      <c r="B678" t="s">
        <v>319</v>
      </c>
      <c r="C678" t="s">
        <v>526</v>
      </c>
      <c r="D678" s="28">
        <v>7610900110757</v>
      </c>
      <c r="E678" s="29" t="s">
        <v>371</v>
      </c>
      <c r="F678" s="29" t="s">
        <v>372</v>
      </c>
      <c r="G678">
        <v>9</v>
      </c>
      <c r="H678" t="s">
        <v>323</v>
      </c>
      <c r="I678" t="s">
        <v>45</v>
      </c>
      <c r="J678" t="s">
        <v>325</v>
      </c>
      <c r="K678" t="s">
        <v>285</v>
      </c>
      <c r="L678" t="s">
        <v>327</v>
      </c>
    </row>
    <row r="679" spans="1:12">
      <c r="A679" t="s">
        <v>318</v>
      </c>
      <c r="B679" t="s">
        <v>319</v>
      </c>
      <c r="C679" t="s">
        <v>388</v>
      </c>
      <c r="D679" s="28">
        <v>7610900111951</v>
      </c>
      <c r="E679" s="29" t="s">
        <v>371</v>
      </c>
      <c r="F679" s="29" t="s">
        <v>372</v>
      </c>
      <c r="G679">
        <v>11</v>
      </c>
      <c r="H679" t="s">
        <v>323</v>
      </c>
      <c r="I679" t="s">
        <v>45</v>
      </c>
      <c r="J679" t="s">
        <v>325</v>
      </c>
      <c r="K679" t="s">
        <v>285</v>
      </c>
      <c r="L679" t="s">
        <v>327</v>
      </c>
    </row>
    <row r="680" spans="1:12">
      <c r="A680" t="s">
        <v>318</v>
      </c>
      <c r="B680" t="s">
        <v>319</v>
      </c>
      <c r="C680" t="s">
        <v>875</v>
      </c>
      <c r="D680" s="28">
        <v>7610900112017</v>
      </c>
      <c r="E680" s="29" t="s">
        <v>371</v>
      </c>
      <c r="F680" s="29" t="s">
        <v>372</v>
      </c>
      <c r="G680">
        <v>10</v>
      </c>
      <c r="H680" t="s">
        <v>323</v>
      </c>
      <c r="I680" t="s">
        <v>45</v>
      </c>
      <c r="J680" t="s">
        <v>325</v>
      </c>
      <c r="K680" t="s">
        <v>285</v>
      </c>
      <c r="L680" t="s">
        <v>327</v>
      </c>
    </row>
    <row r="681" spans="1:12">
      <c r="A681" t="s">
        <v>318</v>
      </c>
      <c r="B681" t="s">
        <v>319</v>
      </c>
      <c r="C681" t="s">
        <v>382</v>
      </c>
      <c r="D681" s="28">
        <v>7610900112187</v>
      </c>
      <c r="E681" s="29" t="s">
        <v>371</v>
      </c>
      <c r="F681" s="29" t="s">
        <v>372</v>
      </c>
      <c r="G681">
        <v>8</v>
      </c>
      <c r="H681" t="s">
        <v>323</v>
      </c>
      <c r="I681" t="s">
        <v>45</v>
      </c>
      <c r="J681" t="s">
        <v>325</v>
      </c>
      <c r="K681" t="s">
        <v>285</v>
      </c>
      <c r="L681" t="s">
        <v>327</v>
      </c>
    </row>
    <row r="682" spans="1:12">
      <c r="A682" t="s">
        <v>318</v>
      </c>
      <c r="B682" t="s">
        <v>319</v>
      </c>
      <c r="C682" t="s">
        <v>527</v>
      </c>
      <c r="D682" s="28">
        <v>7610900112256</v>
      </c>
      <c r="E682" s="29" t="s">
        <v>371</v>
      </c>
      <c r="F682" s="29" t="s">
        <v>372</v>
      </c>
      <c r="G682">
        <v>8</v>
      </c>
      <c r="H682" t="s">
        <v>323</v>
      </c>
      <c r="I682" t="s">
        <v>45</v>
      </c>
      <c r="J682" t="s">
        <v>325</v>
      </c>
      <c r="K682" t="s">
        <v>285</v>
      </c>
      <c r="L682" t="s">
        <v>327</v>
      </c>
    </row>
    <row r="683" spans="1:12">
      <c r="A683" t="s">
        <v>318</v>
      </c>
      <c r="B683" t="s">
        <v>319</v>
      </c>
      <c r="C683" t="s">
        <v>876</v>
      </c>
      <c r="D683" s="28">
        <v>7610900112317</v>
      </c>
      <c r="E683" s="29" t="s">
        <v>371</v>
      </c>
      <c r="F683" s="29" t="s">
        <v>372</v>
      </c>
      <c r="G683">
        <v>11</v>
      </c>
      <c r="H683" t="s">
        <v>323</v>
      </c>
      <c r="I683" t="s">
        <v>45</v>
      </c>
      <c r="J683" t="s">
        <v>325</v>
      </c>
      <c r="K683" t="s">
        <v>285</v>
      </c>
      <c r="L683" t="s">
        <v>327</v>
      </c>
    </row>
    <row r="684" spans="1:12">
      <c r="A684" t="s">
        <v>318</v>
      </c>
      <c r="B684" t="s">
        <v>319</v>
      </c>
      <c r="C684" t="s">
        <v>877</v>
      </c>
      <c r="D684" s="28">
        <v>7610900112359</v>
      </c>
      <c r="E684" s="29" t="s">
        <v>371</v>
      </c>
      <c r="F684" s="29" t="s">
        <v>372</v>
      </c>
      <c r="G684">
        <v>11</v>
      </c>
      <c r="H684" t="s">
        <v>323</v>
      </c>
      <c r="I684" t="s">
        <v>45</v>
      </c>
      <c r="J684" t="s">
        <v>325</v>
      </c>
      <c r="K684" t="s">
        <v>285</v>
      </c>
      <c r="L684" t="s">
        <v>327</v>
      </c>
    </row>
    <row r="685" spans="1:12">
      <c r="A685" t="s">
        <v>318</v>
      </c>
      <c r="B685" t="s">
        <v>319</v>
      </c>
      <c r="C685" t="s">
        <v>878</v>
      </c>
      <c r="D685" s="28">
        <v>7610900112375</v>
      </c>
      <c r="E685" s="29" t="s">
        <v>371</v>
      </c>
      <c r="F685" s="29" t="s">
        <v>372</v>
      </c>
      <c r="G685">
        <v>10</v>
      </c>
      <c r="H685" t="s">
        <v>323</v>
      </c>
      <c r="I685" t="s">
        <v>45</v>
      </c>
      <c r="J685" t="s">
        <v>325</v>
      </c>
      <c r="K685" t="s">
        <v>285</v>
      </c>
      <c r="L685" t="s">
        <v>327</v>
      </c>
    </row>
    <row r="686" spans="1:12">
      <c r="A686" t="s">
        <v>318</v>
      </c>
      <c r="B686" t="s">
        <v>319</v>
      </c>
      <c r="C686" t="s">
        <v>879</v>
      </c>
      <c r="D686" s="28">
        <v>7610900112603</v>
      </c>
      <c r="E686" s="29" t="s">
        <v>371</v>
      </c>
      <c r="F686" s="29" t="s">
        <v>372</v>
      </c>
      <c r="G686">
        <v>7</v>
      </c>
      <c r="H686" t="s">
        <v>323</v>
      </c>
      <c r="I686" t="s">
        <v>45</v>
      </c>
      <c r="J686" t="s">
        <v>325</v>
      </c>
      <c r="K686" t="s">
        <v>285</v>
      </c>
      <c r="L686" t="s">
        <v>327</v>
      </c>
    </row>
    <row r="687" spans="1:12">
      <c r="A687" t="s">
        <v>318</v>
      </c>
      <c r="B687" t="s">
        <v>319</v>
      </c>
      <c r="C687" t="s">
        <v>571</v>
      </c>
      <c r="D687" s="28">
        <v>7610900112621</v>
      </c>
      <c r="E687" s="29" t="s">
        <v>371</v>
      </c>
      <c r="F687" s="29" t="s">
        <v>372</v>
      </c>
      <c r="G687">
        <v>11</v>
      </c>
      <c r="H687" t="s">
        <v>323</v>
      </c>
      <c r="I687" t="s">
        <v>45</v>
      </c>
      <c r="J687" t="s">
        <v>325</v>
      </c>
      <c r="K687" t="s">
        <v>285</v>
      </c>
      <c r="L687" t="s">
        <v>327</v>
      </c>
    </row>
    <row r="688" spans="1:12">
      <c r="A688" t="s">
        <v>318</v>
      </c>
      <c r="B688" t="s">
        <v>319</v>
      </c>
      <c r="C688" t="s">
        <v>880</v>
      </c>
      <c r="D688" s="28">
        <v>7610900112632</v>
      </c>
      <c r="E688" s="29" t="s">
        <v>371</v>
      </c>
      <c r="F688" s="29" t="s">
        <v>372</v>
      </c>
      <c r="G688">
        <v>11</v>
      </c>
      <c r="H688" t="s">
        <v>323</v>
      </c>
      <c r="I688" t="s">
        <v>45</v>
      </c>
      <c r="J688" t="s">
        <v>325</v>
      </c>
      <c r="K688" t="s">
        <v>285</v>
      </c>
      <c r="L688" t="s">
        <v>327</v>
      </c>
    </row>
    <row r="689" spans="1:12">
      <c r="A689" t="s">
        <v>318</v>
      </c>
      <c r="B689" t="s">
        <v>319</v>
      </c>
      <c r="C689" t="s">
        <v>493</v>
      </c>
      <c r="D689" s="28">
        <v>7610900112671</v>
      </c>
      <c r="E689" s="29" t="s">
        <v>371</v>
      </c>
      <c r="F689" s="29" t="s">
        <v>372</v>
      </c>
      <c r="G689">
        <v>10</v>
      </c>
      <c r="H689" t="s">
        <v>323</v>
      </c>
      <c r="I689" t="s">
        <v>45</v>
      </c>
      <c r="J689" t="s">
        <v>325</v>
      </c>
      <c r="K689" t="s">
        <v>285</v>
      </c>
      <c r="L689" t="s">
        <v>327</v>
      </c>
    </row>
    <row r="690" spans="1:12">
      <c r="A690" t="s">
        <v>318</v>
      </c>
      <c r="B690" t="s">
        <v>319</v>
      </c>
      <c r="C690" t="s">
        <v>493</v>
      </c>
      <c r="D690" s="28">
        <v>7610900112673</v>
      </c>
      <c r="E690" s="29" t="s">
        <v>371</v>
      </c>
      <c r="F690" s="29" t="s">
        <v>372</v>
      </c>
      <c r="G690">
        <v>12</v>
      </c>
      <c r="H690" t="s">
        <v>323</v>
      </c>
      <c r="I690" t="s">
        <v>45</v>
      </c>
      <c r="J690" t="s">
        <v>325</v>
      </c>
      <c r="K690" t="s">
        <v>285</v>
      </c>
      <c r="L690" t="s">
        <v>327</v>
      </c>
    </row>
    <row r="691" spans="1:12">
      <c r="A691" t="s">
        <v>318</v>
      </c>
      <c r="B691" t="s">
        <v>319</v>
      </c>
      <c r="C691" t="s">
        <v>514</v>
      </c>
      <c r="D691" s="28">
        <v>7610900112715</v>
      </c>
      <c r="E691" s="29" t="s">
        <v>371</v>
      </c>
      <c r="F691" s="29" t="s">
        <v>372</v>
      </c>
      <c r="G691">
        <v>9</v>
      </c>
      <c r="H691" t="s">
        <v>323</v>
      </c>
      <c r="I691" t="s">
        <v>45</v>
      </c>
      <c r="J691" t="s">
        <v>325</v>
      </c>
      <c r="K691" t="s">
        <v>285</v>
      </c>
      <c r="L691" t="s">
        <v>327</v>
      </c>
    </row>
    <row r="692" spans="1:12">
      <c r="A692" t="s">
        <v>318</v>
      </c>
      <c r="B692" t="s">
        <v>319</v>
      </c>
      <c r="C692" t="s">
        <v>351</v>
      </c>
      <c r="D692" s="28">
        <v>7610900112748</v>
      </c>
      <c r="E692" s="29" t="s">
        <v>371</v>
      </c>
      <c r="F692" s="29" t="s">
        <v>372</v>
      </c>
      <c r="G692">
        <v>8</v>
      </c>
      <c r="H692" t="s">
        <v>323</v>
      </c>
      <c r="I692" t="s">
        <v>45</v>
      </c>
      <c r="J692" t="s">
        <v>325</v>
      </c>
      <c r="K692" t="s">
        <v>285</v>
      </c>
      <c r="L692" t="s">
        <v>327</v>
      </c>
    </row>
    <row r="693" spans="1:12">
      <c r="A693" t="s">
        <v>318</v>
      </c>
      <c r="B693" t="s">
        <v>319</v>
      </c>
      <c r="C693" t="s">
        <v>881</v>
      </c>
      <c r="D693" s="28">
        <v>7610900112756</v>
      </c>
      <c r="E693" s="29" t="s">
        <v>371</v>
      </c>
      <c r="F693" s="29" t="s">
        <v>372</v>
      </c>
      <c r="G693">
        <v>13</v>
      </c>
      <c r="H693" t="s">
        <v>323</v>
      </c>
      <c r="I693" t="s">
        <v>45</v>
      </c>
      <c r="J693" t="s">
        <v>325</v>
      </c>
      <c r="K693" t="s">
        <v>285</v>
      </c>
      <c r="L693" t="s">
        <v>327</v>
      </c>
    </row>
    <row r="694" spans="1:12">
      <c r="A694" t="s">
        <v>318</v>
      </c>
      <c r="B694" t="s">
        <v>319</v>
      </c>
      <c r="C694" t="s">
        <v>882</v>
      </c>
      <c r="D694" s="28">
        <v>7610900112774</v>
      </c>
      <c r="E694" s="29" t="s">
        <v>371</v>
      </c>
      <c r="F694" s="29" t="s">
        <v>372</v>
      </c>
      <c r="G694">
        <v>13</v>
      </c>
      <c r="H694" t="s">
        <v>323</v>
      </c>
      <c r="I694" t="s">
        <v>45</v>
      </c>
      <c r="J694" t="s">
        <v>325</v>
      </c>
      <c r="K694" t="s">
        <v>285</v>
      </c>
      <c r="L694" t="s">
        <v>327</v>
      </c>
    </row>
    <row r="695" spans="1:12">
      <c r="A695" t="s">
        <v>318</v>
      </c>
      <c r="B695" t="s">
        <v>319</v>
      </c>
      <c r="C695" t="s">
        <v>883</v>
      </c>
      <c r="D695" s="28">
        <v>7610900116857</v>
      </c>
      <c r="E695" s="29" t="s">
        <v>371</v>
      </c>
      <c r="F695" s="29" t="s">
        <v>372</v>
      </c>
      <c r="G695">
        <v>8</v>
      </c>
      <c r="H695" t="s">
        <v>323</v>
      </c>
      <c r="I695" t="s">
        <v>45</v>
      </c>
      <c r="J695" t="s">
        <v>325</v>
      </c>
      <c r="K695" t="s">
        <v>285</v>
      </c>
      <c r="L695" t="s">
        <v>327</v>
      </c>
    </row>
    <row r="696" spans="1:12">
      <c r="A696" t="s">
        <v>318</v>
      </c>
      <c r="B696" t="s">
        <v>319</v>
      </c>
      <c r="C696" t="s">
        <v>884</v>
      </c>
      <c r="D696" s="28">
        <v>7610900117070</v>
      </c>
      <c r="E696" s="29" t="s">
        <v>371</v>
      </c>
      <c r="F696" s="29" t="s">
        <v>372</v>
      </c>
      <c r="G696">
        <v>7</v>
      </c>
      <c r="H696" t="s">
        <v>323</v>
      </c>
      <c r="I696" t="s">
        <v>45</v>
      </c>
      <c r="J696" t="s">
        <v>325</v>
      </c>
      <c r="K696" t="s">
        <v>285</v>
      </c>
      <c r="L696" t="s">
        <v>327</v>
      </c>
    </row>
    <row r="697" spans="1:12">
      <c r="A697" t="s">
        <v>318</v>
      </c>
      <c r="B697" t="s">
        <v>319</v>
      </c>
      <c r="C697" t="s">
        <v>885</v>
      </c>
      <c r="D697" s="28">
        <v>7610900117089</v>
      </c>
      <c r="E697" s="29" t="s">
        <v>371</v>
      </c>
      <c r="F697" s="29" t="s">
        <v>372</v>
      </c>
      <c r="G697">
        <v>10</v>
      </c>
      <c r="H697" t="s">
        <v>323</v>
      </c>
      <c r="I697" t="s">
        <v>45</v>
      </c>
      <c r="J697" t="s">
        <v>325</v>
      </c>
      <c r="K697" t="s">
        <v>285</v>
      </c>
      <c r="L697" t="s">
        <v>327</v>
      </c>
    </row>
    <row r="698" spans="1:12">
      <c r="A698" t="s">
        <v>318</v>
      </c>
      <c r="B698" t="s">
        <v>319</v>
      </c>
      <c r="C698" t="s">
        <v>886</v>
      </c>
      <c r="D698" s="28">
        <v>7610900117097</v>
      </c>
      <c r="E698" s="29" t="s">
        <v>371</v>
      </c>
      <c r="F698" s="29" t="s">
        <v>372</v>
      </c>
      <c r="G698">
        <v>9</v>
      </c>
      <c r="H698" t="s">
        <v>323</v>
      </c>
      <c r="I698" t="s">
        <v>45</v>
      </c>
      <c r="J698" t="s">
        <v>325</v>
      </c>
      <c r="K698" t="s">
        <v>285</v>
      </c>
      <c r="L698" t="s">
        <v>327</v>
      </c>
    </row>
    <row r="699" spans="1:12">
      <c r="A699" t="s">
        <v>318</v>
      </c>
      <c r="B699" t="s">
        <v>319</v>
      </c>
      <c r="C699" t="s">
        <v>855</v>
      </c>
      <c r="D699" s="28">
        <v>7610900117101</v>
      </c>
      <c r="E699" s="29" t="s">
        <v>371</v>
      </c>
      <c r="F699" s="29" t="s">
        <v>372</v>
      </c>
      <c r="G699">
        <v>5</v>
      </c>
      <c r="H699" t="s">
        <v>323</v>
      </c>
      <c r="I699" t="s">
        <v>45</v>
      </c>
      <c r="J699" t="s">
        <v>325</v>
      </c>
      <c r="K699" t="s">
        <v>285</v>
      </c>
      <c r="L699" t="s">
        <v>327</v>
      </c>
    </row>
    <row r="700" spans="1:12">
      <c r="A700" t="s">
        <v>318</v>
      </c>
      <c r="B700" t="s">
        <v>319</v>
      </c>
      <c r="C700" t="s">
        <v>887</v>
      </c>
      <c r="D700" s="28">
        <v>7610900117146</v>
      </c>
      <c r="E700" s="29" t="s">
        <v>371</v>
      </c>
      <c r="F700" s="29" t="s">
        <v>372</v>
      </c>
      <c r="G700">
        <v>10</v>
      </c>
      <c r="H700" t="s">
        <v>323</v>
      </c>
      <c r="I700" t="s">
        <v>45</v>
      </c>
      <c r="J700" t="s">
        <v>325</v>
      </c>
      <c r="K700" t="s">
        <v>285</v>
      </c>
      <c r="L700" t="s">
        <v>327</v>
      </c>
    </row>
    <row r="701" spans="1:12">
      <c r="A701" t="s">
        <v>318</v>
      </c>
      <c r="B701" t="s">
        <v>319</v>
      </c>
      <c r="C701" t="s">
        <v>543</v>
      </c>
      <c r="D701" s="28">
        <v>7610900117176</v>
      </c>
      <c r="E701" s="29" t="s">
        <v>371</v>
      </c>
      <c r="F701" s="29" t="s">
        <v>372</v>
      </c>
      <c r="G701">
        <v>8</v>
      </c>
      <c r="H701" t="s">
        <v>323</v>
      </c>
      <c r="I701" t="s">
        <v>45</v>
      </c>
      <c r="J701" t="s">
        <v>325</v>
      </c>
      <c r="K701" t="s">
        <v>285</v>
      </c>
      <c r="L701" t="s">
        <v>327</v>
      </c>
    </row>
    <row r="702" spans="1:12">
      <c r="A702" t="s">
        <v>318</v>
      </c>
      <c r="B702" t="s">
        <v>319</v>
      </c>
      <c r="C702" t="s">
        <v>888</v>
      </c>
      <c r="D702" s="28">
        <v>7610900117180</v>
      </c>
      <c r="E702" s="29" t="s">
        <v>371</v>
      </c>
      <c r="F702" s="29" t="s">
        <v>372</v>
      </c>
      <c r="G702">
        <v>10</v>
      </c>
      <c r="H702" t="s">
        <v>323</v>
      </c>
      <c r="I702" t="s">
        <v>45</v>
      </c>
      <c r="J702" t="s">
        <v>325</v>
      </c>
      <c r="K702" t="s">
        <v>285</v>
      </c>
      <c r="L702" t="s">
        <v>327</v>
      </c>
    </row>
    <row r="703" spans="1:12">
      <c r="A703" t="s">
        <v>318</v>
      </c>
      <c r="B703" t="s">
        <v>319</v>
      </c>
      <c r="C703" t="s">
        <v>889</v>
      </c>
      <c r="D703" s="28">
        <v>7610900117181</v>
      </c>
      <c r="E703" s="29" t="s">
        <v>371</v>
      </c>
      <c r="F703" s="29" t="s">
        <v>372</v>
      </c>
      <c r="G703">
        <v>10</v>
      </c>
      <c r="H703" t="s">
        <v>323</v>
      </c>
      <c r="I703" t="s">
        <v>45</v>
      </c>
      <c r="J703" t="s">
        <v>325</v>
      </c>
      <c r="K703" t="s">
        <v>285</v>
      </c>
      <c r="L703" t="s">
        <v>327</v>
      </c>
    </row>
    <row r="704" spans="1:12">
      <c r="A704" t="s">
        <v>318</v>
      </c>
      <c r="B704" t="s">
        <v>319</v>
      </c>
      <c r="C704" t="s">
        <v>890</v>
      </c>
      <c r="D704" s="28">
        <v>7610900117193</v>
      </c>
      <c r="E704" s="29" t="s">
        <v>371</v>
      </c>
      <c r="F704" s="29" t="s">
        <v>372</v>
      </c>
      <c r="G704">
        <v>8</v>
      </c>
      <c r="H704" t="s">
        <v>323</v>
      </c>
      <c r="I704" t="s">
        <v>45</v>
      </c>
      <c r="J704" t="s">
        <v>325</v>
      </c>
      <c r="K704" t="s">
        <v>285</v>
      </c>
      <c r="L704" t="s">
        <v>327</v>
      </c>
    </row>
    <row r="705" spans="1:12">
      <c r="A705" t="s">
        <v>318</v>
      </c>
      <c r="B705" t="s">
        <v>319</v>
      </c>
      <c r="C705" t="s">
        <v>488</v>
      </c>
      <c r="D705" s="28">
        <v>761091111174</v>
      </c>
      <c r="E705" s="29" t="s">
        <v>371</v>
      </c>
      <c r="F705" s="29" t="s">
        <v>372</v>
      </c>
      <c r="G705">
        <v>8</v>
      </c>
      <c r="H705" t="s">
        <v>323</v>
      </c>
      <c r="I705" t="s">
        <v>45</v>
      </c>
      <c r="J705" t="s">
        <v>325</v>
      </c>
      <c r="K705" t="s">
        <v>285</v>
      </c>
      <c r="L705" t="s">
        <v>327</v>
      </c>
    </row>
    <row r="706" spans="1:12">
      <c r="A706" t="s">
        <v>318</v>
      </c>
      <c r="B706" t="s">
        <v>319</v>
      </c>
      <c r="C706" t="s">
        <v>562</v>
      </c>
      <c r="D706" s="28">
        <v>761091111363</v>
      </c>
      <c r="E706" s="29" t="s">
        <v>371</v>
      </c>
      <c r="F706" s="29" t="s">
        <v>372</v>
      </c>
      <c r="G706">
        <v>10</v>
      </c>
      <c r="H706" t="s">
        <v>323</v>
      </c>
      <c r="I706" t="s">
        <v>45</v>
      </c>
      <c r="J706" t="s">
        <v>325</v>
      </c>
      <c r="K706" t="s">
        <v>285</v>
      </c>
      <c r="L706" t="s">
        <v>327</v>
      </c>
    </row>
    <row r="707" spans="1:12">
      <c r="A707" t="s">
        <v>318</v>
      </c>
      <c r="B707" t="s">
        <v>319</v>
      </c>
      <c r="C707" t="s">
        <v>891</v>
      </c>
      <c r="D707" s="28">
        <v>761091111445</v>
      </c>
      <c r="E707" s="29" t="s">
        <v>371</v>
      </c>
      <c r="F707" s="29" t="s">
        <v>372</v>
      </c>
      <c r="G707">
        <v>12</v>
      </c>
      <c r="H707" t="s">
        <v>323</v>
      </c>
      <c r="I707" t="s">
        <v>45</v>
      </c>
      <c r="J707" t="s">
        <v>325</v>
      </c>
      <c r="K707" t="s">
        <v>285</v>
      </c>
      <c r="L707" t="s">
        <v>327</v>
      </c>
    </row>
    <row r="708" spans="1:12">
      <c r="A708" t="s">
        <v>318</v>
      </c>
      <c r="B708" t="s">
        <v>319</v>
      </c>
      <c r="C708" t="s">
        <v>892</v>
      </c>
      <c r="D708" s="28">
        <v>761091111676</v>
      </c>
      <c r="E708" s="29" t="s">
        <v>371</v>
      </c>
      <c r="F708" s="29" t="s">
        <v>372</v>
      </c>
      <c r="G708">
        <v>8</v>
      </c>
      <c r="H708" t="s">
        <v>323</v>
      </c>
      <c r="I708" t="s">
        <v>45</v>
      </c>
      <c r="J708" t="s">
        <v>325</v>
      </c>
      <c r="K708" t="s">
        <v>285</v>
      </c>
      <c r="L708" t="s">
        <v>327</v>
      </c>
    </row>
    <row r="709" spans="1:12">
      <c r="A709" t="s">
        <v>318</v>
      </c>
      <c r="B709" t="s">
        <v>319</v>
      </c>
      <c r="C709" t="s">
        <v>893</v>
      </c>
      <c r="D709" s="28">
        <v>761091112211</v>
      </c>
      <c r="E709" s="29" t="s">
        <v>371</v>
      </c>
      <c r="F709" s="29" t="s">
        <v>372</v>
      </c>
      <c r="G709">
        <v>13</v>
      </c>
      <c r="H709" t="s">
        <v>323</v>
      </c>
      <c r="I709" t="s">
        <v>45</v>
      </c>
      <c r="J709" t="s">
        <v>325</v>
      </c>
      <c r="K709" t="s">
        <v>285</v>
      </c>
      <c r="L709" t="s">
        <v>327</v>
      </c>
    </row>
    <row r="710" spans="1:12">
      <c r="A710" t="s">
        <v>318</v>
      </c>
      <c r="B710" t="s">
        <v>319</v>
      </c>
      <c r="C710" t="s">
        <v>894</v>
      </c>
      <c r="D710" s="28">
        <v>761091112212</v>
      </c>
      <c r="E710" s="29" t="s">
        <v>371</v>
      </c>
      <c r="F710" s="29" t="s">
        <v>372</v>
      </c>
      <c r="G710">
        <v>9</v>
      </c>
      <c r="H710" t="s">
        <v>323</v>
      </c>
      <c r="I710" t="s">
        <v>45</v>
      </c>
      <c r="J710" t="s">
        <v>325</v>
      </c>
      <c r="K710" t="s">
        <v>285</v>
      </c>
      <c r="L710" t="s">
        <v>327</v>
      </c>
    </row>
    <row r="711" spans="1:12">
      <c r="A711" t="s">
        <v>318</v>
      </c>
      <c r="B711" t="s">
        <v>319</v>
      </c>
      <c r="C711" t="s">
        <v>895</v>
      </c>
      <c r="D711" s="28">
        <v>761091112213</v>
      </c>
      <c r="E711" s="29" t="s">
        <v>371</v>
      </c>
      <c r="F711" s="29" t="s">
        <v>372</v>
      </c>
      <c r="G711">
        <v>13</v>
      </c>
      <c r="H711" t="s">
        <v>323</v>
      </c>
      <c r="I711" t="s">
        <v>45</v>
      </c>
      <c r="J711" t="s">
        <v>325</v>
      </c>
      <c r="K711" t="s">
        <v>285</v>
      </c>
      <c r="L711" t="s">
        <v>327</v>
      </c>
    </row>
    <row r="712" spans="1:12">
      <c r="A712" t="s">
        <v>318</v>
      </c>
      <c r="B712" t="s">
        <v>319</v>
      </c>
      <c r="C712" t="s">
        <v>565</v>
      </c>
      <c r="D712" s="28">
        <v>761091112215</v>
      </c>
      <c r="E712" s="29" t="s">
        <v>371</v>
      </c>
      <c r="F712" s="29" t="s">
        <v>372</v>
      </c>
      <c r="G712">
        <v>7</v>
      </c>
      <c r="H712" t="s">
        <v>323</v>
      </c>
      <c r="I712" t="s">
        <v>45</v>
      </c>
      <c r="J712" t="s">
        <v>325</v>
      </c>
      <c r="K712" t="s">
        <v>285</v>
      </c>
      <c r="L712" t="s">
        <v>327</v>
      </c>
    </row>
    <row r="713" spans="1:12">
      <c r="A713" t="s">
        <v>318</v>
      </c>
      <c r="B713" t="s">
        <v>319</v>
      </c>
      <c r="C713" t="s">
        <v>491</v>
      </c>
      <c r="D713" s="28">
        <v>761091112218</v>
      </c>
      <c r="E713" s="29" t="s">
        <v>371</v>
      </c>
      <c r="F713" s="29" t="s">
        <v>372</v>
      </c>
      <c r="G713">
        <v>8</v>
      </c>
      <c r="H713" t="s">
        <v>323</v>
      </c>
      <c r="I713" t="s">
        <v>45</v>
      </c>
      <c r="J713" t="s">
        <v>325</v>
      </c>
      <c r="K713" t="s">
        <v>285</v>
      </c>
      <c r="L713" t="s">
        <v>327</v>
      </c>
    </row>
    <row r="714" spans="1:12">
      <c r="A714" t="s">
        <v>318</v>
      </c>
      <c r="B714" t="s">
        <v>319</v>
      </c>
      <c r="C714" t="s">
        <v>896</v>
      </c>
      <c r="D714" s="28">
        <v>761091112223</v>
      </c>
      <c r="E714" s="29" t="s">
        <v>371</v>
      </c>
      <c r="F714" s="29" t="s">
        <v>372</v>
      </c>
      <c r="G714">
        <v>7</v>
      </c>
      <c r="H714" t="s">
        <v>323</v>
      </c>
      <c r="I714" t="s">
        <v>45</v>
      </c>
      <c r="J714" t="s">
        <v>325</v>
      </c>
      <c r="K714" t="s">
        <v>285</v>
      </c>
      <c r="L714" t="s">
        <v>327</v>
      </c>
    </row>
    <row r="715" spans="1:12">
      <c r="A715" t="s">
        <v>318</v>
      </c>
      <c r="B715" t="s">
        <v>319</v>
      </c>
      <c r="C715" t="s">
        <v>434</v>
      </c>
      <c r="D715" s="28">
        <v>7610900072663</v>
      </c>
      <c r="E715" s="29" t="s">
        <v>529</v>
      </c>
      <c r="F715" s="29" t="s">
        <v>372</v>
      </c>
      <c r="G715">
        <v>11</v>
      </c>
      <c r="H715" t="s">
        <v>323</v>
      </c>
      <c r="I715" t="s">
        <v>45</v>
      </c>
      <c r="J715" t="s">
        <v>325</v>
      </c>
      <c r="K715" t="s">
        <v>285</v>
      </c>
      <c r="L715" t="s">
        <v>327</v>
      </c>
    </row>
    <row r="716" spans="1:12">
      <c r="A716" t="s">
        <v>318</v>
      </c>
      <c r="B716" t="s">
        <v>319</v>
      </c>
      <c r="C716" t="s">
        <v>462</v>
      </c>
      <c r="D716" s="28">
        <v>7610900082333</v>
      </c>
      <c r="E716" s="29" t="s">
        <v>529</v>
      </c>
      <c r="F716" s="29" t="s">
        <v>372</v>
      </c>
      <c r="G716">
        <v>15</v>
      </c>
      <c r="H716" t="s">
        <v>323</v>
      </c>
      <c r="I716" t="s">
        <v>45</v>
      </c>
      <c r="J716" t="s">
        <v>325</v>
      </c>
      <c r="K716" t="s">
        <v>285</v>
      </c>
      <c r="L716" t="s">
        <v>327</v>
      </c>
    </row>
    <row r="717" spans="1:12">
      <c r="A717" t="s">
        <v>318</v>
      </c>
      <c r="B717" t="s">
        <v>319</v>
      </c>
      <c r="C717" t="s">
        <v>897</v>
      </c>
      <c r="D717" s="28">
        <v>7610900091456</v>
      </c>
      <c r="E717" s="29" t="s">
        <v>529</v>
      </c>
      <c r="F717" s="29" t="s">
        <v>372</v>
      </c>
      <c r="G717">
        <v>15</v>
      </c>
      <c r="H717" t="s">
        <v>323</v>
      </c>
      <c r="I717" t="s">
        <v>45</v>
      </c>
      <c r="J717" t="s">
        <v>325</v>
      </c>
      <c r="K717" t="s">
        <v>285</v>
      </c>
      <c r="L717" t="s">
        <v>327</v>
      </c>
    </row>
    <row r="718" spans="1:12">
      <c r="A718" t="s">
        <v>318</v>
      </c>
      <c r="B718" t="s">
        <v>319</v>
      </c>
      <c r="C718" t="s">
        <v>725</v>
      </c>
      <c r="D718" s="28">
        <v>7610900097218</v>
      </c>
      <c r="E718" s="29" t="s">
        <v>529</v>
      </c>
      <c r="F718" s="29" t="s">
        <v>372</v>
      </c>
      <c r="G718">
        <v>15</v>
      </c>
      <c r="H718" t="s">
        <v>323</v>
      </c>
      <c r="I718" t="s">
        <v>45</v>
      </c>
      <c r="J718" t="s">
        <v>325</v>
      </c>
      <c r="K718" t="s">
        <v>285</v>
      </c>
      <c r="L718" t="s">
        <v>327</v>
      </c>
    </row>
    <row r="719" spans="1:12">
      <c r="A719" t="s">
        <v>318</v>
      </c>
      <c r="B719" t="s">
        <v>319</v>
      </c>
      <c r="C719" t="s">
        <v>554</v>
      </c>
      <c r="D719" s="28">
        <v>7610900097219</v>
      </c>
      <c r="E719" s="29" t="s">
        <v>529</v>
      </c>
      <c r="F719" s="29" t="s">
        <v>372</v>
      </c>
      <c r="G719">
        <v>14</v>
      </c>
      <c r="H719" t="s">
        <v>323</v>
      </c>
      <c r="I719" t="s">
        <v>45</v>
      </c>
      <c r="J719" t="s">
        <v>325</v>
      </c>
      <c r="K719" t="s">
        <v>285</v>
      </c>
      <c r="L719" t="s">
        <v>327</v>
      </c>
    </row>
    <row r="720" spans="1:12">
      <c r="A720" t="s">
        <v>318</v>
      </c>
      <c r="B720" t="s">
        <v>319</v>
      </c>
      <c r="C720" t="s">
        <v>898</v>
      </c>
      <c r="D720" s="28">
        <v>7610900097220</v>
      </c>
      <c r="E720" s="29" t="s">
        <v>529</v>
      </c>
      <c r="F720" s="29" t="s">
        <v>372</v>
      </c>
      <c r="G720">
        <v>14</v>
      </c>
      <c r="H720" t="s">
        <v>323</v>
      </c>
      <c r="I720" t="s">
        <v>45</v>
      </c>
      <c r="J720" t="s">
        <v>325</v>
      </c>
      <c r="K720" t="s">
        <v>285</v>
      </c>
      <c r="L720" t="s">
        <v>327</v>
      </c>
    </row>
    <row r="721" spans="1:12">
      <c r="A721" t="s">
        <v>318</v>
      </c>
      <c r="B721" t="s">
        <v>319</v>
      </c>
      <c r="C721" t="s">
        <v>899</v>
      </c>
      <c r="D721" s="28">
        <v>7610900102225</v>
      </c>
      <c r="E721" s="29" t="s">
        <v>529</v>
      </c>
      <c r="F721" s="29" t="s">
        <v>372</v>
      </c>
      <c r="G721">
        <v>11</v>
      </c>
      <c r="H721" t="s">
        <v>323</v>
      </c>
      <c r="I721" t="s">
        <v>45</v>
      </c>
      <c r="J721" t="s">
        <v>325</v>
      </c>
      <c r="K721" t="s">
        <v>285</v>
      </c>
      <c r="L721" t="s">
        <v>327</v>
      </c>
    </row>
    <row r="722" spans="1:12">
      <c r="A722" t="s">
        <v>318</v>
      </c>
      <c r="B722" t="s">
        <v>319</v>
      </c>
      <c r="C722" t="s">
        <v>900</v>
      </c>
      <c r="D722" s="28">
        <v>7610900102362</v>
      </c>
      <c r="E722" s="29" t="s">
        <v>371</v>
      </c>
      <c r="F722" s="29" t="s">
        <v>372</v>
      </c>
      <c r="G722">
        <v>13</v>
      </c>
      <c r="H722" t="s">
        <v>323</v>
      </c>
      <c r="I722" t="s">
        <v>45</v>
      </c>
      <c r="J722" t="s">
        <v>325</v>
      </c>
      <c r="K722" t="s">
        <v>285</v>
      </c>
      <c r="L722" t="s">
        <v>327</v>
      </c>
    </row>
    <row r="723" spans="1:12">
      <c r="A723" t="s">
        <v>318</v>
      </c>
      <c r="B723" t="s">
        <v>319</v>
      </c>
      <c r="C723" t="s">
        <v>901</v>
      </c>
      <c r="D723" s="28">
        <v>7610900102365</v>
      </c>
      <c r="E723" s="29" t="s">
        <v>371</v>
      </c>
      <c r="F723" s="29" t="s">
        <v>372</v>
      </c>
      <c r="G723">
        <v>10</v>
      </c>
      <c r="H723" t="s">
        <v>323</v>
      </c>
      <c r="I723" t="s">
        <v>45</v>
      </c>
      <c r="J723" t="s">
        <v>325</v>
      </c>
      <c r="K723" t="s">
        <v>285</v>
      </c>
      <c r="L723" t="s">
        <v>327</v>
      </c>
    </row>
    <row r="724" spans="1:12">
      <c r="A724" t="s">
        <v>318</v>
      </c>
      <c r="B724" t="s">
        <v>319</v>
      </c>
      <c r="C724" t="s">
        <v>902</v>
      </c>
      <c r="D724" s="28">
        <v>7610900102367</v>
      </c>
      <c r="E724" s="29" t="s">
        <v>371</v>
      </c>
      <c r="F724" s="29" t="s">
        <v>372</v>
      </c>
      <c r="G724">
        <v>9</v>
      </c>
      <c r="H724" t="s">
        <v>323</v>
      </c>
      <c r="I724" t="s">
        <v>45</v>
      </c>
      <c r="J724" t="s">
        <v>325</v>
      </c>
      <c r="K724" t="s">
        <v>285</v>
      </c>
      <c r="L724" t="s">
        <v>327</v>
      </c>
    </row>
    <row r="725" spans="1:12">
      <c r="A725" t="s">
        <v>318</v>
      </c>
      <c r="B725" t="s">
        <v>319</v>
      </c>
      <c r="C725" t="s">
        <v>903</v>
      </c>
      <c r="D725" s="28">
        <v>7610900102369</v>
      </c>
      <c r="E725" s="29" t="s">
        <v>371</v>
      </c>
      <c r="F725" s="29" t="s">
        <v>372</v>
      </c>
      <c r="G725">
        <v>10</v>
      </c>
      <c r="H725" t="s">
        <v>323</v>
      </c>
      <c r="I725" t="s">
        <v>45</v>
      </c>
      <c r="J725" t="s">
        <v>325</v>
      </c>
      <c r="K725" t="s">
        <v>285</v>
      </c>
      <c r="L725" t="s">
        <v>327</v>
      </c>
    </row>
    <row r="726" spans="1:12">
      <c r="A726" t="s">
        <v>318</v>
      </c>
      <c r="B726" t="s">
        <v>319</v>
      </c>
      <c r="C726" t="s">
        <v>904</v>
      </c>
      <c r="D726" s="28">
        <v>7610900102371</v>
      </c>
      <c r="E726" s="29" t="s">
        <v>371</v>
      </c>
      <c r="F726" s="29" t="s">
        <v>372</v>
      </c>
      <c r="G726">
        <v>5</v>
      </c>
      <c r="H726" t="s">
        <v>323</v>
      </c>
      <c r="I726" t="s">
        <v>45</v>
      </c>
      <c r="J726" t="s">
        <v>325</v>
      </c>
      <c r="K726" t="s">
        <v>285</v>
      </c>
      <c r="L726" t="s">
        <v>327</v>
      </c>
    </row>
    <row r="727" spans="1:12">
      <c r="A727" t="s">
        <v>318</v>
      </c>
      <c r="B727" t="s">
        <v>319</v>
      </c>
      <c r="C727" t="s">
        <v>575</v>
      </c>
      <c r="D727" s="28">
        <v>7610900102961</v>
      </c>
      <c r="E727" s="29" t="s">
        <v>371</v>
      </c>
      <c r="F727" s="29" t="s">
        <v>372</v>
      </c>
      <c r="G727">
        <v>8</v>
      </c>
      <c r="H727" t="s">
        <v>323</v>
      </c>
      <c r="I727" t="s">
        <v>45</v>
      </c>
      <c r="J727" t="s">
        <v>325</v>
      </c>
      <c r="K727" t="s">
        <v>285</v>
      </c>
      <c r="L727" t="s">
        <v>327</v>
      </c>
    </row>
    <row r="728" spans="1:12">
      <c r="A728" t="s">
        <v>318</v>
      </c>
      <c r="B728" t="s">
        <v>319</v>
      </c>
      <c r="C728" t="s">
        <v>853</v>
      </c>
      <c r="D728" s="28">
        <v>7610900102967</v>
      </c>
      <c r="E728" s="29" t="s">
        <v>371</v>
      </c>
      <c r="F728" s="29" t="s">
        <v>372</v>
      </c>
      <c r="G728">
        <v>9</v>
      </c>
      <c r="H728" t="s">
        <v>323</v>
      </c>
      <c r="I728" t="s">
        <v>45</v>
      </c>
      <c r="J728" t="s">
        <v>325</v>
      </c>
      <c r="K728" t="s">
        <v>285</v>
      </c>
      <c r="L728" t="s">
        <v>327</v>
      </c>
    </row>
    <row r="729" spans="1:12">
      <c r="A729" t="s">
        <v>318</v>
      </c>
      <c r="B729" t="s">
        <v>319</v>
      </c>
      <c r="C729" t="s">
        <v>905</v>
      </c>
      <c r="D729" s="28">
        <v>7610900102970</v>
      </c>
      <c r="E729" s="29" t="s">
        <v>371</v>
      </c>
      <c r="F729" s="29" t="s">
        <v>372</v>
      </c>
      <c r="G729">
        <v>9</v>
      </c>
      <c r="H729" t="s">
        <v>323</v>
      </c>
      <c r="I729" t="s">
        <v>45</v>
      </c>
      <c r="J729" t="s">
        <v>325</v>
      </c>
      <c r="K729" t="s">
        <v>285</v>
      </c>
      <c r="L729" t="s">
        <v>327</v>
      </c>
    </row>
    <row r="730" spans="1:12">
      <c r="A730" t="s">
        <v>318</v>
      </c>
      <c r="B730" t="s">
        <v>319</v>
      </c>
      <c r="C730" t="s">
        <v>906</v>
      </c>
      <c r="D730" s="28">
        <v>7610900102972</v>
      </c>
      <c r="E730" s="29" t="s">
        <v>371</v>
      </c>
      <c r="F730" s="29" t="s">
        <v>372</v>
      </c>
      <c r="G730">
        <v>7</v>
      </c>
      <c r="H730" t="s">
        <v>323</v>
      </c>
      <c r="I730" t="s">
        <v>45</v>
      </c>
      <c r="J730" t="s">
        <v>325</v>
      </c>
      <c r="K730" t="s">
        <v>285</v>
      </c>
      <c r="L730" t="s">
        <v>327</v>
      </c>
    </row>
    <row r="731" spans="1:12">
      <c r="A731" t="s">
        <v>318</v>
      </c>
      <c r="B731" t="s">
        <v>319</v>
      </c>
      <c r="C731" t="s">
        <v>499</v>
      </c>
      <c r="D731" s="28">
        <v>7610900102976</v>
      </c>
      <c r="E731" s="29" t="s">
        <v>371</v>
      </c>
      <c r="F731" s="29" t="s">
        <v>372</v>
      </c>
      <c r="G731">
        <v>5</v>
      </c>
      <c r="H731" t="s">
        <v>323</v>
      </c>
      <c r="I731" t="s">
        <v>45</v>
      </c>
      <c r="J731" t="s">
        <v>325</v>
      </c>
      <c r="K731" t="s">
        <v>285</v>
      </c>
      <c r="L731" t="s">
        <v>327</v>
      </c>
    </row>
    <row r="732" spans="1:12">
      <c r="A732" t="s">
        <v>318</v>
      </c>
      <c r="B732" t="s">
        <v>319</v>
      </c>
      <c r="C732" t="s">
        <v>388</v>
      </c>
      <c r="D732" s="28">
        <v>7610900104503</v>
      </c>
      <c r="E732" s="29" t="s">
        <v>371</v>
      </c>
      <c r="F732" s="29" t="s">
        <v>372</v>
      </c>
      <c r="G732">
        <v>9</v>
      </c>
      <c r="H732" t="s">
        <v>323</v>
      </c>
      <c r="I732" t="s">
        <v>45</v>
      </c>
      <c r="J732" t="s">
        <v>325</v>
      </c>
      <c r="K732" t="s">
        <v>285</v>
      </c>
      <c r="L732" t="s">
        <v>327</v>
      </c>
    </row>
    <row r="733" spans="1:12">
      <c r="A733" t="s">
        <v>318</v>
      </c>
      <c r="B733" t="s">
        <v>319</v>
      </c>
      <c r="C733" t="s">
        <v>539</v>
      </c>
      <c r="D733" s="28">
        <v>7610900104506</v>
      </c>
      <c r="E733" s="29" t="s">
        <v>371</v>
      </c>
      <c r="F733" s="29" t="s">
        <v>372</v>
      </c>
      <c r="G733">
        <v>7</v>
      </c>
      <c r="H733" t="s">
        <v>323</v>
      </c>
      <c r="I733" t="s">
        <v>45</v>
      </c>
      <c r="J733" t="s">
        <v>325</v>
      </c>
      <c r="K733" t="s">
        <v>735</v>
      </c>
      <c r="L733" t="s">
        <v>327</v>
      </c>
    </row>
    <row r="734" spans="1:12">
      <c r="A734" t="s">
        <v>318</v>
      </c>
      <c r="B734" t="s">
        <v>319</v>
      </c>
      <c r="C734" t="s">
        <v>907</v>
      </c>
      <c r="D734" s="28">
        <v>7610900116086</v>
      </c>
      <c r="E734" s="29" t="s">
        <v>529</v>
      </c>
      <c r="F734" s="29" t="s">
        <v>372</v>
      </c>
      <c r="G734">
        <v>10</v>
      </c>
      <c r="H734" t="s">
        <v>323</v>
      </c>
      <c r="I734" t="s">
        <v>45</v>
      </c>
      <c r="J734" t="s">
        <v>325</v>
      </c>
      <c r="K734" t="s">
        <v>285</v>
      </c>
      <c r="L734" t="s">
        <v>327</v>
      </c>
    </row>
    <row r="735" spans="1:12">
      <c r="A735" t="s">
        <v>318</v>
      </c>
      <c r="B735" t="s">
        <v>319</v>
      </c>
      <c r="C735" t="s">
        <v>908</v>
      </c>
      <c r="D735" s="28">
        <v>7610900117651</v>
      </c>
      <c r="E735" s="29" t="s">
        <v>371</v>
      </c>
      <c r="F735" s="29" t="s">
        <v>372</v>
      </c>
      <c r="G735">
        <v>10</v>
      </c>
      <c r="H735" t="s">
        <v>323</v>
      </c>
      <c r="I735" t="s">
        <v>45</v>
      </c>
      <c r="J735" t="s">
        <v>325</v>
      </c>
      <c r="K735" t="s">
        <v>285</v>
      </c>
      <c r="L735" t="s">
        <v>327</v>
      </c>
    </row>
    <row r="736" spans="1:12">
      <c r="A736" t="s">
        <v>318</v>
      </c>
      <c r="B736" t="s">
        <v>319</v>
      </c>
      <c r="C736" t="s">
        <v>909</v>
      </c>
      <c r="D736" s="28">
        <v>7610900118387</v>
      </c>
      <c r="E736" s="29" t="s">
        <v>371</v>
      </c>
      <c r="F736" s="29" t="s">
        <v>372</v>
      </c>
      <c r="G736">
        <v>10</v>
      </c>
      <c r="H736" t="s">
        <v>323</v>
      </c>
      <c r="I736" t="s">
        <v>45</v>
      </c>
      <c r="J736" t="s">
        <v>325</v>
      </c>
      <c r="K736" t="s">
        <v>285</v>
      </c>
      <c r="L736" t="s">
        <v>327</v>
      </c>
    </row>
    <row r="737" spans="1:12">
      <c r="A737" t="s">
        <v>318</v>
      </c>
      <c r="B737" t="s">
        <v>319</v>
      </c>
      <c r="C737" t="s">
        <v>910</v>
      </c>
      <c r="D737" s="28">
        <v>7610900118476</v>
      </c>
      <c r="E737" s="29" t="s">
        <v>371</v>
      </c>
      <c r="F737" s="29" t="s">
        <v>372</v>
      </c>
      <c r="G737">
        <v>11</v>
      </c>
      <c r="H737" t="s">
        <v>323</v>
      </c>
      <c r="I737" t="s">
        <v>45</v>
      </c>
      <c r="J737" t="s">
        <v>325</v>
      </c>
      <c r="K737" t="s">
        <v>285</v>
      </c>
      <c r="L737" t="s">
        <v>327</v>
      </c>
    </row>
    <row r="738" spans="1:12">
      <c r="A738" t="s">
        <v>318</v>
      </c>
      <c r="B738" t="s">
        <v>319</v>
      </c>
      <c r="C738" t="s">
        <v>911</v>
      </c>
      <c r="D738" s="28">
        <v>7610900119115</v>
      </c>
      <c r="E738" s="29" t="s">
        <v>371</v>
      </c>
      <c r="F738" s="29" t="s">
        <v>372</v>
      </c>
      <c r="G738">
        <v>7</v>
      </c>
      <c r="H738" t="s">
        <v>323</v>
      </c>
      <c r="I738" t="s">
        <v>45</v>
      </c>
      <c r="J738" t="s">
        <v>325</v>
      </c>
      <c r="K738" t="s">
        <v>285</v>
      </c>
      <c r="L738" t="s">
        <v>327</v>
      </c>
    </row>
    <row r="739" spans="1:12">
      <c r="A739" t="s">
        <v>318</v>
      </c>
      <c r="B739" t="s">
        <v>319</v>
      </c>
      <c r="C739" t="s">
        <v>912</v>
      </c>
      <c r="D739" s="28">
        <v>7610900120258</v>
      </c>
      <c r="E739" s="29" t="s">
        <v>529</v>
      </c>
      <c r="F739" s="29" t="s">
        <v>372</v>
      </c>
      <c r="G739">
        <v>13</v>
      </c>
      <c r="H739" t="s">
        <v>323</v>
      </c>
      <c r="I739" t="s">
        <v>45</v>
      </c>
      <c r="J739" t="s">
        <v>325</v>
      </c>
      <c r="K739" t="s">
        <v>285</v>
      </c>
      <c r="L739" t="s">
        <v>327</v>
      </c>
    </row>
    <row r="740" spans="1:12">
      <c r="A740" t="s">
        <v>318</v>
      </c>
      <c r="B740" t="s">
        <v>319</v>
      </c>
      <c r="C740" t="s">
        <v>913</v>
      </c>
      <c r="D740" s="28">
        <v>7610900120259</v>
      </c>
      <c r="E740" s="29" t="s">
        <v>529</v>
      </c>
      <c r="F740" s="29" t="s">
        <v>372</v>
      </c>
      <c r="G740">
        <v>15</v>
      </c>
      <c r="H740" t="s">
        <v>323</v>
      </c>
      <c r="I740" t="s">
        <v>45</v>
      </c>
      <c r="J740" t="s">
        <v>325</v>
      </c>
      <c r="K740" t="s">
        <v>285</v>
      </c>
      <c r="L740" t="s">
        <v>327</v>
      </c>
    </row>
    <row r="741" spans="1:12">
      <c r="A741" t="s">
        <v>318</v>
      </c>
      <c r="B741" t="s">
        <v>319</v>
      </c>
      <c r="C741" t="s">
        <v>914</v>
      </c>
      <c r="D741" s="28">
        <v>7610900120309</v>
      </c>
      <c r="E741" s="29" t="s">
        <v>529</v>
      </c>
      <c r="F741" s="29" t="s">
        <v>372</v>
      </c>
      <c r="G741">
        <v>12</v>
      </c>
      <c r="H741" t="s">
        <v>323</v>
      </c>
      <c r="I741" t="s">
        <v>45</v>
      </c>
      <c r="J741" t="s">
        <v>325</v>
      </c>
      <c r="K741" t="s">
        <v>285</v>
      </c>
      <c r="L741" t="s">
        <v>327</v>
      </c>
    </row>
    <row r="742" spans="1:12">
      <c r="A742" t="s">
        <v>318</v>
      </c>
      <c r="B742" t="s">
        <v>319</v>
      </c>
      <c r="C742" t="s">
        <v>915</v>
      </c>
      <c r="D742" s="28">
        <v>761091112576</v>
      </c>
      <c r="E742" s="29" t="s">
        <v>529</v>
      </c>
      <c r="F742" s="29" t="s">
        <v>372</v>
      </c>
      <c r="G742">
        <v>15</v>
      </c>
      <c r="H742" t="s">
        <v>323</v>
      </c>
      <c r="I742" t="s">
        <v>45</v>
      </c>
      <c r="J742" t="s">
        <v>325</v>
      </c>
      <c r="K742" t="s">
        <v>285</v>
      </c>
      <c r="L742" t="s">
        <v>327</v>
      </c>
    </row>
    <row r="743" spans="1:12">
      <c r="A743" t="s">
        <v>318</v>
      </c>
      <c r="B743" t="s">
        <v>319</v>
      </c>
      <c r="C743" t="s">
        <v>916</v>
      </c>
      <c r="D743" s="28">
        <v>761091112940</v>
      </c>
      <c r="E743" s="29" t="s">
        <v>529</v>
      </c>
      <c r="F743" s="29" t="s">
        <v>372</v>
      </c>
      <c r="G743">
        <v>13</v>
      </c>
      <c r="H743" t="s">
        <v>323</v>
      </c>
      <c r="I743" t="s">
        <v>45</v>
      </c>
      <c r="J743" t="s">
        <v>325</v>
      </c>
      <c r="K743" t="s">
        <v>285</v>
      </c>
      <c r="L743" t="s">
        <v>327</v>
      </c>
    </row>
    <row r="744" spans="1:12">
      <c r="A744" t="s">
        <v>318</v>
      </c>
      <c r="B744" t="s">
        <v>319</v>
      </c>
      <c r="C744" t="s">
        <v>917</v>
      </c>
      <c r="D744" s="28">
        <v>761091112945</v>
      </c>
      <c r="E744" s="29" t="s">
        <v>529</v>
      </c>
      <c r="F744" s="29" t="s">
        <v>372</v>
      </c>
      <c r="G744">
        <v>12</v>
      </c>
      <c r="H744" t="s">
        <v>323</v>
      </c>
      <c r="I744" t="s">
        <v>45</v>
      </c>
      <c r="J744" t="s">
        <v>325</v>
      </c>
      <c r="K744" t="s">
        <v>285</v>
      </c>
      <c r="L744" t="s">
        <v>327</v>
      </c>
    </row>
    <row r="745" spans="1:12">
      <c r="A745" t="s">
        <v>318</v>
      </c>
      <c r="B745" t="s">
        <v>319</v>
      </c>
      <c r="C745" t="s">
        <v>918</v>
      </c>
      <c r="D745" s="28">
        <v>7610900031882</v>
      </c>
      <c r="E745" s="29" t="s">
        <v>371</v>
      </c>
      <c r="F745" s="29" t="s">
        <v>372</v>
      </c>
      <c r="G745">
        <v>10</v>
      </c>
      <c r="H745" t="s">
        <v>323</v>
      </c>
      <c r="I745" t="s">
        <v>45</v>
      </c>
      <c r="J745" t="s">
        <v>325</v>
      </c>
      <c r="K745" t="s">
        <v>285</v>
      </c>
      <c r="L745" t="s">
        <v>327</v>
      </c>
    </row>
    <row r="746" spans="1:12">
      <c r="A746" t="s">
        <v>318</v>
      </c>
      <c r="B746" t="s">
        <v>319</v>
      </c>
      <c r="C746" t="s">
        <v>919</v>
      </c>
      <c r="D746" s="28">
        <v>7610900056100</v>
      </c>
      <c r="E746" s="29" t="s">
        <v>371</v>
      </c>
      <c r="F746" s="29" t="s">
        <v>372</v>
      </c>
      <c r="G746">
        <v>13</v>
      </c>
      <c r="H746" t="s">
        <v>323</v>
      </c>
      <c r="I746" t="s">
        <v>45</v>
      </c>
      <c r="J746" t="s">
        <v>325</v>
      </c>
      <c r="K746" t="s">
        <v>285</v>
      </c>
      <c r="L746" t="s">
        <v>327</v>
      </c>
    </row>
    <row r="747" spans="1:12">
      <c r="A747" t="s">
        <v>318</v>
      </c>
      <c r="B747" t="s">
        <v>319</v>
      </c>
      <c r="C747" t="s">
        <v>602</v>
      </c>
      <c r="D747" s="28">
        <v>7610900056113</v>
      </c>
      <c r="E747" s="29" t="s">
        <v>371</v>
      </c>
      <c r="F747" s="29" t="s">
        <v>372</v>
      </c>
      <c r="G747">
        <v>7</v>
      </c>
      <c r="H747" t="s">
        <v>323</v>
      </c>
      <c r="I747" t="s">
        <v>45</v>
      </c>
      <c r="J747" t="s">
        <v>325</v>
      </c>
      <c r="K747" t="s">
        <v>285</v>
      </c>
      <c r="L747" t="s">
        <v>327</v>
      </c>
    </row>
    <row r="748" spans="1:12">
      <c r="A748" t="s">
        <v>318</v>
      </c>
      <c r="B748" t="s">
        <v>319</v>
      </c>
      <c r="C748" t="s">
        <v>504</v>
      </c>
      <c r="D748" s="28">
        <v>7610900056134</v>
      </c>
      <c r="E748" s="29" t="s">
        <v>371</v>
      </c>
      <c r="F748" s="29" t="s">
        <v>372</v>
      </c>
      <c r="G748">
        <v>8</v>
      </c>
      <c r="H748" t="s">
        <v>323</v>
      </c>
      <c r="I748" t="s">
        <v>45</v>
      </c>
      <c r="J748" t="s">
        <v>325</v>
      </c>
      <c r="K748" t="s">
        <v>285</v>
      </c>
      <c r="L748" t="s">
        <v>327</v>
      </c>
    </row>
    <row r="749" spans="1:12">
      <c r="A749" t="s">
        <v>318</v>
      </c>
      <c r="B749" t="s">
        <v>319</v>
      </c>
      <c r="C749" t="s">
        <v>511</v>
      </c>
      <c r="D749" s="28">
        <v>7610900057627</v>
      </c>
      <c r="E749" s="29" t="s">
        <v>371</v>
      </c>
      <c r="F749" s="29" t="s">
        <v>372</v>
      </c>
      <c r="G749">
        <v>11</v>
      </c>
      <c r="H749" t="s">
        <v>323</v>
      </c>
      <c r="I749" t="s">
        <v>45</v>
      </c>
      <c r="J749" t="s">
        <v>325</v>
      </c>
      <c r="K749" t="s">
        <v>285</v>
      </c>
      <c r="L749" t="s">
        <v>327</v>
      </c>
    </row>
    <row r="750" spans="1:12">
      <c r="A750" t="s">
        <v>318</v>
      </c>
      <c r="B750" t="s">
        <v>319</v>
      </c>
      <c r="C750" t="s">
        <v>920</v>
      </c>
      <c r="D750" s="28">
        <v>7610900057628</v>
      </c>
      <c r="E750" s="29" t="s">
        <v>371</v>
      </c>
      <c r="F750" s="29" t="s">
        <v>372</v>
      </c>
      <c r="G750">
        <v>10</v>
      </c>
      <c r="H750" t="s">
        <v>323</v>
      </c>
      <c r="I750" t="s">
        <v>45</v>
      </c>
      <c r="J750" t="s">
        <v>325</v>
      </c>
      <c r="K750" t="s">
        <v>285</v>
      </c>
      <c r="L750" t="s">
        <v>327</v>
      </c>
    </row>
    <row r="751" spans="1:12">
      <c r="A751" t="s">
        <v>318</v>
      </c>
      <c r="B751" t="s">
        <v>319</v>
      </c>
      <c r="C751" t="s">
        <v>377</v>
      </c>
      <c r="D751" s="28">
        <v>7610900057630</v>
      </c>
      <c r="E751" s="29" t="s">
        <v>371</v>
      </c>
      <c r="F751" s="29" t="s">
        <v>372</v>
      </c>
      <c r="G751">
        <v>9</v>
      </c>
      <c r="H751" t="s">
        <v>323</v>
      </c>
      <c r="I751" t="s">
        <v>45</v>
      </c>
      <c r="J751" t="s">
        <v>325</v>
      </c>
      <c r="K751" t="s">
        <v>285</v>
      </c>
      <c r="L751" t="s">
        <v>327</v>
      </c>
    </row>
    <row r="752" spans="1:12">
      <c r="A752" t="s">
        <v>318</v>
      </c>
      <c r="B752" t="s">
        <v>319</v>
      </c>
      <c r="C752" t="s">
        <v>921</v>
      </c>
      <c r="D752" s="28">
        <v>7610900057632</v>
      </c>
      <c r="E752" s="29" t="s">
        <v>371</v>
      </c>
      <c r="F752" s="29" t="s">
        <v>372</v>
      </c>
      <c r="G752">
        <v>6</v>
      </c>
      <c r="H752" t="s">
        <v>323</v>
      </c>
      <c r="I752" t="s">
        <v>45</v>
      </c>
      <c r="J752" t="s">
        <v>325</v>
      </c>
      <c r="K752" t="s">
        <v>285</v>
      </c>
      <c r="L752" t="s">
        <v>327</v>
      </c>
    </row>
    <row r="753" spans="1:12">
      <c r="A753" t="s">
        <v>318</v>
      </c>
      <c r="B753" t="s">
        <v>319</v>
      </c>
      <c r="C753" t="s">
        <v>351</v>
      </c>
      <c r="D753" s="28">
        <v>7610900057638</v>
      </c>
      <c r="E753" s="29" t="s">
        <v>371</v>
      </c>
      <c r="F753" s="29" t="s">
        <v>372</v>
      </c>
      <c r="G753">
        <v>8</v>
      </c>
      <c r="H753" t="s">
        <v>323</v>
      </c>
      <c r="I753" t="s">
        <v>45</v>
      </c>
      <c r="J753" t="s">
        <v>325</v>
      </c>
      <c r="K753" t="s">
        <v>285</v>
      </c>
      <c r="L753" t="s">
        <v>327</v>
      </c>
    </row>
    <row r="754" spans="1:12">
      <c r="A754" t="s">
        <v>318</v>
      </c>
      <c r="B754" t="s">
        <v>319</v>
      </c>
      <c r="C754" t="s">
        <v>511</v>
      </c>
      <c r="D754" s="28">
        <v>7610900057639</v>
      </c>
      <c r="E754" s="29" t="s">
        <v>371</v>
      </c>
      <c r="F754" s="29" t="s">
        <v>372</v>
      </c>
      <c r="G754">
        <v>8</v>
      </c>
      <c r="H754" t="s">
        <v>323</v>
      </c>
      <c r="I754" t="s">
        <v>45</v>
      </c>
      <c r="J754" t="s">
        <v>325</v>
      </c>
      <c r="K754" t="s">
        <v>285</v>
      </c>
      <c r="L754" t="s">
        <v>327</v>
      </c>
    </row>
    <row r="755" spans="1:12">
      <c r="A755" t="s">
        <v>318</v>
      </c>
      <c r="B755" t="s">
        <v>319</v>
      </c>
      <c r="C755" t="s">
        <v>922</v>
      </c>
      <c r="D755" s="28">
        <v>7610900057644</v>
      </c>
      <c r="E755" s="29" t="s">
        <v>371</v>
      </c>
      <c r="F755" s="29" t="s">
        <v>372</v>
      </c>
      <c r="G755">
        <v>7</v>
      </c>
      <c r="H755" t="s">
        <v>323</v>
      </c>
      <c r="I755" t="s">
        <v>45</v>
      </c>
      <c r="J755" t="s">
        <v>325</v>
      </c>
      <c r="K755" t="s">
        <v>285</v>
      </c>
      <c r="L755" t="s">
        <v>327</v>
      </c>
    </row>
    <row r="756" spans="1:12">
      <c r="A756" t="s">
        <v>318</v>
      </c>
      <c r="B756" t="s">
        <v>319</v>
      </c>
      <c r="C756" t="s">
        <v>777</v>
      </c>
      <c r="D756" s="28">
        <v>7610900057701</v>
      </c>
      <c r="E756" s="29" t="s">
        <v>371</v>
      </c>
      <c r="F756" s="29" t="s">
        <v>372</v>
      </c>
      <c r="G756">
        <v>9</v>
      </c>
      <c r="H756" t="s">
        <v>323</v>
      </c>
      <c r="I756" t="s">
        <v>45</v>
      </c>
      <c r="J756" t="s">
        <v>325</v>
      </c>
      <c r="K756" t="s">
        <v>285</v>
      </c>
      <c r="L756" t="s">
        <v>327</v>
      </c>
    </row>
    <row r="757" spans="1:12">
      <c r="A757" t="s">
        <v>318</v>
      </c>
      <c r="B757" t="s">
        <v>319</v>
      </c>
      <c r="C757" t="s">
        <v>923</v>
      </c>
      <c r="D757" s="28">
        <v>7610900057704</v>
      </c>
      <c r="E757" s="29" t="s">
        <v>371</v>
      </c>
      <c r="F757" s="29" t="s">
        <v>372</v>
      </c>
      <c r="G757">
        <v>10</v>
      </c>
      <c r="H757" t="s">
        <v>323</v>
      </c>
      <c r="I757" t="s">
        <v>45</v>
      </c>
      <c r="J757" t="s">
        <v>325</v>
      </c>
      <c r="K757" t="s">
        <v>285</v>
      </c>
      <c r="L757" t="s">
        <v>327</v>
      </c>
    </row>
    <row r="758" spans="1:12">
      <c r="A758" t="s">
        <v>318</v>
      </c>
      <c r="B758" t="s">
        <v>319</v>
      </c>
      <c r="C758" t="s">
        <v>924</v>
      </c>
      <c r="D758" s="28">
        <v>7610900057721</v>
      </c>
      <c r="E758" s="29" t="s">
        <v>371</v>
      </c>
      <c r="F758" s="29" t="s">
        <v>372</v>
      </c>
      <c r="G758">
        <v>10</v>
      </c>
      <c r="H758" t="s">
        <v>323</v>
      </c>
      <c r="I758" t="s">
        <v>45</v>
      </c>
      <c r="J758" t="s">
        <v>325</v>
      </c>
      <c r="K758" t="s">
        <v>285</v>
      </c>
      <c r="L758" t="s">
        <v>327</v>
      </c>
    </row>
    <row r="759" spans="1:12">
      <c r="A759" t="s">
        <v>318</v>
      </c>
      <c r="B759" t="s">
        <v>319</v>
      </c>
      <c r="C759" t="s">
        <v>835</v>
      </c>
      <c r="D759" s="28">
        <v>7610900057768</v>
      </c>
      <c r="E759" s="29" t="s">
        <v>371</v>
      </c>
      <c r="F759" s="29" t="s">
        <v>372</v>
      </c>
      <c r="G759">
        <v>10</v>
      </c>
      <c r="H759" t="s">
        <v>323</v>
      </c>
      <c r="I759" t="s">
        <v>45</v>
      </c>
      <c r="J759" t="s">
        <v>325</v>
      </c>
      <c r="K759" t="s">
        <v>285</v>
      </c>
      <c r="L759" t="s">
        <v>327</v>
      </c>
    </row>
    <row r="760" spans="1:12">
      <c r="A760" t="s">
        <v>318</v>
      </c>
      <c r="B760" t="s">
        <v>319</v>
      </c>
      <c r="C760" t="s">
        <v>925</v>
      </c>
      <c r="D760" s="28">
        <v>7610900057773</v>
      </c>
      <c r="E760" s="29" t="s">
        <v>371</v>
      </c>
      <c r="F760" s="29" t="s">
        <v>372</v>
      </c>
      <c r="G760">
        <v>9</v>
      </c>
      <c r="H760" t="s">
        <v>323</v>
      </c>
      <c r="I760" t="s">
        <v>45</v>
      </c>
      <c r="J760" t="s">
        <v>325</v>
      </c>
      <c r="K760" t="s">
        <v>285</v>
      </c>
      <c r="L760" t="s">
        <v>327</v>
      </c>
    </row>
    <row r="761" spans="1:12">
      <c r="A761" t="s">
        <v>318</v>
      </c>
      <c r="B761" t="s">
        <v>319</v>
      </c>
      <c r="C761" t="s">
        <v>926</v>
      </c>
      <c r="D761" s="28">
        <v>7610900057778</v>
      </c>
      <c r="E761" s="29" t="s">
        <v>371</v>
      </c>
      <c r="F761" s="29" t="s">
        <v>372</v>
      </c>
      <c r="G761">
        <v>8</v>
      </c>
      <c r="H761" t="s">
        <v>323</v>
      </c>
      <c r="I761" t="s">
        <v>45</v>
      </c>
      <c r="J761" t="s">
        <v>325</v>
      </c>
      <c r="K761" t="s">
        <v>285</v>
      </c>
      <c r="L761" t="s">
        <v>327</v>
      </c>
    </row>
    <row r="762" spans="1:12">
      <c r="A762" t="s">
        <v>318</v>
      </c>
      <c r="B762" t="s">
        <v>319</v>
      </c>
      <c r="C762" t="s">
        <v>454</v>
      </c>
      <c r="D762" s="28">
        <v>7610900057781</v>
      </c>
      <c r="E762" s="29" t="s">
        <v>371</v>
      </c>
      <c r="F762" s="29" t="s">
        <v>372</v>
      </c>
      <c r="G762">
        <v>10</v>
      </c>
      <c r="H762" t="s">
        <v>323</v>
      </c>
      <c r="I762" t="s">
        <v>45</v>
      </c>
      <c r="J762" t="s">
        <v>325</v>
      </c>
      <c r="K762" t="s">
        <v>285</v>
      </c>
      <c r="L762" t="s">
        <v>327</v>
      </c>
    </row>
    <row r="763" spans="1:12">
      <c r="A763" t="s">
        <v>318</v>
      </c>
      <c r="B763" t="s">
        <v>319</v>
      </c>
      <c r="C763" t="s">
        <v>927</v>
      </c>
      <c r="D763" s="28">
        <v>7610900057787</v>
      </c>
      <c r="E763" s="29" t="s">
        <v>371</v>
      </c>
      <c r="F763" s="29" t="s">
        <v>372</v>
      </c>
      <c r="G763">
        <v>5</v>
      </c>
      <c r="H763" t="s">
        <v>323</v>
      </c>
      <c r="I763" t="s">
        <v>45</v>
      </c>
      <c r="J763" t="s">
        <v>325</v>
      </c>
      <c r="K763" t="s">
        <v>285</v>
      </c>
      <c r="L763" t="s">
        <v>327</v>
      </c>
    </row>
    <row r="764" spans="1:12">
      <c r="A764" t="s">
        <v>318</v>
      </c>
      <c r="B764" t="s">
        <v>319</v>
      </c>
      <c r="C764" t="s">
        <v>928</v>
      </c>
      <c r="D764" s="28">
        <v>7610900057796</v>
      </c>
      <c r="E764" s="29" t="s">
        <v>371</v>
      </c>
      <c r="F764" s="29" t="s">
        <v>372</v>
      </c>
      <c r="G764">
        <v>9</v>
      </c>
      <c r="H764" t="s">
        <v>323</v>
      </c>
      <c r="I764" t="s">
        <v>45</v>
      </c>
      <c r="J764" t="s">
        <v>325</v>
      </c>
      <c r="K764" t="s">
        <v>285</v>
      </c>
      <c r="L764" t="s">
        <v>327</v>
      </c>
    </row>
    <row r="765" spans="1:12">
      <c r="A765" t="s">
        <v>318</v>
      </c>
      <c r="B765" t="s">
        <v>319</v>
      </c>
      <c r="C765" t="s">
        <v>829</v>
      </c>
      <c r="D765" s="28">
        <v>7610900057805</v>
      </c>
      <c r="E765" s="29" t="s">
        <v>371</v>
      </c>
      <c r="F765" s="29" t="s">
        <v>372</v>
      </c>
      <c r="G765">
        <v>7</v>
      </c>
      <c r="H765" t="s">
        <v>323</v>
      </c>
      <c r="I765" t="s">
        <v>45</v>
      </c>
      <c r="J765" t="s">
        <v>325</v>
      </c>
      <c r="K765" t="s">
        <v>285</v>
      </c>
      <c r="L765" t="s">
        <v>327</v>
      </c>
    </row>
    <row r="766" spans="1:12">
      <c r="A766" t="s">
        <v>318</v>
      </c>
      <c r="B766" t="s">
        <v>319</v>
      </c>
      <c r="C766" t="s">
        <v>929</v>
      </c>
      <c r="D766" s="28">
        <v>7610900057813</v>
      </c>
      <c r="E766" s="29" t="s">
        <v>371</v>
      </c>
      <c r="F766" s="29" t="s">
        <v>372</v>
      </c>
      <c r="G766">
        <v>9</v>
      </c>
      <c r="H766" t="s">
        <v>323</v>
      </c>
      <c r="I766" t="s">
        <v>45</v>
      </c>
      <c r="J766" t="s">
        <v>325</v>
      </c>
      <c r="K766" t="s">
        <v>285</v>
      </c>
      <c r="L766" t="s">
        <v>327</v>
      </c>
    </row>
    <row r="767" spans="1:12">
      <c r="A767" t="s">
        <v>318</v>
      </c>
      <c r="B767" t="s">
        <v>319</v>
      </c>
      <c r="C767" t="s">
        <v>930</v>
      </c>
      <c r="D767" s="28">
        <v>7610900057818</v>
      </c>
      <c r="E767" s="29" t="s">
        <v>371</v>
      </c>
      <c r="F767" s="29" t="s">
        <v>372</v>
      </c>
      <c r="G767">
        <v>8</v>
      </c>
      <c r="H767" t="s">
        <v>323</v>
      </c>
      <c r="I767" t="s">
        <v>45</v>
      </c>
      <c r="J767" t="s">
        <v>325</v>
      </c>
      <c r="K767" t="s">
        <v>285</v>
      </c>
      <c r="L767" t="s">
        <v>327</v>
      </c>
    </row>
    <row r="768" spans="1:12">
      <c r="A768" t="s">
        <v>318</v>
      </c>
      <c r="B768" t="s">
        <v>319</v>
      </c>
      <c r="C768" t="s">
        <v>931</v>
      </c>
      <c r="D768" s="28">
        <v>7610900057835</v>
      </c>
      <c r="E768" s="29" t="s">
        <v>371</v>
      </c>
      <c r="F768" s="29" t="s">
        <v>372</v>
      </c>
      <c r="G768">
        <v>7</v>
      </c>
      <c r="H768" t="s">
        <v>323</v>
      </c>
      <c r="I768" t="s">
        <v>45</v>
      </c>
      <c r="J768" t="s">
        <v>325</v>
      </c>
      <c r="K768" t="s">
        <v>285</v>
      </c>
      <c r="L768" t="s">
        <v>327</v>
      </c>
    </row>
    <row r="769" spans="1:12">
      <c r="A769" t="s">
        <v>318</v>
      </c>
      <c r="B769" t="s">
        <v>319</v>
      </c>
      <c r="C769" t="s">
        <v>932</v>
      </c>
      <c r="D769" s="28">
        <v>7610900057858</v>
      </c>
      <c r="E769" s="29" t="s">
        <v>371</v>
      </c>
      <c r="F769" s="29" t="s">
        <v>372</v>
      </c>
      <c r="G769">
        <v>9</v>
      </c>
      <c r="H769" t="s">
        <v>323</v>
      </c>
      <c r="I769" t="s">
        <v>45</v>
      </c>
      <c r="J769" t="s">
        <v>325</v>
      </c>
      <c r="K769" t="s">
        <v>285</v>
      </c>
      <c r="L769" t="s">
        <v>327</v>
      </c>
    </row>
    <row r="770" spans="1:12">
      <c r="A770" t="s">
        <v>318</v>
      </c>
      <c r="B770" t="s">
        <v>319</v>
      </c>
      <c r="C770" t="s">
        <v>933</v>
      </c>
      <c r="D770" s="28">
        <v>7610900057864</v>
      </c>
      <c r="E770" s="29" t="s">
        <v>371</v>
      </c>
      <c r="F770" s="29" t="s">
        <v>372</v>
      </c>
      <c r="G770">
        <v>7</v>
      </c>
      <c r="H770" t="s">
        <v>323</v>
      </c>
      <c r="I770" t="s">
        <v>45</v>
      </c>
      <c r="J770" t="s">
        <v>325</v>
      </c>
      <c r="K770" t="s">
        <v>285</v>
      </c>
      <c r="L770" t="s">
        <v>327</v>
      </c>
    </row>
    <row r="771" spans="1:12">
      <c r="A771" t="s">
        <v>318</v>
      </c>
      <c r="B771" t="s">
        <v>319</v>
      </c>
      <c r="C771" t="s">
        <v>934</v>
      </c>
      <c r="D771" s="28">
        <v>7610900057870</v>
      </c>
      <c r="E771" s="29" t="s">
        <v>371</v>
      </c>
      <c r="F771" s="29" t="s">
        <v>372</v>
      </c>
      <c r="G771">
        <v>8</v>
      </c>
      <c r="H771" t="s">
        <v>323</v>
      </c>
      <c r="I771" t="s">
        <v>45</v>
      </c>
      <c r="J771" t="s">
        <v>325</v>
      </c>
      <c r="K771" t="s">
        <v>285</v>
      </c>
      <c r="L771" t="s">
        <v>327</v>
      </c>
    </row>
    <row r="772" spans="1:12">
      <c r="A772" t="s">
        <v>318</v>
      </c>
      <c r="B772" t="s">
        <v>319</v>
      </c>
      <c r="C772" t="s">
        <v>653</v>
      </c>
      <c r="D772" s="28">
        <v>7610900057879</v>
      </c>
      <c r="E772" s="29" t="s">
        <v>371</v>
      </c>
      <c r="F772" s="29" t="s">
        <v>372</v>
      </c>
      <c r="G772">
        <v>12</v>
      </c>
      <c r="H772" t="s">
        <v>323</v>
      </c>
      <c r="I772" t="s">
        <v>45</v>
      </c>
      <c r="J772" t="s">
        <v>325</v>
      </c>
      <c r="K772" t="s">
        <v>285</v>
      </c>
      <c r="L772" t="s">
        <v>327</v>
      </c>
    </row>
    <row r="773" spans="1:12">
      <c r="A773" t="s">
        <v>318</v>
      </c>
      <c r="B773" t="s">
        <v>319</v>
      </c>
      <c r="C773" t="s">
        <v>935</v>
      </c>
      <c r="D773" s="28">
        <v>7610900057890</v>
      </c>
      <c r="E773" s="29" t="s">
        <v>371</v>
      </c>
      <c r="F773" s="29" t="s">
        <v>372</v>
      </c>
      <c r="G773">
        <v>11</v>
      </c>
      <c r="H773" t="s">
        <v>323</v>
      </c>
      <c r="I773" t="s">
        <v>45</v>
      </c>
      <c r="J773" t="s">
        <v>325</v>
      </c>
      <c r="K773" t="s">
        <v>285</v>
      </c>
      <c r="L773" t="s">
        <v>327</v>
      </c>
    </row>
    <row r="774" spans="1:12">
      <c r="A774" t="s">
        <v>318</v>
      </c>
      <c r="B774" t="s">
        <v>319</v>
      </c>
      <c r="C774" t="s">
        <v>936</v>
      </c>
      <c r="D774" s="28">
        <v>7610900057897</v>
      </c>
      <c r="E774" s="29" t="s">
        <v>371</v>
      </c>
      <c r="F774" s="29" t="s">
        <v>372</v>
      </c>
      <c r="G774">
        <v>11</v>
      </c>
      <c r="H774" t="s">
        <v>323</v>
      </c>
      <c r="I774" t="s">
        <v>45</v>
      </c>
      <c r="J774" t="s">
        <v>325</v>
      </c>
      <c r="K774" t="s">
        <v>285</v>
      </c>
      <c r="L774" t="s">
        <v>327</v>
      </c>
    </row>
    <row r="775" spans="1:12">
      <c r="A775" t="s">
        <v>318</v>
      </c>
      <c r="B775" t="s">
        <v>319</v>
      </c>
      <c r="C775" t="s">
        <v>937</v>
      </c>
      <c r="D775" s="28">
        <v>7610900057905</v>
      </c>
      <c r="E775" s="29" t="s">
        <v>371</v>
      </c>
      <c r="F775" s="29" t="s">
        <v>372</v>
      </c>
      <c r="G775">
        <v>6</v>
      </c>
      <c r="H775" t="s">
        <v>323</v>
      </c>
      <c r="I775" t="s">
        <v>45</v>
      </c>
      <c r="J775" t="s">
        <v>325</v>
      </c>
      <c r="K775" t="s">
        <v>285</v>
      </c>
      <c r="L775" t="s">
        <v>327</v>
      </c>
    </row>
    <row r="776" spans="1:12">
      <c r="A776" t="s">
        <v>318</v>
      </c>
      <c r="B776" t="s">
        <v>319</v>
      </c>
      <c r="C776" t="s">
        <v>938</v>
      </c>
      <c r="D776" s="28">
        <v>7610900057910</v>
      </c>
      <c r="E776" s="29" t="s">
        <v>371</v>
      </c>
      <c r="F776" s="29" t="s">
        <v>372</v>
      </c>
      <c r="G776">
        <v>9</v>
      </c>
      <c r="H776" t="s">
        <v>323</v>
      </c>
      <c r="I776" t="s">
        <v>45</v>
      </c>
      <c r="J776" t="s">
        <v>325</v>
      </c>
      <c r="K776" t="s">
        <v>285</v>
      </c>
      <c r="L776" t="s">
        <v>327</v>
      </c>
    </row>
    <row r="777" spans="1:12">
      <c r="A777" t="s">
        <v>318</v>
      </c>
      <c r="B777" t="s">
        <v>319</v>
      </c>
      <c r="C777" t="s">
        <v>939</v>
      </c>
      <c r="D777" s="28">
        <v>7610900057914</v>
      </c>
      <c r="E777" s="29" t="s">
        <v>371</v>
      </c>
      <c r="F777" s="29" t="s">
        <v>372</v>
      </c>
      <c r="G777">
        <v>5</v>
      </c>
      <c r="H777" t="s">
        <v>323</v>
      </c>
      <c r="I777" t="s">
        <v>45</v>
      </c>
      <c r="J777" t="s">
        <v>325</v>
      </c>
      <c r="K777" t="s">
        <v>285</v>
      </c>
      <c r="L777" t="s">
        <v>327</v>
      </c>
    </row>
    <row r="778" spans="1:12">
      <c r="A778" t="s">
        <v>318</v>
      </c>
      <c r="B778" t="s">
        <v>319</v>
      </c>
      <c r="C778" t="s">
        <v>940</v>
      </c>
      <c r="D778" s="28">
        <v>7610900072502</v>
      </c>
      <c r="E778" s="29" t="s">
        <v>371</v>
      </c>
      <c r="F778" s="29" t="s">
        <v>372</v>
      </c>
      <c r="G778">
        <v>7</v>
      </c>
      <c r="H778" t="s">
        <v>323</v>
      </c>
      <c r="I778" t="s">
        <v>45</v>
      </c>
      <c r="J778" t="s">
        <v>325</v>
      </c>
      <c r="K778" t="s">
        <v>285</v>
      </c>
      <c r="L778" t="s">
        <v>327</v>
      </c>
    </row>
    <row r="779" spans="1:12">
      <c r="A779" t="s">
        <v>318</v>
      </c>
      <c r="B779" t="s">
        <v>319</v>
      </c>
      <c r="C779" t="s">
        <v>941</v>
      </c>
      <c r="D779" s="28">
        <v>7610900077893</v>
      </c>
      <c r="E779" s="29" t="s">
        <v>371</v>
      </c>
      <c r="F779" s="29" t="s">
        <v>372</v>
      </c>
      <c r="G779">
        <v>11</v>
      </c>
      <c r="H779" t="s">
        <v>323</v>
      </c>
      <c r="I779" t="s">
        <v>45</v>
      </c>
      <c r="J779" t="s">
        <v>325</v>
      </c>
      <c r="K779" t="s">
        <v>285</v>
      </c>
      <c r="L779" t="s">
        <v>327</v>
      </c>
    </row>
    <row r="780" spans="1:12">
      <c r="A780" t="s">
        <v>318</v>
      </c>
      <c r="B780" t="s">
        <v>319</v>
      </c>
      <c r="C780" t="s">
        <v>382</v>
      </c>
      <c r="D780" s="28">
        <v>7610900081474</v>
      </c>
      <c r="E780" s="29" t="s">
        <v>371</v>
      </c>
      <c r="F780" s="29" t="s">
        <v>372</v>
      </c>
      <c r="G780">
        <v>10</v>
      </c>
      <c r="H780" t="s">
        <v>323</v>
      </c>
      <c r="I780" t="s">
        <v>45</v>
      </c>
      <c r="J780" t="s">
        <v>325</v>
      </c>
      <c r="K780" t="s">
        <v>285</v>
      </c>
      <c r="L780" t="s">
        <v>327</v>
      </c>
    </row>
    <row r="781" spans="1:12">
      <c r="A781" t="s">
        <v>318</v>
      </c>
      <c r="B781" t="s">
        <v>319</v>
      </c>
      <c r="C781" t="s">
        <v>942</v>
      </c>
      <c r="D781" s="28">
        <v>7610900081483</v>
      </c>
      <c r="E781" s="29" t="s">
        <v>371</v>
      </c>
      <c r="F781" s="29" t="s">
        <v>372</v>
      </c>
      <c r="G781">
        <v>12</v>
      </c>
      <c r="H781" t="s">
        <v>323</v>
      </c>
      <c r="I781" t="s">
        <v>45</v>
      </c>
      <c r="J781" t="s">
        <v>325</v>
      </c>
      <c r="K781" t="s">
        <v>285</v>
      </c>
      <c r="L781" t="s">
        <v>327</v>
      </c>
    </row>
    <row r="782" spans="1:12">
      <c r="A782" t="s">
        <v>318</v>
      </c>
      <c r="B782" t="s">
        <v>319</v>
      </c>
      <c r="C782" t="s">
        <v>943</v>
      </c>
      <c r="D782" s="28">
        <v>7610900081486</v>
      </c>
      <c r="E782" s="29" t="s">
        <v>371</v>
      </c>
      <c r="F782" s="29" t="s">
        <v>372</v>
      </c>
      <c r="G782">
        <v>13</v>
      </c>
      <c r="H782" t="s">
        <v>323</v>
      </c>
      <c r="I782" t="s">
        <v>45</v>
      </c>
      <c r="J782" t="s">
        <v>325</v>
      </c>
      <c r="K782" t="s">
        <v>285</v>
      </c>
      <c r="L782" t="s">
        <v>327</v>
      </c>
    </row>
    <row r="783" spans="1:12">
      <c r="A783" t="s">
        <v>318</v>
      </c>
      <c r="B783" t="s">
        <v>319</v>
      </c>
      <c r="C783" t="s">
        <v>882</v>
      </c>
      <c r="D783" s="28">
        <v>7610900081536</v>
      </c>
      <c r="E783" s="29" t="s">
        <v>371</v>
      </c>
      <c r="F783" s="29" t="s">
        <v>372</v>
      </c>
      <c r="G783">
        <v>9</v>
      </c>
      <c r="H783" t="s">
        <v>323</v>
      </c>
      <c r="I783" t="s">
        <v>45</v>
      </c>
      <c r="J783" t="s">
        <v>325</v>
      </c>
      <c r="K783" t="s">
        <v>285</v>
      </c>
      <c r="L783" t="s">
        <v>327</v>
      </c>
    </row>
    <row r="784" spans="1:12">
      <c r="A784" t="s">
        <v>318</v>
      </c>
      <c r="B784" t="s">
        <v>319</v>
      </c>
      <c r="C784" t="s">
        <v>488</v>
      </c>
      <c r="D784" s="28">
        <v>7610900081540</v>
      </c>
      <c r="E784" s="29" t="s">
        <v>371</v>
      </c>
      <c r="F784" s="29" t="s">
        <v>372</v>
      </c>
      <c r="G784">
        <v>8</v>
      </c>
      <c r="H784" t="s">
        <v>323</v>
      </c>
      <c r="I784" t="s">
        <v>45</v>
      </c>
      <c r="J784" t="s">
        <v>325</v>
      </c>
      <c r="K784" t="s">
        <v>735</v>
      </c>
      <c r="L784" t="s">
        <v>327</v>
      </c>
    </row>
    <row r="785" spans="1:12">
      <c r="A785" t="s">
        <v>318</v>
      </c>
      <c r="B785" t="s">
        <v>319</v>
      </c>
      <c r="C785" t="s">
        <v>944</v>
      </c>
      <c r="D785" s="28">
        <v>7610900081542</v>
      </c>
      <c r="E785" s="29" t="s">
        <v>371</v>
      </c>
      <c r="F785" s="29" t="s">
        <v>372</v>
      </c>
      <c r="G785">
        <v>11</v>
      </c>
      <c r="H785" t="s">
        <v>323</v>
      </c>
      <c r="I785" t="s">
        <v>45</v>
      </c>
      <c r="J785" t="s">
        <v>325</v>
      </c>
      <c r="K785" t="s">
        <v>285</v>
      </c>
      <c r="L785" t="s">
        <v>327</v>
      </c>
    </row>
    <row r="786" spans="1:12">
      <c r="A786" t="s">
        <v>318</v>
      </c>
      <c r="B786" t="s">
        <v>319</v>
      </c>
      <c r="C786" t="s">
        <v>945</v>
      </c>
      <c r="D786" s="28">
        <v>7610900081752</v>
      </c>
      <c r="E786" s="29" t="s">
        <v>371</v>
      </c>
      <c r="F786" s="29" t="s">
        <v>372</v>
      </c>
      <c r="G786">
        <v>13</v>
      </c>
      <c r="H786" t="s">
        <v>323</v>
      </c>
      <c r="I786" t="s">
        <v>45</v>
      </c>
      <c r="J786" t="s">
        <v>325</v>
      </c>
      <c r="K786" t="s">
        <v>369</v>
      </c>
      <c r="L786" t="s">
        <v>327</v>
      </c>
    </row>
    <row r="787" spans="1:12">
      <c r="A787" t="s">
        <v>318</v>
      </c>
      <c r="B787" t="s">
        <v>319</v>
      </c>
      <c r="C787" t="s">
        <v>946</v>
      </c>
      <c r="D787" s="28">
        <v>7610900081755</v>
      </c>
      <c r="E787" s="29" t="s">
        <v>371</v>
      </c>
      <c r="F787" s="29" t="s">
        <v>372</v>
      </c>
      <c r="G787">
        <v>8</v>
      </c>
      <c r="H787" t="s">
        <v>323</v>
      </c>
      <c r="I787" t="s">
        <v>45</v>
      </c>
      <c r="J787" t="s">
        <v>325</v>
      </c>
      <c r="K787" t="s">
        <v>285</v>
      </c>
      <c r="L787" t="s">
        <v>327</v>
      </c>
    </row>
    <row r="788" spans="1:12">
      <c r="A788" t="s">
        <v>318</v>
      </c>
      <c r="B788" t="s">
        <v>319</v>
      </c>
      <c r="C788" t="s">
        <v>947</v>
      </c>
      <c r="D788" s="28">
        <v>7610900081762</v>
      </c>
      <c r="E788" s="29" t="s">
        <v>371</v>
      </c>
      <c r="F788" s="29" t="s">
        <v>372</v>
      </c>
      <c r="G788">
        <v>8</v>
      </c>
      <c r="H788" t="s">
        <v>323</v>
      </c>
      <c r="I788" t="s">
        <v>45</v>
      </c>
      <c r="J788" t="s">
        <v>325</v>
      </c>
      <c r="K788" t="s">
        <v>285</v>
      </c>
      <c r="L788" t="s">
        <v>327</v>
      </c>
    </row>
    <row r="789" spans="1:12">
      <c r="A789" t="s">
        <v>318</v>
      </c>
      <c r="B789" t="s">
        <v>319</v>
      </c>
      <c r="C789" t="s">
        <v>565</v>
      </c>
      <c r="D789" s="28">
        <v>7610900081766</v>
      </c>
      <c r="E789" s="29" t="s">
        <v>371</v>
      </c>
      <c r="F789" s="29" t="s">
        <v>372</v>
      </c>
      <c r="G789">
        <v>8</v>
      </c>
      <c r="H789" t="s">
        <v>323</v>
      </c>
      <c r="I789" t="s">
        <v>45</v>
      </c>
      <c r="J789" t="s">
        <v>325</v>
      </c>
      <c r="K789" t="s">
        <v>285</v>
      </c>
      <c r="L789" t="s">
        <v>327</v>
      </c>
    </row>
    <row r="790" spans="1:12">
      <c r="A790" t="s">
        <v>318</v>
      </c>
      <c r="B790" t="s">
        <v>319</v>
      </c>
      <c r="C790" t="s">
        <v>493</v>
      </c>
      <c r="D790" s="28">
        <v>7610900081769</v>
      </c>
      <c r="E790" s="29" t="s">
        <v>371</v>
      </c>
      <c r="F790" s="29" t="s">
        <v>372</v>
      </c>
      <c r="G790">
        <v>13</v>
      </c>
      <c r="H790" t="s">
        <v>323</v>
      </c>
      <c r="I790" t="s">
        <v>45</v>
      </c>
      <c r="J790" t="s">
        <v>325</v>
      </c>
      <c r="K790" t="s">
        <v>285</v>
      </c>
      <c r="L790" t="s">
        <v>327</v>
      </c>
    </row>
    <row r="791" spans="1:12">
      <c r="A791" t="s">
        <v>318</v>
      </c>
      <c r="B791" t="s">
        <v>319</v>
      </c>
      <c r="C791" t="s">
        <v>453</v>
      </c>
      <c r="D791" s="28">
        <v>7610900081771</v>
      </c>
      <c r="E791" s="29" t="s">
        <v>371</v>
      </c>
      <c r="F791" s="29" t="s">
        <v>372</v>
      </c>
      <c r="G791">
        <v>13</v>
      </c>
      <c r="H791" t="s">
        <v>323</v>
      </c>
      <c r="I791" t="s">
        <v>45</v>
      </c>
      <c r="J791" t="s">
        <v>325</v>
      </c>
      <c r="K791" t="s">
        <v>285</v>
      </c>
      <c r="L791" t="s">
        <v>327</v>
      </c>
    </row>
    <row r="792" spans="1:12">
      <c r="A792" t="s">
        <v>318</v>
      </c>
      <c r="B792" t="s">
        <v>319</v>
      </c>
      <c r="C792" t="s">
        <v>855</v>
      </c>
      <c r="D792" s="28">
        <v>7610900081776</v>
      </c>
      <c r="E792" s="29" t="s">
        <v>371</v>
      </c>
      <c r="F792" s="29" t="s">
        <v>372</v>
      </c>
      <c r="G792">
        <v>9</v>
      </c>
      <c r="H792" t="s">
        <v>323</v>
      </c>
      <c r="I792" t="s">
        <v>45</v>
      </c>
      <c r="J792" t="s">
        <v>325</v>
      </c>
      <c r="K792" t="s">
        <v>285</v>
      </c>
      <c r="L792" t="s">
        <v>327</v>
      </c>
    </row>
    <row r="793" spans="1:12">
      <c r="A793" t="s">
        <v>318</v>
      </c>
      <c r="B793" t="s">
        <v>319</v>
      </c>
      <c r="C793" t="s">
        <v>419</v>
      </c>
      <c r="D793" s="28">
        <v>7610900081779</v>
      </c>
      <c r="E793" s="29" t="s">
        <v>371</v>
      </c>
      <c r="F793" s="29" t="s">
        <v>372</v>
      </c>
      <c r="G793">
        <v>13</v>
      </c>
      <c r="H793" t="s">
        <v>323</v>
      </c>
      <c r="I793" t="s">
        <v>45</v>
      </c>
      <c r="J793" t="s">
        <v>325</v>
      </c>
      <c r="K793" t="s">
        <v>285</v>
      </c>
      <c r="L793" t="s">
        <v>327</v>
      </c>
    </row>
    <row r="794" spans="1:12">
      <c r="A794" t="s">
        <v>318</v>
      </c>
      <c r="B794" t="s">
        <v>319</v>
      </c>
      <c r="C794" t="s">
        <v>948</v>
      </c>
      <c r="D794" s="28">
        <v>7610900081781</v>
      </c>
      <c r="E794" s="29" t="s">
        <v>371</v>
      </c>
      <c r="F794" s="29" t="s">
        <v>372</v>
      </c>
      <c r="G794">
        <v>13</v>
      </c>
      <c r="H794" t="s">
        <v>323</v>
      </c>
      <c r="I794" t="s">
        <v>45</v>
      </c>
      <c r="J794" t="s">
        <v>325</v>
      </c>
      <c r="K794" t="s">
        <v>285</v>
      </c>
      <c r="L794" t="s">
        <v>327</v>
      </c>
    </row>
    <row r="795" spans="1:12">
      <c r="A795" t="s">
        <v>318</v>
      </c>
      <c r="B795" t="s">
        <v>319</v>
      </c>
      <c r="C795" t="s">
        <v>949</v>
      </c>
      <c r="D795" s="28">
        <v>7610900081790</v>
      </c>
      <c r="E795" s="29" t="s">
        <v>371</v>
      </c>
      <c r="F795" s="29" t="s">
        <v>372</v>
      </c>
      <c r="G795">
        <v>8</v>
      </c>
      <c r="H795" t="s">
        <v>323</v>
      </c>
      <c r="I795" t="s">
        <v>45</v>
      </c>
      <c r="J795" t="s">
        <v>325</v>
      </c>
      <c r="K795" t="s">
        <v>285</v>
      </c>
      <c r="L795" t="s">
        <v>327</v>
      </c>
    </row>
    <row r="796" spans="1:12">
      <c r="A796" t="s">
        <v>318</v>
      </c>
      <c r="B796" t="s">
        <v>319</v>
      </c>
      <c r="C796" t="s">
        <v>950</v>
      </c>
      <c r="D796" s="28">
        <v>7610900081795</v>
      </c>
      <c r="E796" s="29" t="s">
        <v>371</v>
      </c>
      <c r="F796" s="29" t="s">
        <v>372</v>
      </c>
      <c r="G796">
        <v>8</v>
      </c>
      <c r="H796" t="s">
        <v>323</v>
      </c>
      <c r="I796" t="s">
        <v>45</v>
      </c>
      <c r="J796" t="s">
        <v>325</v>
      </c>
      <c r="K796" t="s">
        <v>285</v>
      </c>
      <c r="L796" t="s">
        <v>327</v>
      </c>
    </row>
    <row r="797" spans="1:12">
      <c r="A797" t="s">
        <v>318</v>
      </c>
      <c r="B797" t="s">
        <v>319</v>
      </c>
      <c r="C797" t="s">
        <v>951</v>
      </c>
      <c r="D797" s="28">
        <v>7610900081808</v>
      </c>
      <c r="E797" s="29" t="s">
        <v>371</v>
      </c>
      <c r="F797" s="29" t="s">
        <v>372</v>
      </c>
      <c r="G797">
        <v>8</v>
      </c>
      <c r="H797" t="s">
        <v>323</v>
      </c>
      <c r="I797" t="s">
        <v>45</v>
      </c>
      <c r="J797" t="s">
        <v>325</v>
      </c>
      <c r="K797" t="s">
        <v>285</v>
      </c>
      <c r="L797" t="s">
        <v>327</v>
      </c>
    </row>
    <row r="798" spans="1:12">
      <c r="A798" t="s">
        <v>318</v>
      </c>
      <c r="B798" t="s">
        <v>319</v>
      </c>
      <c r="C798" t="s">
        <v>952</v>
      </c>
      <c r="D798" s="28">
        <v>7610900081829</v>
      </c>
      <c r="E798" s="29" t="s">
        <v>371</v>
      </c>
      <c r="F798" s="29" t="s">
        <v>372</v>
      </c>
      <c r="G798">
        <v>13</v>
      </c>
      <c r="H798" t="s">
        <v>323</v>
      </c>
      <c r="I798" t="s">
        <v>45</v>
      </c>
      <c r="J798" t="s">
        <v>325</v>
      </c>
      <c r="K798" t="s">
        <v>285</v>
      </c>
      <c r="L798" t="s">
        <v>327</v>
      </c>
    </row>
    <row r="799" spans="1:12">
      <c r="A799" t="s">
        <v>318</v>
      </c>
      <c r="B799" t="s">
        <v>319</v>
      </c>
      <c r="C799" t="s">
        <v>953</v>
      </c>
      <c r="D799" s="28">
        <v>7610900081831</v>
      </c>
      <c r="E799" s="29" t="s">
        <v>371</v>
      </c>
      <c r="F799" s="29" t="s">
        <v>372</v>
      </c>
      <c r="G799">
        <v>10</v>
      </c>
      <c r="H799" t="s">
        <v>323</v>
      </c>
      <c r="I799" t="s">
        <v>45</v>
      </c>
      <c r="J799" t="s">
        <v>325</v>
      </c>
      <c r="K799" t="s">
        <v>285</v>
      </c>
      <c r="L799" t="s">
        <v>327</v>
      </c>
    </row>
    <row r="800" spans="1:12">
      <c r="A800" t="s">
        <v>318</v>
      </c>
      <c r="B800" t="s">
        <v>319</v>
      </c>
      <c r="C800" t="s">
        <v>954</v>
      </c>
      <c r="D800" s="28">
        <v>7610900081835</v>
      </c>
      <c r="E800" s="29" t="s">
        <v>371</v>
      </c>
      <c r="F800" s="29" t="s">
        <v>372</v>
      </c>
      <c r="G800">
        <v>12</v>
      </c>
      <c r="H800" t="s">
        <v>323</v>
      </c>
      <c r="I800" t="s">
        <v>45</v>
      </c>
      <c r="J800" t="s">
        <v>325</v>
      </c>
      <c r="K800" t="s">
        <v>285</v>
      </c>
      <c r="L800" t="s">
        <v>327</v>
      </c>
    </row>
    <row r="801" spans="1:12">
      <c r="A801" t="s">
        <v>318</v>
      </c>
      <c r="B801" t="s">
        <v>319</v>
      </c>
      <c r="C801" t="s">
        <v>955</v>
      </c>
      <c r="D801" s="28">
        <v>7610900081836</v>
      </c>
      <c r="E801" s="29" t="s">
        <v>371</v>
      </c>
      <c r="F801" s="29" t="s">
        <v>372</v>
      </c>
      <c r="G801">
        <v>13</v>
      </c>
      <c r="H801" t="s">
        <v>323</v>
      </c>
      <c r="I801" t="s">
        <v>45</v>
      </c>
      <c r="J801" t="s">
        <v>325</v>
      </c>
      <c r="K801" t="s">
        <v>285</v>
      </c>
      <c r="L801" t="s">
        <v>327</v>
      </c>
    </row>
    <row r="802" spans="1:12">
      <c r="A802" t="s">
        <v>318</v>
      </c>
      <c r="B802" t="s">
        <v>319</v>
      </c>
      <c r="C802" t="s">
        <v>521</v>
      </c>
      <c r="D802" s="28">
        <v>7610900081837</v>
      </c>
      <c r="E802" s="29" t="s">
        <v>371</v>
      </c>
      <c r="F802" s="29" t="s">
        <v>372</v>
      </c>
      <c r="G802">
        <v>8</v>
      </c>
      <c r="H802" t="s">
        <v>323</v>
      </c>
      <c r="I802" t="s">
        <v>45</v>
      </c>
      <c r="J802" t="s">
        <v>325</v>
      </c>
      <c r="K802" t="s">
        <v>285</v>
      </c>
      <c r="L802" t="s">
        <v>327</v>
      </c>
    </row>
    <row r="803" spans="1:12">
      <c r="A803" t="s">
        <v>318</v>
      </c>
      <c r="B803" t="s">
        <v>319</v>
      </c>
      <c r="C803" t="s">
        <v>956</v>
      </c>
      <c r="D803" s="28">
        <v>7610900081840</v>
      </c>
      <c r="E803" s="29" t="s">
        <v>371</v>
      </c>
      <c r="F803" s="29" t="s">
        <v>372</v>
      </c>
      <c r="G803">
        <v>9</v>
      </c>
      <c r="H803" t="s">
        <v>323</v>
      </c>
      <c r="I803" t="s">
        <v>45</v>
      </c>
      <c r="J803" t="s">
        <v>325</v>
      </c>
      <c r="K803" t="s">
        <v>285</v>
      </c>
      <c r="L803" t="s">
        <v>327</v>
      </c>
    </row>
    <row r="804" spans="1:12">
      <c r="A804" t="s">
        <v>318</v>
      </c>
      <c r="B804" t="s">
        <v>319</v>
      </c>
      <c r="C804" t="s">
        <v>957</v>
      </c>
      <c r="D804" s="28">
        <v>7610900081842</v>
      </c>
      <c r="E804" s="29" t="s">
        <v>371</v>
      </c>
      <c r="F804" s="29" t="s">
        <v>372</v>
      </c>
      <c r="G804">
        <v>5</v>
      </c>
      <c r="H804" t="s">
        <v>323</v>
      </c>
      <c r="I804" t="s">
        <v>45</v>
      </c>
      <c r="J804" t="s">
        <v>325</v>
      </c>
      <c r="K804" t="s">
        <v>285</v>
      </c>
      <c r="L804" t="s">
        <v>327</v>
      </c>
    </row>
    <row r="805" spans="1:12">
      <c r="A805" t="s">
        <v>318</v>
      </c>
      <c r="B805" t="s">
        <v>319</v>
      </c>
      <c r="C805" t="s">
        <v>958</v>
      </c>
      <c r="D805" s="28">
        <v>7610900081843</v>
      </c>
      <c r="E805" s="29" t="s">
        <v>371</v>
      </c>
      <c r="F805" s="29" t="s">
        <v>372</v>
      </c>
      <c r="G805">
        <v>12</v>
      </c>
      <c r="H805" t="s">
        <v>323</v>
      </c>
      <c r="I805" t="s">
        <v>45</v>
      </c>
      <c r="J805" t="s">
        <v>325</v>
      </c>
      <c r="K805" t="s">
        <v>285</v>
      </c>
      <c r="L805" t="s">
        <v>327</v>
      </c>
    </row>
    <row r="806" spans="1:12">
      <c r="A806" t="s">
        <v>318</v>
      </c>
      <c r="B806" t="s">
        <v>319</v>
      </c>
      <c r="C806" t="s">
        <v>435</v>
      </c>
      <c r="D806" s="28">
        <v>7610900081844</v>
      </c>
      <c r="E806" s="29" t="s">
        <v>371</v>
      </c>
      <c r="F806" s="29" t="s">
        <v>372</v>
      </c>
      <c r="G806">
        <v>9</v>
      </c>
      <c r="H806" t="s">
        <v>323</v>
      </c>
      <c r="I806" t="s">
        <v>45</v>
      </c>
      <c r="J806" t="s">
        <v>325</v>
      </c>
      <c r="K806" t="s">
        <v>285</v>
      </c>
      <c r="L806" t="s">
        <v>327</v>
      </c>
    </row>
    <row r="807" spans="1:12">
      <c r="A807" t="s">
        <v>318</v>
      </c>
      <c r="B807" t="s">
        <v>319</v>
      </c>
      <c r="C807" t="s">
        <v>959</v>
      </c>
      <c r="D807" s="28">
        <v>7610900081845</v>
      </c>
      <c r="E807" s="29" t="s">
        <v>371</v>
      </c>
      <c r="F807" s="29" t="s">
        <v>372</v>
      </c>
      <c r="G807">
        <v>8</v>
      </c>
      <c r="H807" t="s">
        <v>323</v>
      </c>
      <c r="I807" t="s">
        <v>45</v>
      </c>
      <c r="J807" t="s">
        <v>325</v>
      </c>
      <c r="K807" t="s">
        <v>285</v>
      </c>
      <c r="L807" t="s">
        <v>327</v>
      </c>
    </row>
    <row r="808" spans="1:12">
      <c r="A808" t="s">
        <v>318</v>
      </c>
      <c r="B808" t="s">
        <v>319</v>
      </c>
      <c r="C808" t="s">
        <v>960</v>
      </c>
      <c r="D808" s="28">
        <v>7610900081849</v>
      </c>
      <c r="E808" s="29" t="s">
        <v>371</v>
      </c>
      <c r="F808" s="29" t="s">
        <v>372</v>
      </c>
      <c r="G808">
        <v>12</v>
      </c>
      <c r="H808" t="s">
        <v>323</v>
      </c>
      <c r="I808" t="s">
        <v>45</v>
      </c>
      <c r="J808" t="s">
        <v>325</v>
      </c>
      <c r="K808" t="s">
        <v>285</v>
      </c>
      <c r="L808" t="s">
        <v>327</v>
      </c>
    </row>
    <row r="809" spans="1:12">
      <c r="A809" t="s">
        <v>318</v>
      </c>
      <c r="B809" t="s">
        <v>319</v>
      </c>
      <c r="C809" t="s">
        <v>377</v>
      </c>
      <c r="D809" s="28">
        <v>7610900081856</v>
      </c>
      <c r="E809" s="29" t="s">
        <v>371</v>
      </c>
      <c r="F809" s="29" t="s">
        <v>372</v>
      </c>
      <c r="G809">
        <v>11</v>
      </c>
      <c r="H809" t="s">
        <v>323</v>
      </c>
      <c r="I809" t="s">
        <v>45</v>
      </c>
      <c r="J809" t="s">
        <v>325</v>
      </c>
      <c r="K809" t="s">
        <v>285</v>
      </c>
      <c r="L809" t="s">
        <v>327</v>
      </c>
    </row>
    <row r="810" spans="1:12">
      <c r="A810" t="s">
        <v>318</v>
      </c>
      <c r="B810" t="s">
        <v>319</v>
      </c>
      <c r="C810" t="s">
        <v>385</v>
      </c>
      <c r="D810" s="28">
        <v>7610900081858</v>
      </c>
      <c r="E810" s="29" t="s">
        <v>371</v>
      </c>
      <c r="F810" s="29" t="s">
        <v>372</v>
      </c>
      <c r="G810">
        <v>8</v>
      </c>
      <c r="H810" t="s">
        <v>323</v>
      </c>
      <c r="I810" t="s">
        <v>45</v>
      </c>
      <c r="J810" t="s">
        <v>325</v>
      </c>
      <c r="K810" t="s">
        <v>285</v>
      </c>
      <c r="L810" t="s">
        <v>327</v>
      </c>
    </row>
    <row r="811" spans="1:12">
      <c r="A811" t="s">
        <v>318</v>
      </c>
      <c r="B811" t="s">
        <v>319</v>
      </c>
      <c r="C811" t="s">
        <v>642</v>
      </c>
      <c r="D811" s="28">
        <v>7610900081860</v>
      </c>
      <c r="E811" s="29" t="s">
        <v>371</v>
      </c>
      <c r="F811" s="29" t="s">
        <v>372</v>
      </c>
      <c r="G811">
        <v>10</v>
      </c>
      <c r="H811" t="s">
        <v>323</v>
      </c>
      <c r="I811" t="s">
        <v>45</v>
      </c>
      <c r="J811" t="s">
        <v>325</v>
      </c>
      <c r="K811" t="s">
        <v>285</v>
      </c>
      <c r="L811" t="s">
        <v>327</v>
      </c>
    </row>
    <row r="812" spans="1:12">
      <c r="A812" t="s">
        <v>318</v>
      </c>
      <c r="B812" t="s">
        <v>319</v>
      </c>
      <c r="C812" t="s">
        <v>568</v>
      </c>
      <c r="D812" s="28">
        <v>7610900081862</v>
      </c>
      <c r="E812" s="29" t="s">
        <v>371</v>
      </c>
      <c r="F812" s="29" t="s">
        <v>372</v>
      </c>
      <c r="G812">
        <v>7</v>
      </c>
      <c r="H812" t="s">
        <v>323</v>
      </c>
      <c r="I812" t="s">
        <v>45</v>
      </c>
      <c r="J812" t="s">
        <v>325</v>
      </c>
      <c r="K812" t="s">
        <v>285</v>
      </c>
      <c r="L812" t="s">
        <v>327</v>
      </c>
    </row>
    <row r="813" spans="1:12">
      <c r="A813" t="s">
        <v>318</v>
      </c>
      <c r="B813" t="s">
        <v>319</v>
      </c>
      <c r="C813" t="s">
        <v>961</v>
      </c>
      <c r="D813" s="28">
        <v>7610900082328</v>
      </c>
      <c r="E813" s="29" t="s">
        <v>371</v>
      </c>
      <c r="F813" s="29" t="s">
        <v>372</v>
      </c>
      <c r="G813">
        <v>8</v>
      </c>
      <c r="H813" t="s">
        <v>323</v>
      </c>
      <c r="I813" t="s">
        <v>45</v>
      </c>
      <c r="J813" t="s">
        <v>325</v>
      </c>
      <c r="K813" t="s">
        <v>285</v>
      </c>
      <c r="L813" t="s">
        <v>327</v>
      </c>
    </row>
    <row r="814" spans="1:12">
      <c r="A814" t="s">
        <v>318</v>
      </c>
      <c r="B814" t="s">
        <v>319</v>
      </c>
      <c r="C814" t="s">
        <v>962</v>
      </c>
      <c r="D814" s="28">
        <v>7610900082331</v>
      </c>
      <c r="E814" s="29" t="s">
        <v>371</v>
      </c>
      <c r="F814" s="29" t="s">
        <v>372</v>
      </c>
      <c r="G814">
        <v>7</v>
      </c>
      <c r="H814" t="s">
        <v>323</v>
      </c>
      <c r="I814" t="s">
        <v>45</v>
      </c>
      <c r="J814" t="s">
        <v>325</v>
      </c>
      <c r="K814" t="s">
        <v>285</v>
      </c>
      <c r="L814" t="s">
        <v>327</v>
      </c>
    </row>
    <row r="815" spans="1:12">
      <c r="A815" t="s">
        <v>318</v>
      </c>
      <c r="B815" t="s">
        <v>319</v>
      </c>
      <c r="C815" t="s">
        <v>963</v>
      </c>
      <c r="D815" s="28">
        <v>7610900082342</v>
      </c>
      <c r="E815" s="29" t="s">
        <v>371</v>
      </c>
      <c r="F815" s="29" t="s">
        <v>372</v>
      </c>
      <c r="G815">
        <v>9</v>
      </c>
      <c r="H815" t="s">
        <v>323</v>
      </c>
      <c r="I815" t="s">
        <v>45</v>
      </c>
      <c r="J815" t="s">
        <v>325</v>
      </c>
      <c r="K815" t="s">
        <v>285</v>
      </c>
      <c r="L815" t="s">
        <v>327</v>
      </c>
    </row>
    <row r="816" spans="1:12">
      <c r="A816" t="s">
        <v>318</v>
      </c>
      <c r="B816" t="s">
        <v>319</v>
      </c>
      <c r="C816" t="s">
        <v>493</v>
      </c>
      <c r="D816" s="28">
        <v>7610900082348</v>
      </c>
      <c r="E816" s="29" t="s">
        <v>371</v>
      </c>
      <c r="F816" s="29" t="s">
        <v>372</v>
      </c>
      <c r="G816">
        <v>10</v>
      </c>
      <c r="H816" t="s">
        <v>323</v>
      </c>
      <c r="I816" t="s">
        <v>45</v>
      </c>
      <c r="J816" t="s">
        <v>325</v>
      </c>
      <c r="K816" t="s">
        <v>285</v>
      </c>
      <c r="L816" t="s">
        <v>327</v>
      </c>
    </row>
    <row r="817" spans="1:12">
      <c r="A817" t="s">
        <v>318</v>
      </c>
      <c r="B817" t="s">
        <v>319</v>
      </c>
      <c r="C817" t="s">
        <v>486</v>
      </c>
      <c r="D817" s="28">
        <v>7610900082349</v>
      </c>
      <c r="E817" s="29" t="s">
        <v>371</v>
      </c>
      <c r="F817" s="29" t="s">
        <v>372</v>
      </c>
      <c r="G817">
        <v>11</v>
      </c>
      <c r="H817" t="s">
        <v>323</v>
      </c>
      <c r="I817" t="s">
        <v>45</v>
      </c>
      <c r="J817" t="s">
        <v>325</v>
      </c>
      <c r="K817" t="s">
        <v>285</v>
      </c>
      <c r="L817" t="s">
        <v>327</v>
      </c>
    </row>
    <row r="818" spans="1:12">
      <c r="A818" t="s">
        <v>318</v>
      </c>
      <c r="B818" t="s">
        <v>319</v>
      </c>
      <c r="C818" t="s">
        <v>964</v>
      </c>
      <c r="D818" s="28">
        <v>7610900082362</v>
      </c>
      <c r="E818" s="29" t="s">
        <v>371</v>
      </c>
      <c r="F818" s="29" t="s">
        <v>372</v>
      </c>
      <c r="G818">
        <v>8</v>
      </c>
      <c r="H818" t="s">
        <v>323</v>
      </c>
      <c r="I818" t="s">
        <v>45</v>
      </c>
      <c r="J818" t="s">
        <v>325</v>
      </c>
      <c r="K818" t="s">
        <v>285</v>
      </c>
      <c r="L818" t="s">
        <v>327</v>
      </c>
    </row>
    <row r="819" spans="1:12">
      <c r="A819" t="s">
        <v>318</v>
      </c>
      <c r="B819" t="s">
        <v>319</v>
      </c>
      <c r="C819" t="s">
        <v>965</v>
      </c>
      <c r="D819" s="28">
        <v>7610900082726</v>
      </c>
      <c r="E819" s="29" t="s">
        <v>371</v>
      </c>
      <c r="F819" s="29" t="s">
        <v>372</v>
      </c>
      <c r="G819">
        <v>8</v>
      </c>
      <c r="H819" t="s">
        <v>323</v>
      </c>
      <c r="I819" t="s">
        <v>45</v>
      </c>
      <c r="J819" t="s">
        <v>325</v>
      </c>
      <c r="K819" t="s">
        <v>285</v>
      </c>
      <c r="L819" t="s">
        <v>327</v>
      </c>
    </row>
    <row r="820" spans="1:12">
      <c r="A820" t="s">
        <v>318</v>
      </c>
      <c r="B820" t="s">
        <v>319</v>
      </c>
      <c r="C820" t="s">
        <v>511</v>
      </c>
      <c r="D820" s="28">
        <v>7610900082742</v>
      </c>
      <c r="E820" s="29" t="s">
        <v>371</v>
      </c>
      <c r="F820" s="29" t="s">
        <v>372</v>
      </c>
      <c r="G820">
        <v>12</v>
      </c>
      <c r="H820" t="s">
        <v>323</v>
      </c>
      <c r="I820" t="s">
        <v>45</v>
      </c>
      <c r="J820" t="s">
        <v>325</v>
      </c>
      <c r="K820" t="s">
        <v>285</v>
      </c>
      <c r="L820" t="s">
        <v>327</v>
      </c>
    </row>
    <row r="821" spans="1:12">
      <c r="A821" t="s">
        <v>318</v>
      </c>
      <c r="B821" t="s">
        <v>319</v>
      </c>
      <c r="C821" t="s">
        <v>966</v>
      </c>
      <c r="D821" s="28">
        <v>7610900082744</v>
      </c>
      <c r="E821" s="29" t="s">
        <v>371</v>
      </c>
      <c r="F821" s="29" t="s">
        <v>372</v>
      </c>
      <c r="G821">
        <v>8</v>
      </c>
      <c r="H821" t="s">
        <v>323</v>
      </c>
      <c r="I821" t="s">
        <v>45</v>
      </c>
      <c r="J821" t="s">
        <v>325</v>
      </c>
      <c r="K821" t="s">
        <v>285</v>
      </c>
      <c r="L821" t="s">
        <v>327</v>
      </c>
    </row>
    <row r="822" spans="1:12">
      <c r="A822" t="s">
        <v>318</v>
      </c>
      <c r="B822" t="s">
        <v>319</v>
      </c>
      <c r="C822" t="s">
        <v>967</v>
      </c>
      <c r="D822" s="28">
        <v>7610900082746</v>
      </c>
      <c r="E822" s="29" t="s">
        <v>371</v>
      </c>
      <c r="F822" s="29" t="s">
        <v>372</v>
      </c>
      <c r="G822">
        <v>12</v>
      </c>
      <c r="H822" t="s">
        <v>323</v>
      </c>
      <c r="I822" t="s">
        <v>45</v>
      </c>
      <c r="J822" t="s">
        <v>325</v>
      </c>
      <c r="K822" t="s">
        <v>285</v>
      </c>
      <c r="L822" t="s">
        <v>327</v>
      </c>
    </row>
    <row r="823" spans="1:12">
      <c r="A823" t="s">
        <v>318</v>
      </c>
      <c r="B823" t="s">
        <v>319</v>
      </c>
      <c r="C823" t="s">
        <v>493</v>
      </c>
      <c r="D823" s="28">
        <v>7610900084766</v>
      </c>
      <c r="E823" s="29" t="s">
        <v>371</v>
      </c>
      <c r="F823" s="29" t="s">
        <v>372</v>
      </c>
      <c r="G823">
        <v>8</v>
      </c>
      <c r="H823" t="s">
        <v>323</v>
      </c>
      <c r="I823" t="s">
        <v>45</v>
      </c>
      <c r="J823" t="s">
        <v>325</v>
      </c>
      <c r="K823" t="s">
        <v>285</v>
      </c>
      <c r="L823" t="s">
        <v>327</v>
      </c>
    </row>
    <row r="824" spans="1:12">
      <c r="A824" t="s">
        <v>318</v>
      </c>
      <c r="B824" t="s">
        <v>319</v>
      </c>
      <c r="C824" t="s">
        <v>442</v>
      </c>
      <c r="D824" s="28">
        <v>7610900084767</v>
      </c>
      <c r="E824" s="29" t="s">
        <v>371</v>
      </c>
      <c r="F824" s="29" t="s">
        <v>372</v>
      </c>
      <c r="G824">
        <v>8</v>
      </c>
      <c r="H824" t="s">
        <v>323</v>
      </c>
      <c r="I824" t="s">
        <v>45</v>
      </c>
      <c r="J824" t="s">
        <v>325</v>
      </c>
      <c r="K824" t="s">
        <v>285</v>
      </c>
      <c r="L824" t="s">
        <v>327</v>
      </c>
    </row>
    <row r="825" spans="1:12">
      <c r="A825" t="s">
        <v>318</v>
      </c>
      <c r="B825" t="s">
        <v>319</v>
      </c>
      <c r="C825" t="s">
        <v>968</v>
      </c>
      <c r="D825" s="28">
        <v>7610900084769</v>
      </c>
      <c r="E825" s="29" t="s">
        <v>371</v>
      </c>
      <c r="F825" s="29" t="s">
        <v>372</v>
      </c>
      <c r="G825">
        <v>8</v>
      </c>
      <c r="H825" t="s">
        <v>323</v>
      </c>
      <c r="I825" t="s">
        <v>324</v>
      </c>
      <c r="J825" t="s">
        <v>325</v>
      </c>
      <c r="K825" t="s">
        <v>285</v>
      </c>
      <c r="L825" t="s">
        <v>327</v>
      </c>
    </row>
    <row r="826" spans="1:12">
      <c r="A826" t="s">
        <v>318</v>
      </c>
      <c r="B826" t="s">
        <v>319</v>
      </c>
      <c r="C826" t="s">
        <v>969</v>
      </c>
      <c r="D826" s="28">
        <v>7610900084770</v>
      </c>
      <c r="E826" s="29" t="s">
        <v>371</v>
      </c>
      <c r="F826" s="29" t="s">
        <v>372</v>
      </c>
      <c r="G826">
        <v>11</v>
      </c>
      <c r="H826" t="s">
        <v>323</v>
      </c>
      <c r="I826" t="s">
        <v>45</v>
      </c>
      <c r="J826" t="s">
        <v>325</v>
      </c>
      <c r="K826" t="s">
        <v>285</v>
      </c>
      <c r="L826" t="s">
        <v>327</v>
      </c>
    </row>
    <row r="827" spans="1:12">
      <c r="A827" t="s">
        <v>318</v>
      </c>
      <c r="B827" t="s">
        <v>319</v>
      </c>
      <c r="C827" t="s">
        <v>970</v>
      </c>
      <c r="D827" s="28">
        <v>7610900084773</v>
      </c>
      <c r="E827" s="29" t="s">
        <v>371</v>
      </c>
      <c r="F827" s="29" t="s">
        <v>372</v>
      </c>
      <c r="G827">
        <v>8</v>
      </c>
      <c r="H827" t="s">
        <v>323</v>
      </c>
      <c r="I827" t="s">
        <v>45</v>
      </c>
      <c r="J827" t="s">
        <v>325</v>
      </c>
      <c r="K827" t="s">
        <v>285</v>
      </c>
      <c r="L827" t="s">
        <v>327</v>
      </c>
    </row>
    <row r="828" spans="1:12">
      <c r="A828" t="s">
        <v>318</v>
      </c>
      <c r="B828" t="s">
        <v>319</v>
      </c>
      <c r="C828" t="s">
        <v>971</v>
      </c>
      <c r="D828" s="28">
        <v>7610900084774</v>
      </c>
      <c r="E828" s="29" t="s">
        <v>371</v>
      </c>
      <c r="F828" s="29" t="s">
        <v>372</v>
      </c>
      <c r="G828">
        <v>13</v>
      </c>
      <c r="H828" t="s">
        <v>323</v>
      </c>
      <c r="I828" t="s">
        <v>45</v>
      </c>
      <c r="J828" t="s">
        <v>325</v>
      </c>
      <c r="K828" t="s">
        <v>285</v>
      </c>
      <c r="L828" t="s">
        <v>327</v>
      </c>
    </row>
    <row r="829" spans="1:12">
      <c r="A829" t="s">
        <v>318</v>
      </c>
      <c r="B829" t="s">
        <v>319</v>
      </c>
      <c r="C829" t="s">
        <v>972</v>
      </c>
      <c r="D829" s="28">
        <v>7610900084777</v>
      </c>
      <c r="E829" s="29" t="s">
        <v>371</v>
      </c>
      <c r="F829" s="29" t="s">
        <v>372</v>
      </c>
      <c r="G829">
        <v>8</v>
      </c>
      <c r="H829" t="s">
        <v>323</v>
      </c>
      <c r="I829" t="s">
        <v>45</v>
      </c>
      <c r="J829" t="s">
        <v>325</v>
      </c>
      <c r="K829" t="s">
        <v>285</v>
      </c>
      <c r="L829" t="s">
        <v>327</v>
      </c>
    </row>
    <row r="830" spans="1:12">
      <c r="A830" t="s">
        <v>318</v>
      </c>
      <c r="B830" t="s">
        <v>319</v>
      </c>
      <c r="C830" t="s">
        <v>973</v>
      </c>
      <c r="D830" s="28">
        <v>7610900084779</v>
      </c>
      <c r="E830" s="29" t="s">
        <v>371</v>
      </c>
      <c r="F830" s="29" t="s">
        <v>372</v>
      </c>
      <c r="G830">
        <v>7</v>
      </c>
      <c r="H830" t="s">
        <v>323</v>
      </c>
      <c r="I830" t="s">
        <v>45</v>
      </c>
      <c r="J830" t="s">
        <v>325</v>
      </c>
      <c r="K830" t="s">
        <v>285</v>
      </c>
      <c r="L830" t="s">
        <v>327</v>
      </c>
    </row>
    <row r="831" spans="1:12">
      <c r="A831" t="s">
        <v>318</v>
      </c>
      <c r="B831" t="s">
        <v>319</v>
      </c>
      <c r="C831" t="s">
        <v>710</v>
      </c>
      <c r="D831" s="28">
        <v>7610900084783</v>
      </c>
      <c r="E831" s="29" t="s">
        <v>371</v>
      </c>
      <c r="F831" s="29" t="s">
        <v>372</v>
      </c>
      <c r="G831">
        <v>7</v>
      </c>
      <c r="H831" t="s">
        <v>323</v>
      </c>
      <c r="I831" t="s">
        <v>45</v>
      </c>
      <c r="J831" t="s">
        <v>325</v>
      </c>
      <c r="K831" t="s">
        <v>285</v>
      </c>
      <c r="L831" t="s">
        <v>327</v>
      </c>
    </row>
    <row r="832" spans="1:12">
      <c r="A832" t="s">
        <v>318</v>
      </c>
      <c r="B832" t="s">
        <v>319</v>
      </c>
      <c r="C832" t="s">
        <v>974</v>
      </c>
      <c r="D832" s="28">
        <v>7610900084785</v>
      </c>
      <c r="E832" s="29" t="s">
        <v>371</v>
      </c>
      <c r="F832" s="29" t="s">
        <v>372</v>
      </c>
      <c r="G832">
        <v>7</v>
      </c>
      <c r="H832" t="s">
        <v>323</v>
      </c>
      <c r="I832" t="s">
        <v>45</v>
      </c>
      <c r="J832" t="s">
        <v>325</v>
      </c>
      <c r="K832" t="s">
        <v>285</v>
      </c>
      <c r="L832" t="s">
        <v>327</v>
      </c>
    </row>
    <row r="833" spans="1:12">
      <c r="A833" t="s">
        <v>318</v>
      </c>
      <c r="B833" t="s">
        <v>319</v>
      </c>
      <c r="C833" t="s">
        <v>970</v>
      </c>
      <c r="D833" s="28">
        <v>7610900084791</v>
      </c>
      <c r="E833" s="29" t="s">
        <v>371</v>
      </c>
      <c r="F833" s="29" t="s">
        <v>372</v>
      </c>
      <c r="G833">
        <v>9</v>
      </c>
      <c r="H833" t="s">
        <v>323</v>
      </c>
      <c r="I833" t="s">
        <v>45</v>
      </c>
      <c r="J833" t="s">
        <v>325</v>
      </c>
      <c r="K833" t="s">
        <v>285</v>
      </c>
      <c r="L833" t="s">
        <v>327</v>
      </c>
    </row>
    <row r="834" spans="1:12">
      <c r="A834" t="s">
        <v>318</v>
      </c>
      <c r="B834" t="s">
        <v>319</v>
      </c>
      <c r="C834" t="s">
        <v>571</v>
      </c>
      <c r="D834" s="28">
        <v>7610900084795</v>
      </c>
      <c r="E834" s="29" t="s">
        <v>371</v>
      </c>
      <c r="F834" s="29" t="s">
        <v>372</v>
      </c>
      <c r="G834">
        <v>13</v>
      </c>
      <c r="H834" t="s">
        <v>323</v>
      </c>
      <c r="I834" t="s">
        <v>45</v>
      </c>
      <c r="J834" t="s">
        <v>325</v>
      </c>
      <c r="K834" t="s">
        <v>285</v>
      </c>
      <c r="L834" t="s">
        <v>327</v>
      </c>
    </row>
    <row r="835" spans="1:12">
      <c r="A835" t="s">
        <v>318</v>
      </c>
      <c r="B835" t="s">
        <v>319</v>
      </c>
      <c r="C835" t="s">
        <v>975</v>
      </c>
      <c r="D835" s="28">
        <v>7610900084799</v>
      </c>
      <c r="E835" s="29" t="s">
        <v>371</v>
      </c>
      <c r="F835" s="29" t="s">
        <v>372</v>
      </c>
      <c r="G835">
        <v>13</v>
      </c>
      <c r="H835" t="s">
        <v>323</v>
      </c>
      <c r="I835" t="s">
        <v>45</v>
      </c>
      <c r="J835" t="s">
        <v>325</v>
      </c>
      <c r="K835" t="s">
        <v>285</v>
      </c>
      <c r="L835" t="s">
        <v>327</v>
      </c>
    </row>
    <row r="836" spans="1:12">
      <c r="A836" t="s">
        <v>318</v>
      </c>
      <c r="B836" t="s">
        <v>319</v>
      </c>
      <c r="C836" t="s">
        <v>889</v>
      </c>
      <c r="D836" s="28">
        <v>7610900084804</v>
      </c>
      <c r="E836" s="29" t="s">
        <v>371</v>
      </c>
      <c r="F836" s="29" t="s">
        <v>372</v>
      </c>
      <c r="G836">
        <v>13</v>
      </c>
      <c r="H836" t="s">
        <v>323</v>
      </c>
      <c r="I836" t="s">
        <v>45</v>
      </c>
      <c r="J836" t="s">
        <v>325</v>
      </c>
      <c r="K836" t="s">
        <v>285</v>
      </c>
      <c r="L836" t="s">
        <v>327</v>
      </c>
    </row>
    <row r="837" spans="1:12">
      <c r="A837" t="s">
        <v>318</v>
      </c>
      <c r="B837" t="s">
        <v>319</v>
      </c>
      <c r="C837" t="s">
        <v>511</v>
      </c>
      <c r="D837" s="28">
        <v>7610900084806</v>
      </c>
      <c r="E837" s="29" t="s">
        <v>371</v>
      </c>
      <c r="F837" s="29" t="s">
        <v>372</v>
      </c>
      <c r="G837">
        <v>7</v>
      </c>
      <c r="H837" t="s">
        <v>323</v>
      </c>
      <c r="I837" t="s">
        <v>45</v>
      </c>
      <c r="J837" t="s">
        <v>325</v>
      </c>
      <c r="K837" t="s">
        <v>285</v>
      </c>
      <c r="L837" t="s">
        <v>327</v>
      </c>
    </row>
    <row r="838" spans="1:12">
      <c r="A838" t="s">
        <v>318</v>
      </c>
      <c r="B838" t="s">
        <v>319</v>
      </c>
      <c r="C838" t="s">
        <v>385</v>
      </c>
      <c r="D838" s="28">
        <v>7610900084807</v>
      </c>
      <c r="E838" s="29" t="s">
        <v>371</v>
      </c>
      <c r="F838" s="29" t="s">
        <v>372</v>
      </c>
      <c r="G838">
        <v>10</v>
      </c>
      <c r="H838" t="s">
        <v>323</v>
      </c>
      <c r="I838" t="s">
        <v>45</v>
      </c>
      <c r="J838" t="s">
        <v>325</v>
      </c>
      <c r="K838" t="s">
        <v>285</v>
      </c>
      <c r="L838" t="s">
        <v>327</v>
      </c>
    </row>
    <row r="839" spans="1:12">
      <c r="A839" t="s">
        <v>318</v>
      </c>
      <c r="B839" t="s">
        <v>319</v>
      </c>
      <c r="C839" t="s">
        <v>976</v>
      </c>
      <c r="D839" s="28">
        <v>7610900084814</v>
      </c>
      <c r="E839" s="29" t="s">
        <v>371</v>
      </c>
      <c r="F839" s="29" t="s">
        <v>372</v>
      </c>
      <c r="G839">
        <v>8</v>
      </c>
      <c r="H839" t="s">
        <v>323</v>
      </c>
      <c r="I839" t="s">
        <v>45</v>
      </c>
      <c r="J839" t="s">
        <v>325</v>
      </c>
      <c r="K839" t="s">
        <v>285</v>
      </c>
      <c r="L839" t="s">
        <v>327</v>
      </c>
    </row>
    <row r="840" spans="1:12">
      <c r="A840" t="s">
        <v>318</v>
      </c>
      <c r="B840" t="s">
        <v>319</v>
      </c>
      <c r="C840" t="s">
        <v>977</v>
      </c>
      <c r="D840" s="28">
        <v>7610900084816</v>
      </c>
      <c r="E840" s="29" t="s">
        <v>371</v>
      </c>
      <c r="F840" s="29" t="s">
        <v>372</v>
      </c>
      <c r="G840">
        <v>12</v>
      </c>
      <c r="H840" t="s">
        <v>323</v>
      </c>
      <c r="I840" t="s">
        <v>45</v>
      </c>
      <c r="J840" t="s">
        <v>325</v>
      </c>
      <c r="K840" t="s">
        <v>285</v>
      </c>
      <c r="L840" t="s">
        <v>327</v>
      </c>
    </row>
    <row r="841" spans="1:12">
      <c r="A841" t="s">
        <v>318</v>
      </c>
      <c r="B841" t="s">
        <v>319</v>
      </c>
      <c r="C841" t="s">
        <v>978</v>
      </c>
      <c r="D841" s="28">
        <v>7610900086568</v>
      </c>
      <c r="E841" s="29" t="s">
        <v>371</v>
      </c>
      <c r="F841" s="29" t="s">
        <v>372</v>
      </c>
      <c r="G841">
        <v>7</v>
      </c>
      <c r="H841" t="s">
        <v>323</v>
      </c>
      <c r="I841" t="s">
        <v>45</v>
      </c>
      <c r="J841" t="s">
        <v>325</v>
      </c>
      <c r="K841" t="s">
        <v>285</v>
      </c>
      <c r="L841" t="s">
        <v>327</v>
      </c>
    </row>
    <row r="842" spans="1:12">
      <c r="A842" t="s">
        <v>318</v>
      </c>
      <c r="B842" t="s">
        <v>319</v>
      </c>
      <c r="C842" t="s">
        <v>979</v>
      </c>
      <c r="D842" s="28">
        <v>7610900086590</v>
      </c>
      <c r="E842" s="29" t="s">
        <v>371</v>
      </c>
      <c r="F842" s="29" t="s">
        <v>372</v>
      </c>
      <c r="G842">
        <v>8</v>
      </c>
      <c r="H842" t="s">
        <v>323</v>
      </c>
      <c r="I842" t="s">
        <v>45</v>
      </c>
      <c r="J842" t="s">
        <v>325</v>
      </c>
      <c r="K842" t="s">
        <v>285</v>
      </c>
      <c r="L842" t="s">
        <v>327</v>
      </c>
    </row>
    <row r="843" spans="1:12">
      <c r="A843" t="s">
        <v>318</v>
      </c>
      <c r="B843" t="s">
        <v>319</v>
      </c>
      <c r="C843" t="s">
        <v>980</v>
      </c>
      <c r="D843" s="28">
        <v>7610900086596</v>
      </c>
      <c r="E843" s="29" t="s">
        <v>371</v>
      </c>
      <c r="F843" s="29" t="s">
        <v>372</v>
      </c>
      <c r="G843">
        <v>8</v>
      </c>
      <c r="H843" t="s">
        <v>323</v>
      </c>
      <c r="I843" t="s">
        <v>45</v>
      </c>
      <c r="J843" t="s">
        <v>325</v>
      </c>
      <c r="K843" t="s">
        <v>285</v>
      </c>
      <c r="L843" t="s">
        <v>327</v>
      </c>
    </row>
    <row r="844" spans="1:12">
      <c r="A844" t="s">
        <v>318</v>
      </c>
      <c r="B844" t="s">
        <v>319</v>
      </c>
      <c r="C844" t="s">
        <v>388</v>
      </c>
      <c r="D844" s="28">
        <v>7610900091387</v>
      </c>
      <c r="E844" s="29" t="s">
        <v>371</v>
      </c>
      <c r="F844" s="29" t="s">
        <v>372</v>
      </c>
      <c r="G844">
        <v>7</v>
      </c>
      <c r="H844" t="s">
        <v>323</v>
      </c>
      <c r="I844" t="s">
        <v>45</v>
      </c>
      <c r="J844" t="s">
        <v>325</v>
      </c>
      <c r="K844" t="s">
        <v>285</v>
      </c>
      <c r="L844" t="s">
        <v>327</v>
      </c>
    </row>
    <row r="845" spans="1:12">
      <c r="A845" t="s">
        <v>318</v>
      </c>
      <c r="B845" t="s">
        <v>319</v>
      </c>
      <c r="C845" t="s">
        <v>659</v>
      </c>
      <c r="D845" s="28">
        <v>7610900091389</v>
      </c>
      <c r="E845" s="29" t="s">
        <v>371</v>
      </c>
      <c r="F845" s="29" t="s">
        <v>372</v>
      </c>
      <c r="G845">
        <v>7</v>
      </c>
      <c r="H845" t="s">
        <v>323</v>
      </c>
      <c r="I845" t="s">
        <v>45</v>
      </c>
      <c r="J845" t="s">
        <v>325</v>
      </c>
      <c r="K845" t="s">
        <v>285</v>
      </c>
      <c r="L845" t="s">
        <v>327</v>
      </c>
    </row>
    <row r="846" spans="1:12">
      <c r="A846" t="s">
        <v>318</v>
      </c>
      <c r="B846" t="s">
        <v>319</v>
      </c>
      <c r="C846" t="s">
        <v>665</v>
      </c>
      <c r="D846" s="28">
        <v>7610900091393</v>
      </c>
      <c r="E846" s="29" t="s">
        <v>371</v>
      </c>
      <c r="F846" s="29" t="s">
        <v>372</v>
      </c>
      <c r="G846">
        <v>9</v>
      </c>
      <c r="H846" t="s">
        <v>323</v>
      </c>
      <c r="I846" t="s">
        <v>45</v>
      </c>
      <c r="J846" t="s">
        <v>325</v>
      </c>
      <c r="K846" t="s">
        <v>285</v>
      </c>
      <c r="L846" t="s">
        <v>327</v>
      </c>
    </row>
    <row r="847" spans="1:12">
      <c r="A847" t="s">
        <v>318</v>
      </c>
      <c r="B847" t="s">
        <v>319</v>
      </c>
      <c r="C847" t="s">
        <v>981</v>
      </c>
      <c r="D847" s="28">
        <v>7610900091396</v>
      </c>
      <c r="E847" s="29" t="s">
        <v>371</v>
      </c>
      <c r="F847" s="29" t="s">
        <v>372</v>
      </c>
      <c r="G847">
        <v>8</v>
      </c>
      <c r="H847" t="s">
        <v>323</v>
      </c>
      <c r="I847" t="s">
        <v>45</v>
      </c>
      <c r="J847" t="s">
        <v>325</v>
      </c>
      <c r="K847" t="s">
        <v>285</v>
      </c>
      <c r="L847" t="s">
        <v>327</v>
      </c>
    </row>
    <row r="848" spans="1:12">
      <c r="A848" t="s">
        <v>318</v>
      </c>
      <c r="B848" t="s">
        <v>319</v>
      </c>
      <c r="C848" t="s">
        <v>565</v>
      </c>
      <c r="D848" s="28">
        <v>7610900091433</v>
      </c>
      <c r="E848" s="29" t="s">
        <v>371</v>
      </c>
      <c r="F848" s="29" t="s">
        <v>372</v>
      </c>
      <c r="G848">
        <v>6</v>
      </c>
      <c r="H848" t="s">
        <v>323</v>
      </c>
      <c r="I848" t="s">
        <v>45</v>
      </c>
      <c r="J848" t="s">
        <v>325</v>
      </c>
      <c r="K848" t="s">
        <v>285</v>
      </c>
      <c r="L848" t="s">
        <v>327</v>
      </c>
    </row>
    <row r="849" spans="1:12">
      <c r="A849" t="s">
        <v>318</v>
      </c>
      <c r="B849" t="s">
        <v>319</v>
      </c>
      <c r="C849" t="s">
        <v>488</v>
      </c>
      <c r="D849" s="28">
        <v>7610900091437</v>
      </c>
      <c r="E849" s="29" t="s">
        <v>371</v>
      </c>
      <c r="F849" s="29" t="s">
        <v>372</v>
      </c>
      <c r="G849">
        <v>12</v>
      </c>
      <c r="H849" t="s">
        <v>323</v>
      </c>
      <c r="I849" t="s">
        <v>45</v>
      </c>
      <c r="J849" t="s">
        <v>325</v>
      </c>
      <c r="K849" t="s">
        <v>285</v>
      </c>
      <c r="L849" t="s">
        <v>327</v>
      </c>
    </row>
    <row r="850" spans="1:12">
      <c r="A850" t="s">
        <v>318</v>
      </c>
      <c r="B850" t="s">
        <v>319</v>
      </c>
      <c r="C850" t="s">
        <v>982</v>
      </c>
      <c r="D850" s="28">
        <v>7610900091438</v>
      </c>
      <c r="E850" s="29" t="s">
        <v>371</v>
      </c>
      <c r="F850" s="29" t="s">
        <v>372</v>
      </c>
      <c r="G850">
        <v>10</v>
      </c>
      <c r="H850" t="s">
        <v>323</v>
      </c>
      <c r="I850" t="s">
        <v>45</v>
      </c>
      <c r="J850" t="s">
        <v>325</v>
      </c>
      <c r="K850" t="s">
        <v>285</v>
      </c>
      <c r="L850" t="s">
        <v>327</v>
      </c>
    </row>
    <row r="851" spans="1:12">
      <c r="A851" t="s">
        <v>318</v>
      </c>
      <c r="B851" t="s">
        <v>319</v>
      </c>
      <c r="C851" t="s">
        <v>637</v>
      </c>
      <c r="D851" s="28">
        <v>7610900091564</v>
      </c>
      <c r="E851" s="29" t="s">
        <v>371</v>
      </c>
      <c r="F851" s="29" t="s">
        <v>372</v>
      </c>
      <c r="G851">
        <v>8</v>
      </c>
      <c r="H851" t="s">
        <v>323</v>
      </c>
      <c r="I851" t="s">
        <v>45</v>
      </c>
      <c r="J851" t="s">
        <v>325</v>
      </c>
      <c r="K851" t="s">
        <v>285</v>
      </c>
      <c r="L851" t="s">
        <v>327</v>
      </c>
    </row>
    <row r="852" spans="1:12">
      <c r="A852" t="s">
        <v>318</v>
      </c>
      <c r="B852" t="s">
        <v>319</v>
      </c>
      <c r="C852" t="s">
        <v>602</v>
      </c>
      <c r="D852" s="28">
        <v>7610900091565</v>
      </c>
      <c r="E852" s="29" t="s">
        <v>371</v>
      </c>
      <c r="F852" s="29" t="s">
        <v>372</v>
      </c>
      <c r="G852">
        <v>11</v>
      </c>
      <c r="H852" t="s">
        <v>323</v>
      </c>
      <c r="I852" t="s">
        <v>45</v>
      </c>
      <c r="J852" t="s">
        <v>325</v>
      </c>
      <c r="K852" t="s">
        <v>285</v>
      </c>
      <c r="L852" t="s">
        <v>327</v>
      </c>
    </row>
    <row r="853" spans="1:12">
      <c r="A853" t="s">
        <v>318</v>
      </c>
      <c r="B853" t="s">
        <v>319</v>
      </c>
      <c r="C853" t="s">
        <v>983</v>
      </c>
      <c r="D853" s="28">
        <v>7610900091569</v>
      </c>
      <c r="E853" s="29" t="s">
        <v>371</v>
      </c>
      <c r="F853" s="29" t="s">
        <v>372</v>
      </c>
      <c r="G853">
        <v>11</v>
      </c>
      <c r="H853" t="s">
        <v>323</v>
      </c>
      <c r="I853" t="s">
        <v>45</v>
      </c>
      <c r="J853" t="s">
        <v>325</v>
      </c>
      <c r="K853" t="s">
        <v>285</v>
      </c>
      <c r="L853" t="s">
        <v>327</v>
      </c>
    </row>
    <row r="854" spans="1:12">
      <c r="A854" t="s">
        <v>318</v>
      </c>
      <c r="B854" t="s">
        <v>319</v>
      </c>
      <c r="C854" t="s">
        <v>439</v>
      </c>
      <c r="D854" s="28">
        <v>7610900091573</v>
      </c>
      <c r="E854" s="29" t="s">
        <v>371</v>
      </c>
      <c r="F854" s="29" t="s">
        <v>372</v>
      </c>
      <c r="G854">
        <v>12</v>
      </c>
      <c r="H854" t="s">
        <v>323</v>
      </c>
      <c r="I854" t="s">
        <v>45</v>
      </c>
      <c r="J854" t="s">
        <v>325</v>
      </c>
      <c r="K854" t="s">
        <v>285</v>
      </c>
      <c r="L854" t="s">
        <v>327</v>
      </c>
    </row>
    <row r="855" spans="1:12">
      <c r="A855" t="s">
        <v>318</v>
      </c>
      <c r="B855" t="s">
        <v>319</v>
      </c>
      <c r="C855" t="s">
        <v>855</v>
      </c>
      <c r="D855" s="28">
        <v>7610900091576</v>
      </c>
      <c r="E855" s="29" t="s">
        <v>371</v>
      </c>
      <c r="F855" s="29" t="s">
        <v>372</v>
      </c>
      <c r="G855">
        <v>7</v>
      </c>
      <c r="H855" t="s">
        <v>323</v>
      </c>
      <c r="I855" t="s">
        <v>324</v>
      </c>
      <c r="J855" t="s">
        <v>325</v>
      </c>
      <c r="K855" t="s">
        <v>285</v>
      </c>
      <c r="L855" t="s">
        <v>327</v>
      </c>
    </row>
    <row r="856" spans="1:12">
      <c r="A856" t="s">
        <v>318</v>
      </c>
      <c r="B856" t="s">
        <v>319</v>
      </c>
      <c r="C856" t="s">
        <v>984</v>
      </c>
      <c r="D856" s="28">
        <v>7610900091587</v>
      </c>
      <c r="E856" s="29" t="s">
        <v>371</v>
      </c>
      <c r="F856" s="29" t="s">
        <v>372</v>
      </c>
      <c r="G856">
        <v>13</v>
      </c>
      <c r="H856" t="s">
        <v>323</v>
      </c>
      <c r="I856" t="s">
        <v>45</v>
      </c>
      <c r="J856" t="s">
        <v>325</v>
      </c>
      <c r="K856" t="s">
        <v>285</v>
      </c>
      <c r="L856" t="s">
        <v>327</v>
      </c>
    </row>
    <row r="857" spans="1:12">
      <c r="A857" t="s">
        <v>318</v>
      </c>
      <c r="B857" t="s">
        <v>319</v>
      </c>
      <c r="C857" t="s">
        <v>985</v>
      </c>
      <c r="D857" s="28">
        <v>7610900117062</v>
      </c>
      <c r="E857" s="29" t="s">
        <v>371</v>
      </c>
      <c r="F857" s="29" t="s">
        <v>372</v>
      </c>
      <c r="G857">
        <v>12</v>
      </c>
      <c r="H857" t="s">
        <v>323</v>
      </c>
      <c r="I857" t="s">
        <v>45</v>
      </c>
      <c r="J857" t="s">
        <v>325</v>
      </c>
      <c r="K857" t="s">
        <v>285</v>
      </c>
      <c r="L857" t="s">
        <v>327</v>
      </c>
    </row>
    <row r="858" spans="1:12">
      <c r="A858" t="s">
        <v>318</v>
      </c>
      <c r="B858" t="s">
        <v>319</v>
      </c>
      <c r="C858" t="s">
        <v>955</v>
      </c>
      <c r="D858" s="28">
        <v>761091112422</v>
      </c>
      <c r="E858" s="29" t="s">
        <v>371</v>
      </c>
      <c r="F858" s="29" t="s">
        <v>372</v>
      </c>
      <c r="G858">
        <v>9</v>
      </c>
      <c r="H858" t="s">
        <v>323</v>
      </c>
      <c r="I858" t="s">
        <v>45</v>
      </c>
      <c r="J858" t="s">
        <v>325</v>
      </c>
      <c r="K858" t="s">
        <v>285</v>
      </c>
      <c r="L858" t="s">
        <v>327</v>
      </c>
    </row>
    <row r="859" spans="1:12">
      <c r="A859" t="s">
        <v>318</v>
      </c>
      <c r="B859" t="s">
        <v>319</v>
      </c>
      <c r="C859" t="s">
        <v>377</v>
      </c>
      <c r="D859" s="28">
        <v>761091112900</v>
      </c>
      <c r="E859" s="29" t="s">
        <v>371</v>
      </c>
      <c r="F859" s="29" t="s">
        <v>372</v>
      </c>
      <c r="G859">
        <v>12</v>
      </c>
      <c r="H859" t="s">
        <v>323</v>
      </c>
      <c r="I859" t="s">
        <v>45</v>
      </c>
      <c r="J859" t="s">
        <v>325</v>
      </c>
      <c r="K859" t="s">
        <v>285</v>
      </c>
      <c r="L859" t="s">
        <v>327</v>
      </c>
    </row>
    <row r="860" spans="1:12">
      <c r="A860" t="s">
        <v>318</v>
      </c>
      <c r="B860" t="s">
        <v>319</v>
      </c>
      <c r="C860" t="s">
        <v>986</v>
      </c>
      <c r="D860" s="28">
        <v>7610900056143</v>
      </c>
      <c r="E860" s="29" t="s">
        <v>987</v>
      </c>
      <c r="F860" s="29" t="s">
        <v>364</v>
      </c>
      <c r="G860">
        <v>210</v>
      </c>
      <c r="H860" t="s">
        <v>323</v>
      </c>
      <c r="I860" t="s">
        <v>45</v>
      </c>
      <c r="J860" t="s">
        <v>325</v>
      </c>
      <c r="K860" t="s">
        <v>394</v>
      </c>
      <c r="L860" t="s">
        <v>327</v>
      </c>
    </row>
    <row r="861" spans="1:12">
      <c r="A861" t="s">
        <v>318</v>
      </c>
      <c r="B861" t="s">
        <v>319</v>
      </c>
      <c r="C861" t="s">
        <v>988</v>
      </c>
      <c r="D861" s="28">
        <v>7610900056056</v>
      </c>
      <c r="E861" s="29" t="s">
        <v>987</v>
      </c>
      <c r="F861" s="29" t="s">
        <v>364</v>
      </c>
      <c r="G861">
        <v>240</v>
      </c>
      <c r="H861" t="s">
        <v>323</v>
      </c>
      <c r="I861" t="s">
        <v>45</v>
      </c>
      <c r="J861" t="s">
        <v>325</v>
      </c>
      <c r="K861" t="s">
        <v>989</v>
      </c>
      <c r="L861" t="s">
        <v>327</v>
      </c>
    </row>
    <row r="862" spans="1:12">
      <c r="A862" t="s">
        <v>318</v>
      </c>
      <c r="B862" t="s">
        <v>319</v>
      </c>
      <c r="C862" t="s">
        <v>990</v>
      </c>
      <c r="D862" s="28">
        <v>7610900047843</v>
      </c>
      <c r="E862" s="29" t="s">
        <v>987</v>
      </c>
      <c r="F862" s="29" t="s">
        <v>364</v>
      </c>
      <c r="G862">
        <v>280</v>
      </c>
      <c r="H862" t="s">
        <v>323</v>
      </c>
      <c r="I862" t="s">
        <v>45</v>
      </c>
      <c r="J862" t="s">
        <v>325</v>
      </c>
      <c r="K862" t="s">
        <v>337</v>
      </c>
      <c r="L862" t="s">
        <v>327</v>
      </c>
    </row>
    <row r="863" spans="1:12">
      <c r="A863" t="s">
        <v>318</v>
      </c>
      <c r="B863" t="s">
        <v>319</v>
      </c>
      <c r="C863" t="s">
        <v>991</v>
      </c>
      <c r="D863" s="28">
        <v>7610900056034</v>
      </c>
      <c r="E863" s="29" t="s">
        <v>987</v>
      </c>
      <c r="F863" s="29" t="s">
        <v>364</v>
      </c>
      <c r="G863">
        <v>215</v>
      </c>
      <c r="H863" t="s">
        <v>323</v>
      </c>
      <c r="I863" t="s">
        <v>45</v>
      </c>
      <c r="J863" t="s">
        <v>325</v>
      </c>
      <c r="K863" t="s">
        <v>394</v>
      </c>
      <c r="L863" t="s">
        <v>327</v>
      </c>
    </row>
    <row r="864" spans="1:12">
      <c r="A864" t="s">
        <v>318</v>
      </c>
      <c r="B864" t="s">
        <v>319</v>
      </c>
      <c r="C864" t="s">
        <v>992</v>
      </c>
      <c r="D864" s="28">
        <v>7610900056047</v>
      </c>
      <c r="E864" s="29" t="s">
        <v>987</v>
      </c>
      <c r="F864" s="29" t="s">
        <v>364</v>
      </c>
      <c r="G864">
        <v>300</v>
      </c>
      <c r="H864" t="s">
        <v>323</v>
      </c>
      <c r="I864" t="s">
        <v>45</v>
      </c>
      <c r="J864" t="s">
        <v>325</v>
      </c>
      <c r="K864" t="s">
        <v>394</v>
      </c>
      <c r="L864" t="s">
        <v>327</v>
      </c>
    </row>
    <row r="865" spans="1:12">
      <c r="A865" t="s">
        <v>318</v>
      </c>
      <c r="B865" t="s">
        <v>319</v>
      </c>
      <c r="C865" t="s">
        <v>513</v>
      </c>
      <c r="D865" s="28">
        <v>7610900056150</v>
      </c>
      <c r="E865" s="29" t="s">
        <v>371</v>
      </c>
      <c r="F865" s="29" t="s">
        <v>372</v>
      </c>
      <c r="G865">
        <v>12</v>
      </c>
      <c r="H865" t="s">
        <v>323</v>
      </c>
      <c r="I865" t="s">
        <v>45</v>
      </c>
      <c r="J865" t="s">
        <v>325</v>
      </c>
      <c r="K865" t="s">
        <v>285</v>
      </c>
      <c r="L865" t="s">
        <v>327</v>
      </c>
    </row>
    <row r="866" spans="1:12">
      <c r="A866" t="s">
        <v>318</v>
      </c>
      <c r="B866" t="s">
        <v>319</v>
      </c>
      <c r="C866" t="s">
        <v>993</v>
      </c>
      <c r="D866" s="28">
        <v>7610900057792</v>
      </c>
      <c r="E866" s="29" t="s">
        <v>529</v>
      </c>
      <c r="F866" s="29" t="s">
        <v>372</v>
      </c>
      <c r="G866">
        <v>14</v>
      </c>
      <c r="H866" t="s">
        <v>323</v>
      </c>
      <c r="I866" t="s">
        <v>45</v>
      </c>
      <c r="J866" t="s">
        <v>325</v>
      </c>
      <c r="K866" t="s">
        <v>285</v>
      </c>
      <c r="L866" t="s">
        <v>327</v>
      </c>
    </row>
    <row r="867" spans="1:12">
      <c r="A867" t="s">
        <v>318</v>
      </c>
      <c r="B867" t="s">
        <v>319</v>
      </c>
      <c r="C867" t="s">
        <v>994</v>
      </c>
      <c r="D867" s="28">
        <v>7610900057824</v>
      </c>
      <c r="E867" s="29" t="s">
        <v>529</v>
      </c>
      <c r="F867" s="29" t="s">
        <v>372</v>
      </c>
      <c r="G867">
        <v>15</v>
      </c>
      <c r="H867" t="s">
        <v>323</v>
      </c>
      <c r="I867" t="s">
        <v>45</v>
      </c>
      <c r="J867" t="s">
        <v>325</v>
      </c>
      <c r="K867" t="s">
        <v>285</v>
      </c>
      <c r="L867" t="s">
        <v>327</v>
      </c>
    </row>
    <row r="868" spans="1:12">
      <c r="A868" t="s">
        <v>318</v>
      </c>
      <c r="B868" t="s">
        <v>319</v>
      </c>
      <c r="C868" t="s">
        <v>995</v>
      </c>
      <c r="D868" s="28">
        <v>7610900057839</v>
      </c>
      <c r="E868" s="29" t="s">
        <v>529</v>
      </c>
      <c r="F868" s="29" t="s">
        <v>372</v>
      </c>
      <c r="G868">
        <v>15</v>
      </c>
      <c r="H868" t="s">
        <v>323</v>
      </c>
      <c r="I868" t="s">
        <v>45</v>
      </c>
      <c r="J868" t="s">
        <v>325</v>
      </c>
      <c r="K868" t="s">
        <v>285</v>
      </c>
      <c r="L868" t="s">
        <v>327</v>
      </c>
    </row>
    <row r="869" spans="1:12">
      <c r="A869" t="s">
        <v>318</v>
      </c>
      <c r="B869" t="s">
        <v>319</v>
      </c>
      <c r="C869" t="s">
        <v>996</v>
      </c>
      <c r="D869" s="28">
        <v>7610900057846</v>
      </c>
      <c r="E869" s="29" t="s">
        <v>529</v>
      </c>
      <c r="F869" s="29" t="s">
        <v>372</v>
      </c>
      <c r="G869">
        <v>14</v>
      </c>
      <c r="H869" t="s">
        <v>323</v>
      </c>
      <c r="I869" t="s">
        <v>45</v>
      </c>
      <c r="J869" t="s">
        <v>325</v>
      </c>
      <c r="K869" t="s">
        <v>285</v>
      </c>
      <c r="L869" t="s">
        <v>327</v>
      </c>
    </row>
    <row r="870" spans="1:12">
      <c r="A870" t="s">
        <v>318</v>
      </c>
      <c r="B870" t="s">
        <v>319</v>
      </c>
      <c r="C870" t="s">
        <v>594</v>
      </c>
      <c r="D870" s="28">
        <v>7610900071725</v>
      </c>
      <c r="E870" s="29" t="s">
        <v>371</v>
      </c>
      <c r="F870" s="29" t="s">
        <v>372</v>
      </c>
      <c r="G870">
        <v>8</v>
      </c>
      <c r="H870" t="s">
        <v>323</v>
      </c>
      <c r="I870" t="s">
        <v>45</v>
      </c>
      <c r="J870" t="s">
        <v>325</v>
      </c>
      <c r="K870" t="s">
        <v>285</v>
      </c>
      <c r="L870" t="s">
        <v>327</v>
      </c>
    </row>
    <row r="871" spans="1:12">
      <c r="A871" t="s">
        <v>318</v>
      </c>
      <c r="B871" t="s">
        <v>319</v>
      </c>
      <c r="C871" t="s">
        <v>997</v>
      </c>
      <c r="D871" s="28">
        <v>7610900071774</v>
      </c>
      <c r="E871" s="29" t="s">
        <v>371</v>
      </c>
      <c r="F871" s="29" t="s">
        <v>372</v>
      </c>
      <c r="G871">
        <v>7</v>
      </c>
      <c r="H871" t="s">
        <v>323</v>
      </c>
      <c r="I871" t="s">
        <v>45</v>
      </c>
      <c r="J871" t="s">
        <v>325</v>
      </c>
      <c r="K871" t="s">
        <v>285</v>
      </c>
      <c r="L871" t="s">
        <v>327</v>
      </c>
    </row>
    <row r="872" spans="1:12">
      <c r="A872" t="s">
        <v>318</v>
      </c>
      <c r="B872" t="s">
        <v>319</v>
      </c>
      <c r="C872" t="s">
        <v>784</v>
      </c>
      <c r="D872" s="28">
        <v>7610900071805</v>
      </c>
      <c r="E872" s="29" t="s">
        <v>371</v>
      </c>
      <c r="F872" s="29" t="s">
        <v>372</v>
      </c>
      <c r="G872">
        <v>7</v>
      </c>
      <c r="H872" t="s">
        <v>323</v>
      </c>
      <c r="I872" t="s">
        <v>45</v>
      </c>
      <c r="J872" t="s">
        <v>325</v>
      </c>
      <c r="K872" t="s">
        <v>285</v>
      </c>
      <c r="L872" t="s">
        <v>327</v>
      </c>
    </row>
    <row r="873" spans="1:12">
      <c r="A873" t="s">
        <v>318</v>
      </c>
      <c r="B873" t="s">
        <v>319</v>
      </c>
      <c r="C873" t="s">
        <v>844</v>
      </c>
      <c r="D873" s="28">
        <v>7610900071962</v>
      </c>
      <c r="E873" s="29" t="s">
        <v>371</v>
      </c>
      <c r="F873" s="29" t="s">
        <v>372</v>
      </c>
      <c r="G873">
        <v>9</v>
      </c>
      <c r="H873" t="s">
        <v>323</v>
      </c>
      <c r="I873" t="s">
        <v>45</v>
      </c>
      <c r="J873" t="s">
        <v>325</v>
      </c>
      <c r="K873" t="s">
        <v>285</v>
      </c>
      <c r="L873" t="s">
        <v>327</v>
      </c>
    </row>
    <row r="874" spans="1:12">
      <c r="A874" t="s">
        <v>318</v>
      </c>
      <c r="B874" t="s">
        <v>319</v>
      </c>
      <c r="C874" t="s">
        <v>998</v>
      </c>
      <c r="D874" s="28">
        <v>7610900071965</v>
      </c>
      <c r="E874" s="29" t="s">
        <v>371</v>
      </c>
      <c r="F874" s="29" t="s">
        <v>372</v>
      </c>
      <c r="G874">
        <v>8</v>
      </c>
      <c r="H874" t="s">
        <v>323</v>
      </c>
      <c r="I874" t="s">
        <v>45</v>
      </c>
      <c r="J874" t="s">
        <v>325</v>
      </c>
      <c r="K874" t="s">
        <v>285</v>
      </c>
      <c r="L874" t="s">
        <v>327</v>
      </c>
    </row>
    <row r="875" spans="1:12">
      <c r="A875" t="s">
        <v>318</v>
      </c>
      <c r="B875" t="s">
        <v>319</v>
      </c>
      <c r="C875" t="s">
        <v>439</v>
      </c>
      <c r="D875" s="28">
        <v>7610900073564</v>
      </c>
      <c r="E875" s="29" t="s">
        <v>371</v>
      </c>
      <c r="F875" s="29" t="s">
        <v>372</v>
      </c>
      <c r="G875">
        <v>10</v>
      </c>
      <c r="H875" t="s">
        <v>323</v>
      </c>
      <c r="I875" t="s">
        <v>45</v>
      </c>
      <c r="J875" t="s">
        <v>325</v>
      </c>
      <c r="K875" t="s">
        <v>285</v>
      </c>
      <c r="L875" t="s">
        <v>327</v>
      </c>
    </row>
    <row r="876" spans="1:12">
      <c r="A876" t="s">
        <v>318</v>
      </c>
      <c r="B876" t="s">
        <v>319</v>
      </c>
      <c r="C876" t="s">
        <v>999</v>
      </c>
      <c r="D876" s="28">
        <v>7610900073573</v>
      </c>
      <c r="E876" s="29" t="s">
        <v>371</v>
      </c>
      <c r="F876" s="29" t="s">
        <v>372</v>
      </c>
      <c r="G876">
        <v>7</v>
      </c>
      <c r="H876" t="s">
        <v>323</v>
      </c>
      <c r="I876" t="s">
        <v>45</v>
      </c>
      <c r="J876" t="s">
        <v>325</v>
      </c>
      <c r="K876" t="s">
        <v>285</v>
      </c>
      <c r="L876" t="s">
        <v>327</v>
      </c>
    </row>
    <row r="877" spans="1:12">
      <c r="A877" t="s">
        <v>318</v>
      </c>
      <c r="B877" t="s">
        <v>319</v>
      </c>
      <c r="C877" t="s">
        <v>1000</v>
      </c>
      <c r="D877" s="28">
        <v>7610900073576</v>
      </c>
      <c r="E877" s="29" t="s">
        <v>371</v>
      </c>
      <c r="F877" s="29" t="s">
        <v>372</v>
      </c>
      <c r="G877">
        <v>8</v>
      </c>
      <c r="H877" t="s">
        <v>323</v>
      </c>
      <c r="I877" t="s">
        <v>45</v>
      </c>
      <c r="J877" t="s">
        <v>325</v>
      </c>
      <c r="K877" t="s">
        <v>285</v>
      </c>
      <c r="L877" t="s">
        <v>327</v>
      </c>
    </row>
    <row r="878" spans="1:12">
      <c r="A878" t="s">
        <v>318</v>
      </c>
      <c r="B878" t="s">
        <v>319</v>
      </c>
      <c r="C878" t="s">
        <v>1001</v>
      </c>
      <c r="D878" s="28">
        <v>7610900074204</v>
      </c>
      <c r="E878" s="29" t="s">
        <v>371</v>
      </c>
      <c r="F878" s="29" t="s">
        <v>372</v>
      </c>
      <c r="G878">
        <v>8</v>
      </c>
      <c r="H878" t="s">
        <v>323</v>
      </c>
      <c r="I878" t="s">
        <v>45</v>
      </c>
      <c r="J878" t="s">
        <v>325</v>
      </c>
      <c r="K878" t="s">
        <v>285</v>
      </c>
      <c r="L878" t="s">
        <v>327</v>
      </c>
    </row>
    <row r="879" spans="1:12">
      <c r="A879" t="s">
        <v>318</v>
      </c>
      <c r="B879" t="s">
        <v>319</v>
      </c>
      <c r="C879" t="s">
        <v>1002</v>
      </c>
      <c r="D879" s="28">
        <v>7610900074210</v>
      </c>
      <c r="E879" s="29" t="s">
        <v>371</v>
      </c>
      <c r="F879" s="29" t="s">
        <v>372</v>
      </c>
      <c r="G879">
        <v>12</v>
      </c>
      <c r="H879" t="s">
        <v>323</v>
      </c>
      <c r="I879" t="s">
        <v>45</v>
      </c>
      <c r="J879" t="s">
        <v>325</v>
      </c>
      <c r="K879" t="s">
        <v>285</v>
      </c>
      <c r="L879" t="s">
        <v>327</v>
      </c>
    </row>
    <row r="880" spans="1:12">
      <c r="A880" t="s">
        <v>318</v>
      </c>
      <c r="B880" t="s">
        <v>319</v>
      </c>
      <c r="C880" t="s">
        <v>454</v>
      </c>
      <c r="D880" s="28">
        <v>7610900074213</v>
      </c>
      <c r="E880" s="29" t="s">
        <v>371</v>
      </c>
      <c r="F880" s="29" t="s">
        <v>372</v>
      </c>
      <c r="G880">
        <v>10</v>
      </c>
      <c r="H880" t="s">
        <v>323</v>
      </c>
      <c r="I880" t="s">
        <v>45</v>
      </c>
      <c r="J880" t="s">
        <v>325</v>
      </c>
      <c r="K880" t="s">
        <v>285</v>
      </c>
      <c r="L880" t="s">
        <v>327</v>
      </c>
    </row>
    <row r="881" spans="1:12">
      <c r="A881" t="s">
        <v>318</v>
      </c>
      <c r="B881" t="s">
        <v>319</v>
      </c>
      <c r="C881" t="s">
        <v>1003</v>
      </c>
      <c r="D881" s="28">
        <v>7610900074216</v>
      </c>
      <c r="E881" s="29" t="s">
        <v>371</v>
      </c>
      <c r="F881" s="29" t="s">
        <v>372</v>
      </c>
      <c r="G881">
        <v>6</v>
      </c>
      <c r="H881" t="s">
        <v>323</v>
      </c>
      <c r="I881" t="s">
        <v>45</v>
      </c>
      <c r="J881" t="s">
        <v>325</v>
      </c>
      <c r="K881" t="s">
        <v>285</v>
      </c>
      <c r="L881" t="s">
        <v>327</v>
      </c>
    </row>
    <row r="882" spans="1:12">
      <c r="A882" t="s">
        <v>318</v>
      </c>
      <c r="B882" t="s">
        <v>319</v>
      </c>
      <c r="C882" t="s">
        <v>1004</v>
      </c>
      <c r="D882" s="28">
        <v>7610900074220</v>
      </c>
      <c r="E882" s="29" t="s">
        <v>371</v>
      </c>
      <c r="F882" s="29" t="s">
        <v>372</v>
      </c>
      <c r="G882">
        <v>8</v>
      </c>
      <c r="H882" t="s">
        <v>323</v>
      </c>
      <c r="I882" t="s">
        <v>45</v>
      </c>
      <c r="J882" t="s">
        <v>325</v>
      </c>
      <c r="K882" t="s">
        <v>285</v>
      </c>
      <c r="L882" t="s">
        <v>327</v>
      </c>
    </row>
    <row r="883" spans="1:12">
      <c r="A883" t="s">
        <v>318</v>
      </c>
      <c r="B883" t="s">
        <v>319</v>
      </c>
      <c r="C883" t="s">
        <v>1005</v>
      </c>
      <c r="D883" s="28">
        <v>7610900074222</v>
      </c>
      <c r="E883" s="29" t="s">
        <v>371</v>
      </c>
      <c r="F883" s="29" t="s">
        <v>372</v>
      </c>
      <c r="G883">
        <v>12</v>
      </c>
      <c r="H883" t="s">
        <v>323</v>
      </c>
      <c r="I883" t="s">
        <v>45</v>
      </c>
      <c r="J883" t="s">
        <v>325</v>
      </c>
      <c r="K883" t="s">
        <v>285</v>
      </c>
      <c r="L883" t="s">
        <v>327</v>
      </c>
    </row>
    <row r="884" spans="1:12">
      <c r="A884" t="s">
        <v>318</v>
      </c>
      <c r="B884" t="s">
        <v>319</v>
      </c>
      <c r="C884" t="s">
        <v>1006</v>
      </c>
      <c r="D884" s="28">
        <v>7610900074225</v>
      </c>
      <c r="E884" s="29" t="s">
        <v>371</v>
      </c>
      <c r="F884" s="29" t="s">
        <v>372</v>
      </c>
      <c r="G884">
        <v>10</v>
      </c>
      <c r="H884" t="s">
        <v>323</v>
      </c>
      <c r="I884" t="s">
        <v>45</v>
      </c>
      <c r="J884" t="s">
        <v>325</v>
      </c>
      <c r="K884" t="s">
        <v>285</v>
      </c>
      <c r="L884" t="s">
        <v>327</v>
      </c>
    </row>
    <row r="885" spans="1:12">
      <c r="A885" t="s">
        <v>318</v>
      </c>
      <c r="B885" t="s">
        <v>319</v>
      </c>
      <c r="C885" t="s">
        <v>1007</v>
      </c>
      <c r="D885" s="28">
        <v>7610900074230</v>
      </c>
      <c r="E885" s="29" t="s">
        <v>371</v>
      </c>
      <c r="F885" s="29" t="s">
        <v>372</v>
      </c>
      <c r="G885">
        <v>11</v>
      </c>
      <c r="H885" t="s">
        <v>323</v>
      </c>
      <c r="I885" t="s">
        <v>45</v>
      </c>
      <c r="J885" t="s">
        <v>325</v>
      </c>
      <c r="K885" t="s">
        <v>285</v>
      </c>
      <c r="L885" t="s">
        <v>327</v>
      </c>
    </row>
    <row r="886" spans="1:12">
      <c r="A886" t="s">
        <v>318</v>
      </c>
      <c r="B886" t="s">
        <v>319</v>
      </c>
      <c r="C886" t="s">
        <v>664</v>
      </c>
      <c r="D886" s="28">
        <v>7610900074231</v>
      </c>
      <c r="E886" s="29" t="s">
        <v>371</v>
      </c>
      <c r="F886" s="29" t="s">
        <v>372</v>
      </c>
      <c r="G886">
        <v>10</v>
      </c>
      <c r="H886" t="s">
        <v>323</v>
      </c>
      <c r="I886" t="s">
        <v>45</v>
      </c>
      <c r="J886" t="s">
        <v>325</v>
      </c>
      <c r="K886" t="s">
        <v>285</v>
      </c>
      <c r="L886" t="s">
        <v>327</v>
      </c>
    </row>
    <row r="887" spans="1:12">
      <c r="A887" t="s">
        <v>318</v>
      </c>
      <c r="B887" t="s">
        <v>319</v>
      </c>
      <c r="C887" t="s">
        <v>1008</v>
      </c>
      <c r="D887" s="28">
        <v>7610900074236</v>
      </c>
      <c r="E887" s="29" t="s">
        <v>371</v>
      </c>
      <c r="F887" s="29" t="s">
        <v>372</v>
      </c>
      <c r="G887">
        <v>13</v>
      </c>
      <c r="H887" t="s">
        <v>323</v>
      </c>
      <c r="I887" t="s">
        <v>45</v>
      </c>
      <c r="J887" t="s">
        <v>325</v>
      </c>
      <c r="K887" t="s">
        <v>285</v>
      </c>
      <c r="L887" t="s">
        <v>327</v>
      </c>
    </row>
    <row r="888" spans="1:12">
      <c r="A888" t="s">
        <v>318</v>
      </c>
      <c r="B888" t="s">
        <v>319</v>
      </c>
      <c r="C888" t="s">
        <v>602</v>
      </c>
      <c r="D888" s="28">
        <v>7610900077018</v>
      </c>
      <c r="E888" s="29" t="s">
        <v>371</v>
      </c>
      <c r="F888" s="29" t="s">
        <v>372</v>
      </c>
      <c r="G888">
        <v>8</v>
      </c>
      <c r="H888" t="s">
        <v>323</v>
      </c>
      <c r="I888" t="s">
        <v>45</v>
      </c>
      <c r="J888" t="s">
        <v>325</v>
      </c>
      <c r="K888" t="s">
        <v>285</v>
      </c>
      <c r="L888" t="s">
        <v>327</v>
      </c>
    </row>
    <row r="889" spans="1:12">
      <c r="A889" t="s">
        <v>318</v>
      </c>
      <c r="B889" t="s">
        <v>319</v>
      </c>
      <c r="C889" t="s">
        <v>1009</v>
      </c>
      <c r="D889" s="28">
        <v>7610900077020</v>
      </c>
      <c r="E889" s="29" t="s">
        <v>371</v>
      </c>
      <c r="F889" s="29" t="s">
        <v>372</v>
      </c>
      <c r="G889">
        <v>12</v>
      </c>
      <c r="H889" t="s">
        <v>323</v>
      </c>
      <c r="I889" t="s">
        <v>45</v>
      </c>
      <c r="J889" t="s">
        <v>325</v>
      </c>
      <c r="K889" t="s">
        <v>285</v>
      </c>
      <c r="L889" t="s">
        <v>327</v>
      </c>
    </row>
    <row r="890" spans="1:12">
      <c r="A890" t="s">
        <v>318</v>
      </c>
      <c r="B890" t="s">
        <v>319</v>
      </c>
      <c r="C890" t="s">
        <v>642</v>
      </c>
      <c r="D890" s="28">
        <v>7610900077025</v>
      </c>
      <c r="E890" s="29" t="s">
        <v>371</v>
      </c>
      <c r="F890" s="29" t="s">
        <v>372</v>
      </c>
      <c r="G890">
        <v>7</v>
      </c>
      <c r="H890" t="s">
        <v>323</v>
      </c>
      <c r="I890" t="s">
        <v>45</v>
      </c>
      <c r="J890" t="s">
        <v>325</v>
      </c>
      <c r="K890" t="s">
        <v>285</v>
      </c>
      <c r="L890" t="s">
        <v>327</v>
      </c>
    </row>
    <row r="891" spans="1:12">
      <c r="A891" t="s">
        <v>318</v>
      </c>
      <c r="B891" t="s">
        <v>319</v>
      </c>
      <c r="C891" t="s">
        <v>1010</v>
      </c>
      <c r="D891" s="28">
        <v>7610900077030</v>
      </c>
      <c r="E891" s="29" t="s">
        <v>371</v>
      </c>
      <c r="F891" s="29" t="s">
        <v>372</v>
      </c>
      <c r="G891">
        <v>8</v>
      </c>
      <c r="H891" t="s">
        <v>323</v>
      </c>
      <c r="I891" t="s">
        <v>45</v>
      </c>
      <c r="J891" t="s">
        <v>325</v>
      </c>
      <c r="K891" t="s">
        <v>285</v>
      </c>
      <c r="L891" t="s">
        <v>327</v>
      </c>
    </row>
    <row r="892" spans="1:12">
      <c r="A892" t="s">
        <v>318</v>
      </c>
      <c r="B892" t="s">
        <v>319</v>
      </c>
      <c r="C892" t="s">
        <v>552</v>
      </c>
      <c r="D892" s="28">
        <v>7610900077031</v>
      </c>
      <c r="E892" s="29" t="s">
        <v>371</v>
      </c>
      <c r="F892" s="29" t="s">
        <v>372</v>
      </c>
      <c r="G892">
        <v>10</v>
      </c>
      <c r="H892" t="s">
        <v>323</v>
      </c>
      <c r="I892" t="s">
        <v>45</v>
      </c>
      <c r="J892" t="s">
        <v>325</v>
      </c>
      <c r="K892" t="s">
        <v>285</v>
      </c>
      <c r="L892" t="s">
        <v>327</v>
      </c>
    </row>
    <row r="893" spans="1:12">
      <c r="A893" t="s">
        <v>318</v>
      </c>
      <c r="B893" t="s">
        <v>319</v>
      </c>
      <c r="C893" t="s">
        <v>1011</v>
      </c>
      <c r="D893" s="28">
        <v>7610900077038</v>
      </c>
      <c r="E893" s="29" t="s">
        <v>371</v>
      </c>
      <c r="F893" s="29" t="s">
        <v>372</v>
      </c>
      <c r="G893">
        <v>9</v>
      </c>
      <c r="H893" t="s">
        <v>323</v>
      </c>
      <c r="I893" t="s">
        <v>45</v>
      </c>
      <c r="J893" t="s">
        <v>325</v>
      </c>
      <c r="K893" t="s">
        <v>285</v>
      </c>
      <c r="L893" t="s">
        <v>327</v>
      </c>
    </row>
    <row r="894" spans="1:12">
      <c r="A894" t="s">
        <v>318</v>
      </c>
      <c r="B894" t="s">
        <v>319</v>
      </c>
      <c r="C894" t="s">
        <v>885</v>
      </c>
      <c r="D894" s="28">
        <v>7610900077856</v>
      </c>
      <c r="E894" s="29" t="s">
        <v>371</v>
      </c>
      <c r="F894" s="29" t="s">
        <v>372</v>
      </c>
      <c r="G894">
        <v>10</v>
      </c>
      <c r="H894" t="s">
        <v>323</v>
      </c>
      <c r="I894" t="s">
        <v>45</v>
      </c>
      <c r="J894" t="s">
        <v>325</v>
      </c>
      <c r="K894" t="s">
        <v>285</v>
      </c>
      <c r="L894" t="s">
        <v>327</v>
      </c>
    </row>
    <row r="895" spans="1:12">
      <c r="A895" t="s">
        <v>318</v>
      </c>
      <c r="B895" t="s">
        <v>319</v>
      </c>
      <c r="C895" t="s">
        <v>1012</v>
      </c>
      <c r="D895" s="28">
        <v>7610900077857</v>
      </c>
      <c r="E895" s="29" t="s">
        <v>371</v>
      </c>
      <c r="F895" s="29" t="s">
        <v>372</v>
      </c>
      <c r="G895">
        <v>6</v>
      </c>
      <c r="H895" t="s">
        <v>323</v>
      </c>
      <c r="I895" t="s">
        <v>45</v>
      </c>
      <c r="J895" t="s">
        <v>325</v>
      </c>
      <c r="K895" t="s">
        <v>285</v>
      </c>
      <c r="L895" t="s">
        <v>327</v>
      </c>
    </row>
    <row r="896" spans="1:12">
      <c r="A896" t="s">
        <v>318</v>
      </c>
      <c r="B896" t="s">
        <v>319</v>
      </c>
      <c r="C896" t="s">
        <v>741</v>
      </c>
      <c r="D896" s="28">
        <v>7610900077859</v>
      </c>
      <c r="E896" s="29" t="s">
        <v>371</v>
      </c>
      <c r="F896" s="29" t="s">
        <v>372</v>
      </c>
      <c r="G896">
        <v>10</v>
      </c>
      <c r="H896" t="s">
        <v>323</v>
      </c>
      <c r="I896" t="s">
        <v>45</v>
      </c>
      <c r="J896" t="s">
        <v>325</v>
      </c>
      <c r="K896" t="s">
        <v>285</v>
      </c>
      <c r="L896" t="s">
        <v>327</v>
      </c>
    </row>
    <row r="897" spans="1:12">
      <c r="A897" t="s">
        <v>318</v>
      </c>
      <c r="B897" t="s">
        <v>319</v>
      </c>
      <c r="C897" t="s">
        <v>1013</v>
      </c>
      <c r="D897" s="28">
        <v>7610900077867</v>
      </c>
      <c r="E897" s="29" t="s">
        <v>371</v>
      </c>
      <c r="F897" s="29" t="s">
        <v>372</v>
      </c>
      <c r="G897">
        <v>9</v>
      </c>
      <c r="H897" t="s">
        <v>323</v>
      </c>
      <c r="I897" t="s">
        <v>45</v>
      </c>
      <c r="J897" t="s">
        <v>325</v>
      </c>
      <c r="K897" t="s">
        <v>285</v>
      </c>
      <c r="L897" t="s">
        <v>327</v>
      </c>
    </row>
    <row r="898" spans="1:12">
      <c r="A898" t="s">
        <v>318</v>
      </c>
      <c r="B898" t="s">
        <v>319</v>
      </c>
      <c r="C898" t="s">
        <v>850</v>
      </c>
      <c r="D898" s="28">
        <v>7610900077868</v>
      </c>
      <c r="E898" s="29" t="s">
        <v>371</v>
      </c>
      <c r="F898" s="29" t="s">
        <v>372</v>
      </c>
      <c r="G898">
        <v>6</v>
      </c>
      <c r="H898" t="s">
        <v>323</v>
      </c>
      <c r="I898" t="s">
        <v>45</v>
      </c>
      <c r="J898" t="s">
        <v>325</v>
      </c>
      <c r="K898" t="s">
        <v>285</v>
      </c>
      <c r="L898" t="s">
        <v>327</v>
      </c>
    </row>
    <row r="899" spans="1:12">
      <c r="A899" t="s">
        <v>318</v>
      </c>
      <c r="B899" t="s">
        <v>319</v>
      </c>
      <c r="C899" t="s">
        <v>1014</v>
      </c>
      <c r="D899" s="28">
        <v>7610900077870</v>
      </c>
      <c r="E899" s="29" t="s">
        <v>371</v>
      </c>
      <c r="F899" s="29" t="s">
        <v>372</v>
      </c>
      <c r="G899">
        <v>7</v>
      </c>
      <c r="H899" t="s">
        <v>323</v>
      </c>
      <c r="I899" t="s">
        <v>45</v>
      </c>
      <c r="J899" t="s">
        <v>325</v>
      </c>
      <c r="K899" t="s">
        <v>285</v>
      </c>
      <c r="L899" t="s">
        <v>327</v>
      </c>
    </row>
    <row r="900" spans="1:12">
      <c r="A900" t="s">
        <v>318</v>
      </c>
      <c r="B900" t="s">
        <v>319</v>
      </c>
      <c r="C900" t="s">
        <v>598</v>
      </c>
      <c r="D900" s="28">
        <v>7610900077873</v>
      </c>
      <c r="E900" s="29" t="s">
        <v>371</v>
      </c>
      <c r="F900" s="29" t="s">
        <v>372</v>
      </c>
      <c r="G900">
        <v>10</v>
      </c>
      <c r="H900" t="s">
        <v>323</v>
      </c>
      <c r="I900" t="s">
        <v>45</v>
      </c>
      <c r="J900" t="s">
        <v>325</v>
      </c>
      <c r="K900" t="s">
        <v>285</v>
      </c>
      <c r="L900" t="s">
        <v>327</v>
      </c>
    </row>
    <row r="901" spans="1:12">
      <c r="A901" t="s">
        <v>318</v>
      </c>
      <c r="B901" t="s">
        <v>319</v>
      </c>
      <c r="C901" t="s">
        <v>1015</v>
      </c>
      <c r="D901" s="28">
        <v>7610900077876</v>
      </c>
      <c r="E901" s="29" t="s">
        <v>371</v>
      </c>
      <c r="F901" s="29" t="s">
        <v>372</v>
      </c>
      <c r="G901">
        <v>10</v>
      </c>
      <c r="H901" t="s">
        <v>323</v>
      </c>
      <c r="I901" t="s">
        <v>45</v>
      </c>
      <c r="J901" t="s">
        <v>325</v>
      </c>
      <c r="K901" t="s">
        <v>285</v>
      </c>
      <c r="L901" t="s">
        <v>327</v>
      </c>
    </row>
    <row r="902" spans="1:12">
      <c r="A902" t="s">
        <v>318</v>
      </c>
      <c r="B902" t="s">
        <v>319</v>
      </c>
      <c r="C902" t="s">
        <v>1016</v>
      </c>
      <c r="D902" s="28">
        <v>7610900077879</v>
      </c>
      <c r="E902" s="29" t="s">
        <v>371</v>
      </c>
      <c r="F902" s="29" t="s">
        <v>372</v>
      </c>
      <c r="G902">
        <v>12</v>
      </c>
      <c r="H902" t="s">
        <v>323</v>
      </c>
      <c r="I902" t="s">
        <v>45</v>
      </c>
      <c r="J902" t="s">
        <v>325</v>
      </c>
      <c r="K902" t="s">
        <v>285</v>
      </c>
      <c r="L902" t="s">
        <v>327</v>
      </c>
    </row>
    <row r="903" spans="1:12">
      <c r="A903" t="s">
        <v>318</v>
      </c>
      <c r="B903" t="s">
        <v>319</v>
      </c>
      <c r="C903" t="s">
        <v>351</v>
      </c>
      <c r="D903" s="28">
        <v>7610900077880</v>
      </c>
      <c r="E903" s="29" t="s">
        <v>371</v>
      </c>
      <c r="F903" s="29" t="s">
        <v>372</v>
      </c>
      <c r="G903">
        <v>10</v>
      </c>
      <c r="H903" t="s">
        <v>323</v>
      </c>
      <c r="I903" t="s">
        <v>45</v>
      </c>
      <c r="J903" t="s">
        <v>325</v>
      </c>
      <c r="K903" t="s">
        <v>285</v>
      </c>
      <c r="L903" t="s">
        <v>327</v>
      </c>
    </row>
    <row r="904" spans="1:12">
      <c r="A904" t="s">
        <v>318</v>
      </c>
      <c r="B904" t="s">
        <v>319</v>
      </c>
      <c r="C904" t="s">
        <v>1017</v>
      </c>
      <c r="D904" s="28">
        <v>7610900077881</v>
      </c>
      <c r="E904" s="29" t="s">
        <v>371</v>
      </c>
      <c r="F904" s="29" t="s">
        <v>372</v>
      </c>
      <c r="G904">
        <v>7</v>
      </c>
      <c r="H904" t="s">
        <v>323</v>
      </c>
      <c r="I904" t="s">
        <v>45</v>
      </c>
      <c r="J904" t="s">
        <v>325</v>
      </c>
      <c r="K904" t="s">
        <v>285</v>
      </c>
      <c r="L904" t="s">
        <v>327</v>
      </c>
    </row>
    <row r="905" spans="1:12">
      <c r="A905" t="s">
        <v>318</v>
      </c>
      <c r="B905" t="s">
        <v>319</v>
      </c>
      <c r="C905" t="s">
        <v>642</v>
      </c>
      <c r="D905" s="28">
        <v>7610900077884</v>
      </c>
      <c r="E905" s="29" t="s">
        <v>371</v>
      </c>
      <c r="F905" s="29" t="s">
        <v>372</v>
      </c>
      <c r="G905">
        <v>8</v>
      </c>
      <c r="H905" t="s">
        <v>323</v>
      </c>
      <c r="I905" t="s">
        <v>45</v>
      </c>
      <c r="J905" t="s">
        <v>325</v>
      </c>
      <c r="K905" t="s">
        <v>285</v>
      </c>
      <c r="L905" t="s">
        <v>327</v>
      </c>
    </row>
    <row r="906" spans="1:12">
      <c r="A906" t="s">
        <v>318</v>
      </c>
      <c r="B906" t="s">
        <v>319</v>
      </c>
      <c r="C906" t="s">
        <v>1018</v>
      </c>
      <c r="D906" s="28">
        <v>7610900077887</v>
      </c>
      <c r="E906" s="29" t="s">
        <v>371</v>
      </c>
      <c r="F906" s="29" t="s">
        <v>372</v>
      </c>
      <c r="G906">
        <v>10</v>
      </c>
      <c r="H906" t="s">
        <v>323</v>
      </c>
      <c r="I906" t="s">
        <v>45</v>
      </c>
      <c r="J906" t="s">
        <v>325</v>
      </c>
      <c r="K906" t="s">
        <v>285</v>
      </c>
      <c r="L906" t="s">
        <v>327</v>
      </c>
    </row>
    <row r="907" spans="1:12">
      <c r="A907" t="s">
        <v>318</v>
      </c>
      <c r="B907" t="s">
        <v>319</v>
      </c>
      <c r="C907" t="s">
        <v>970</v>
      </c>
      <c r="D907" s="28">
        <v>7610900077890</v>
      </c>
      <c r="E907" s="29" t="s">
        <v>371</v>
      </c>
      <c r="F907" s="29" t="s">
        <v>372</v>
      </c>
      <c r="G907">
        <v>10</v>
      </c>
      <c r="H907" t="s">
        <v>323</v>
      </c>
      <c r="I907" t="s">
        <v>45</v>
      </c>
      <c r="J907" t="s">
        <v>325</v>
      </c>
      <c r="K907" t="s">
        <v>285</v>
      </c>
      <c r="L907" t="s">
        <v>327</v>
      </c>
    </row>
    <row r="908" spans="1:12">
      <c r="A908" t="s">
        <v>318</v>
      </c>
      <c r="B908" t="s">
        <v>319</v>
      </c>
      <c r="C908" t="s">
        <v>1019</v>
      </c>
      <c r="D908" s="28">
        <v>7610900077895</v>
      </c>
      <c r="E908" s="29" t="s">
        <v>371</v>
      </c>
      <c r="F908" s="29" t="s">
        <v>372</v>
      </c>
      <c r="G908">
        <v>9</v>
      </c>
      <c r="H908" t="s">
        <v>323</v>
      </c>
      <c r="I908" t="s">
        <v>45</v>
      </c>
      <c r="J908" t="s">
        <v>325</v>
      </c>
      <c r="K908" t="s">
        <v>285</v>
      </c>
      <c r="L908" t="s">
        <v>327</v>
      </c>
    </row>
    <row r="909" spans="1:12">
      <c r="A909" t="s">
        <v>318</v>
      </c>
      <c r="B909" t="s">
        <v>319</v>
      </c>
      <c r="C909" t="s">
        <v>1020</v>
      </c>
      <c r="D909" s="28">
        <v>7610900077906</v>
      </c>
      <c r="E909" s="29" t="s">
        <v>371</v>
      </c>
      <c r="F909" s="29" t="s">
        <v>372</v>
      </c>
      <c r="G909">
        <v>9</v>
      </c>
      <c r="H909" t="s">
        <v>323</v>
      </c>
      <c r="I909" t="s">
        <v>45</v>
      </c>
      <c r="J909" t="s">
        <v>325</v>
      </c>
      <c r="K909" t="s">
        <v>285</v>
      </c>
      <c r="L909" t="s">
        <v>327</v>
      </c>
    </row>
    <row r="910" spans="1:12">
      <c r="A910" t="s">
        <v>318</v>
      </c>
      <c r="B910" t="s">
        <v>319</v>
      </c>
      <c r="C910" t="s">
        <v>1021</v>
      </c>
      <c r="D910" s="28">
        <v>7610900077907</v>
      </c>
      <c r="E910" s="29" t="s">
        <v>371</v>
      </c>
      <c r="F910" s="29" t="s">
        <v>372</v>
      </c>
      <c r="G910">
        <v>11</v>
      </c>
      <c r="H910" t="s">
        <v>323</v>
      </c>
      <c r="I910" t="s">
        <v>45</v>
      </c>
      <c r="J910" t="s">
        <v>325</v>
      </c>
      <c r="K910" t="s">
        <v>285</v>
      </c>
      <c r="L910" t="s">
        <v>327</v>
      </c>
    </row>
    <row r="911" spans="1:12">
      <c r="A911" t="s">
        <v>318</v>
      </c>
      <c r="B911" t="s">
        <v>319</v>
      </c>
      <c r="C911" t="s">
        <v>1022</v>
      </c>
      <c r="D911" s="28">
        <v>7610900077914</v>
      </c>
      <c r="E911" s="29" t="s">
        <v>371</v>
      </c>
      <c r="F911" s="29" t="s">
        <v>372</v>
      </c>
      <c r="G911">
        <v>12</v>
      </c>
      <c r="H911" t="s">
        <v>323</v>
      </c>
      <c r="I911" t="s">
        <v>45</v>
      </c>
      <c r="J911" t="s">
        <v>325</v>
      </c>
      <c r="K911" t="s">
        <v>285</v>
      </c>
      <c r="L911" t="s">
        <v>327</v>
      </c>
    </row>
    <row r="912" spans="1:12">
      <c r="A912" t="s">
        <v>318</v>
      </c>
      <c r="B912" t="s">
        <v>319</v>
      </c>
      <c r="C912" t="s">
        <v>1023</v>
      </c>
      <c r="D912" s="28">
        <v>7610900077917</v>
      </c>
      <c r="E912" s="29" t="s">
        <v>371</v>
      </c>
      <c r="F912" s="29" t="s">
        <v>372</v>
      </c>
      <c r="G912">
        <v>11</v>
      </c>
      <c r="H912" t="s">
        <v>323</v>
      </c>
      <c r="I912" t="s">
        <v>45</v>
      </c>
      <c r="J912" t="s">
        <v>325</v>
      </c>
      <c r="K912" t="s">
        <v>285</v>
      </c>
      <c r="L912" t="s">
        <v>327</v>
      </c>
    </row>
    <row r="913" spans="1:12">
      <c r="A913" t="s">
        <v>318</v>
      </c>
      <c r="B913" t="s">
        <v>319</v>
      </c>
      <c r="C913" t="s">
        <v>1024</v>
      </c>
      <c r="D913" s="28">
        <v>7610900077922</v>
      </c>
      <c r="E913" s="29" t="s">
        <v>371</v>
      </c>
      <c r="F913" s="29" t="s">
        <v>372</v>
      </c>
      <c r="G913">
        <v>0</v>
      </c>
      <c r="H913" t="s">
        <v>323</v>
      </c>
      <c r="I913" t="s">
        <v>45</v>
      </c>
      <c r="J913" t="s">
        <v>325</v>
      </c>
      <c r="K913" t="s">
        <v>285</v>
      </c>
      <c r="L913" t="s">
        <v>327</v>
      </c>
    </row>
    <row r="914" spans="1:12">
      <c r="A914" t="s">
        <v>318</v>
      </c>
      <c r="B914" t="s">
        <v>319</v>
      </c>
      <c r="C914" t="s">
        <v>550</v>
      </c>
      <c r="D914" s="28">
        <v>7610900077927</v>
      </c>
      <c r="E914" s="29" t="s">
        <v>371</v>
      </c>
      <c r="F914" s="29" t="s">
        <v>372</v>
      </c>
      <c r="G914">
        <v>8</v>
      </c>
      <c r="H914" t="s">
        <v>323</v>
      </c>
      <c r="I914" t="s">
        <v>45</v>
      </c>
      <c r="J914" t="s">
        <v>325</v>
      </c>
      <c r="K914" t="s">
        <v>285</v>
      </c>
      <c r="L914" t="s">
        <v>327</v>
      </c>
    </row>
    <row r="915" spans="1:12">
      <c r="A915" t="s">
        <v>318</v>
      </c>
      <c r="B915" t="s">
        <v>319</v>
      </c>
      <c r="C915" t="s">
        <v>565</v>
      </c>
      <c r="D915" s="28">
        <v>7610900078300</v>
      </c>
      <c r="E915" s="29" t="s">
        <v>371</v>
      </c>
      <c r="F915" s="29" t="s">
        <v>372</v>
      </c>
      <c r="G915">
        <v>8</v>
      </c>
      <c r="H915" t="s">
        <v>323</v>
      </c>
      <c r="I915" t="s">
        <v>45</v>
      </c>
      <c r="J915" t="s">
        <v>325</v>
      </c>
      <c r="K915" t="s">
        <v>285</v>
      </c>
      <c r="L915" t="s">
        <v>327</v>
      </c>
    </row>
    <row r="916" spans="1:12">
      <c r="A916" t="s">
        <v>318</v>
      </c>
      <c r="B916" t="s">
        <v>319</v>
      </c>
      <c r="C916" t="s">
        <v>1025</v>
      </c>
      <c r="D916" s="28">
        <v>7610900081448</v>
      </c>
      <c r="E916" s="29" t="s">
        <v>371</v>
      </c>
      <c r="F916" s="29" t="s">
        <v>372</v>
      </c>
      <c r="G916">
        <v>13</v>
      </c>
      <c r="H916" t="s">
        <v>323</v>
      </c>
      <c r="I916" t="s">
        <v>45</v>
      </c>
      <c r="J916" t="s">
        <v>325</v>
      </c>
      <c r="K916" t="s">
        <v>285</v>
      </c>
      <c r="L916" t="s">
        <v>327</v>
      </c>
    </row>
    <row r="917" spans="1:12">
      <c r="A917" t="s">
        <v>318</v>
      </c>
      <c r="B917" t="s">
        <v>319</v>
      </c>
      <c r="C917" t="s">
        <v>1026</v>
      </c>
      <c r="D917" s="28">
        <v>7610900081451</v>
      </c>
      <c r="E917" s="29" t="s">
        <v>371</v>
      </c>
      <c r="F917" s="29" t="s">
        <v>372</v>
      </c>
      <c r="G917">
        <v>12</v>
      </c>
      <c r="H917" t="s">
        <v>323</v>
      </c>
      <c r="I917" t="s">
        <v>45</v>
      </c>
      <c r="J917" t="s">
        <v>325</v>
      </c>
      <c r="K917" t="s">
        <v>285</v>
      </c>
      <c r="L917" t="s">
        <v>327</v>
      </c>
    </row>
    <row r="918" spans="1:12">
      <c r="A918" t="s">
        <v>318</v>
      </c>
      <c r="B918" t="s">
        <v>319</v>
      </c>
      <c r="C918" t="s">
        <v>453</v>
      </c>
      <c r="D918" s="28">
        <v>7610900081453</v>
      </c>
      <c r="E918" s="29" t="s">
        <v>371</v>
      </c>
      <c r="F918" s="29" t="s">
        <v>372</v>
      </c>
      <c r="G918">
        <v>12</v>
      </c>
      <c r="H918" t="s">
        <v>323</v>
      </c>
      <c r="I918" t="s">
        <v>45</v>
      </c>
      <c r="J918" t="s">
        <v>325</v>
      </c>
      <c r="K918" t="s">
        <v>285</v>
      </c>
      <c r="L918" t="s">
        <v>327</v>
      </c>
    </row>
    <row r="919" spans="1:12">
      <c r="A919" t="s">
        <v>318</v>
      </c>
      <c r="B919" t="s">
        <v>319</v>
      </c>
      <c r="C919" t="s">
        <v>1027</v>
      </c>
      <c r="D919" s="28">
        <v>7610900081456</v>
      </c>
      <c r="E919" s="29" t="s">
        <v>371</v>
      </c>
      <c r="F919" s="29" t="s">
        <v>372</v>
      </c>
      <c r="G919">
        <v>8</v>
      </c>
      <c r="H919" t="s">
        <v>323</v>
      </c>
      <c r="I919" t="s">
        <v>45</v>
      </c>
      <c r="J919" t="s">
        <v>325</v>
      </c>
      <c r="K919" t="s">
        <v>285</v>
      </c>
      <c r="L919" t="s">
        <v>327</v>
      </c>
    </row>
    <row r="920" spans="1:12">
      <c r="A920" t="s">
        <v>318</v>
      </c>
      <c r="B920" t="s">
        <v>319</v>
      </c>
      <c r="C920" t="s">
        <v>1028</v>
      </c>
      <c r="D920" s="28">
        <v>7610900081459</v>
      </c>
      <c r="E920" s="29" t="s">
        <v>371</v>
      </c>
      <c r="F920" s="29" t="s">
        <v>372</v>
      </c>
      <c r="G920">
        <v>8</v>
      </c>
      <c r="H920" t="s">
        <v>323</v>
      </c>
      <c r="I920" t="s">
        <v>45</v>
      </c>
      <c r="J920" t="s">
        <v>325</v>
      </c>
      <c r="K920" t="s">
        <v>285</v>
      </c>
      <c r="L920" t="s">
        <v>327</v>
      </c>
    </row>
    <row r="921" spans="1:12">
      <c r="A921" t="s">
        <v>318</v>
      </c>
      <c r="B921" t="s">
        <v>319</v>
      </c>
      <c r="C921" t="s">
        <v>377</v>
      </c>
      <c r="D921" s="28">
        <v>7610900081462</v>
      </c>
      <c r="E921" s="29" t="s">
        <v>371</v>
      </c>
      <c r="F921" s="29" t="s">
        <v>372</v>
      </c>
      <c r="G921">
        <v>12</v>
      </c>
      <c r="H921" t="s">
        <v>323</v>
      </c>
      <c r="I921" t="s">
        <v>45</v>
      </c>
      <c r="J921" t="s">
        <v>325</v>
      </c>
      <c r="K921" t="s">
        <v>285</v>
      </c>
      <c r="L921" t="s">
        <v>327</v>
      </c>
    </row>
    <row r="922" spans="1:12">
      <c r="A922" t="s">
        <v>318</v>
      </c>
      <c r="B922" t="s">
        <v>319</v>
      </c>
      <c r="C922" t="s">
        <v>603</v>
      </c>
      <c r="D922" s="28">
        <v>7610900081465</v>
      </c>
      <c r="E922" s="29" t="s">
        <v>371</v>
      </c>
      <c r="F922" s="29" t="s">
        <v>372</v>
      </c>
      <c r="G922">
        <v>9</v>
      </c>
      <c r="H922" t="s">
        <v>323</v>
      </c>
      <c r="I922" t="s">
        <v>45</v>
      </c>
      <c r="J922" t="s">
        <v>325</v>
      </c>
      <c r="K922" t="s">
        <v>285</v>
      </c>
      <c r="L922" t="s">
        <v>327</v>
      </c>
    </row>
    <row r="923" spans="1:12">
      <c r="A923" t="s">
        <v>318</v>
      </c>
      <c r="B923" t="s">
        <v>319</v>
      </c>
      <c r="C923" t="s">
        <v>1029</v>
      </c>
      <c r="D923" s="28">
        <v>7610900081467</v>
      </c>
      <c r="E923" s="29" t="s">
        <v>371</v>
      </c>
      <c r="F923" s="29" t="s">
        <v>372</v>
      </c>
      <c r="G923">
        <v>8</v>
      </c>
      <c r="H923" t="s">
        <v>323</v>
      </c>
      <c r="I923" t="s">
        <v>324</v>
      </c>
      <c r="J923" t="s">
        <v>325</v>
      </c>
      <c r="K923" t="s">
        <v>285</v>
      </c>
      <c r="L923" t="s">
        <v>327</v>
      </c>
    </row>
    <row r="924" spans="1:12">
      <c r="A924" t="s">
        <v>318</v>
      </c>
      <c r="B924" t="s">
        <v>319</v>
      </c>
      <c r="C924" t="s">
        <v>1030</v>
      </c>
      <c r="D924" s="28">
        <v>7610900081863</v>
      </c>
      <c r="E924" s="29" t="s">
        <v>371</v>
      </c>
      <c r="F924" s="29" t="s">
        <v>372</v>
      </c>
      <c r="G924">
        <v>9</v>
      </c>
      <c r="H924" t="s">
        <v>323</v>
      </c>
      <c r="I924" t="s">
        <v>45</v>
      </c>
      <c r="J924" t="s">
        <v>325</v>
      </c>
      <c r="K924" t="s">
        <v>285</v>
      </c>
      <c r="L924" t="s">
        <v>327</v>
      </c>
    </row>
    <row r="925" spans="1:12">
      <c r="A925" t="s">
        <v>318</v>
      </c>
      <c r="B925" t="s">
        <v>319</v>
      </c>
      <c r="C925" t="s">
        <v>382</v>
      </c>
      <c r="D925" s="28">
        <v>7610900081865</v>
      </c>
      <c r="E925" s="29" t="s">
        <v>371</v>
      </c>
      <c r="F925" s="29" t="s">
        <v>372</v>
      </c>
      <c r="G925">
        <v>6</v>
      </c>
      <c r="H925" t="s">
        <v>323</v>
      </c>
      <c r="I925" t="s">
        <v>45</v>
      </c>
      <c r="J925" t="s">
        <v>325</v>
      </c>
      <c r="K925" t="s">
        <v>285</v>
      </c>
      <c r="L925" t="s">
        <v>327</v>
      </c>
    </row>
    <row r="926" spans="1:12">
      <c r="A926" t="s">
        <v>318</v>
      </c>
      <c r="B926" t="s">
        <v>319</v>
      </c>
      <c r="C926" t="s">
        <v>513</v>
      </c>
      <c r="D926" s="28">
        <v>7610900081866</v>
      </c>
      <c r="E926" s="29" t="s">
        <v>371</v>
      </c>
      <c r="F926" s="29" t="s">
        <v>372</v>
      </c>
      <c r="G926">
        <v>9</v>
      </c>
      <c r="H926" t="s">
        <v>323</v>
      </c>
      <c r="I926" t="s">
        <v>45</v>
      </c>
      <c r="J926" t="s">
        <v>325</v>
      </c>
      <c r="K926" t="s">
        <v>285</v>
      </c>
      <c r="L926" t="s">
        <v>327</v>
      </c>
    </row>
    <row r="927" spans="1:12">
      <c r="A927" t="s">
        <v>318</v>
      </c>
      <c r="B927" t="s">
        <v>319</v>
      </c>
      <c r="C927" t="s">
        <v>1031</v>
      </c>
      <c r="D927" s="28">
        <v>7610900081868</v>
      </c>
      <c r="E927" s="29" t="s">
        <v>371</v>
      </c>
      <c r="F927" s="29" t="s">
        <v>372</v>
      </c>
      <c r="G927">
        <v>13</v>
      </c>
      <c r="H927" t="s">
        <v>323</v>
      </c>
      <c r="I927" t="s">
        <v>45</v>
      </c>
      <c r="J927" t="s">
        <v>325</v>
      </c>
      <c r="K927" t="s">
        <v>285</v>
      </c>
      <c r="L927" t="s">
        <v>327</v>
      </c>
    </row>
    <row r="928" spans="1:12">
      <c r="A928" t="s">
        <v>318</v>
      </c>
      <c r="B928" t="s">
        <v>319</v>
      </c>
      <c r="C928" t="s">
        <v>377</v>
      </c>
      <c r="D928" s="28">
        <v>7610900082219</v>
      </c>
      <c r="E928" s="29" t="s">
        <v>371</v>
      </c>
      <c r="F928" s="29" t="s">
        <v>372</v>
      </c>
      <c r="G928">
        <v>10</v>
      </c>
      <c r="H928" t="s">
        <v>323</v>
      </c>
      <c r="I928" t="s">
        <v>45</v>
      </c>
      <c r="J928" t="s">
        <v>325</v>
      </c>
      <c r="K928" t="s">
        <v>285</v>
      </c>
      <c r="L928" t="s">
        <v>327</v>
      </c>
    </row>
    <row r="929" spans="1:12">
      <c r="A929" t="s">
        <v>318</v>
      </c>
      <c r="B929" t="s">
        <v>319</v>
      </c>
      <c r="C929" t="s">
        <v>1032</v>
      </c>
      <c r="D929" s="28">
        <v>7610900082220</v>
      </c>
      <c r="E929" s="29" t="s">
        <v>371</v>
      </c>
      <c r="F929" s="29" t="s">
        <v>372</v>
      </c>
      <c r="G929">
        <v>7</v>
      </c>
      <c r="H929" t="s">
        <v>323</v>
      </c>
      <c r="I929" t="s">
        <v>45</v>
      </c>
      <c r="J929" t="s">
        <v>325</v>
      </c>
      <c r="K929" t="s">
        <v>285</v>
      </c>
      <c r="L929" t="s">
        <v>327</v>
      </c>
    </row>
    <row r="930" spans="1:12">
      <c r="A930" t="s">
        <v>318</v>
      </c>
      <c r="B930" t="s">
        <v>319</v>
      </c>
      <c r="C930" t="s">
        <v>377</v>
      </c>
      <c r="D930" s="28">
        <v>7610900082221</v>
      </c>
      <c r="E930" s="29" t="s">
        <v>371</v>
      </c>
      <c r="F930" s="29" t="s">
        <v>372</v>
      </c>
      <c r="G930">
        <v>13</v>
      </c>
      <c r="H930" t="s">
        <v>323</v>
      </c>
      <c r="I930" t="s">
        <v>45</v>
      </c>
      <c r="J930" t="s">
        <v>325</v>
      </c>
      <c r="K930" t="s">
        <v>285</v>
      </c>
      <c r="L930" t="s">
        <v>327</v>
      </c>
    </row>
    <row r="931" spans="1:12">
      <c r="A931" t="s">
        <v>318</v>
      </c>
      <c r="B931" t="s">
        <v>319</v>
      </c>
      <c r="C931" t="s">
        <v>1033</v>
      </c>
      <c r="D931" s="28">
        <v>7610900082223</v>
      </c>
      <c r="E931" s="29" t="s">
        <v>371</v>
      </c>
      <c r="F931" s="29" t="s">
        <v>372</v>
      </c>
      <c r="G931">
        <v>9</v>
      </c>
      <c r="H931" t="s">
        <v>323</v>
      </c>
      <c r="I931" t="s">
        <v>45</v>
      </c>
      <c r="J931" t="s">
        <v>325</v>
      </c>
      <c r="K931" t="s">
        <v>285</v>
      </c>
      <c r="L931" t="s">
        <v>327</v>
      </c>
    </row>
    <row r="932" spans="1:12">
      <c r="A932" t="s">
        <v>318</v>
      </c>
      <c r="B932" t="s">
        <v>319</v>
      </c>
      <c r="C932" t="s">
        <v>1034</v>
      </c>
      <c r="D932" s="28">
        <v>7610900082227</v>
      </c>
      <c r="E932" s="29" t="s">
        <v>371</v>
      </c>
      <c r="F932" s="29" t="s">
        <v>372</v>
      </c>
      <c r="G932">
        <v>8</v>
      </c>
      <c r="H932" t="s">
        <v>323</v>
      </c>
      <c r="I932" t="s">
        <v>45</v>
      </c>
      <c r="J932" t="s">
        <v>325</v>
      </c>
      <c r="K932" t="s">
        <v>285</v>
      </c>
      <c r="L932" t="s">
        <v>327</v>
      </c>
    </row>
    <row r="933" spans="1:12">
      <c r="A933" t="s">
        <v>318</v>
      </c>
      <c r="B933" t="s">
        <v>319</v>
      </c>
      <c r="C933" t="s">
        <v>351</v>
      </c>
      <c r="D933" s="28">
        <v>7610900082231</v>
      </c>
      <c r="E933" s="29" t="s">
        <v>371</v>
      </c>
      <c r="F933" s="29" t="s">
        <v>372</v>
      </c>
      <c r="G933">
        <v>10</v>
      </c>
      <c r="H933" t="s">
        <v>323</v>
      </c>
      <c r="I933" t="s">
        <v>45</v>
      </c>
      <c r="J933" t="s">
        <v>325</v>
      </c>
      <c r="K933" t="s">
        <v>285</v>
      </c>
      <c r="L933" t="s">
        <v>327</v>
      </c>
    </row>
    <row r="934" spans="1:12">
      <c r="A934" t="s">
        <v>318</v>
      </c>
      <c r="B934" t="s">
        <v>319</v>
      </c>
      <c r="C934" t="s">
        <v>377</v>
      </c>
      <c r="D934" s="28">
        <v>7610900100296</v>
      </c>
      <c r="E934" s="29" t="s">
        <v>371</v>
      </c>
      <c r="F934" s="29" t="s">
        <v>372</v>
      </c>
      <c r="G934">
        <v>10</v>
      </c>
      <c r="H934" t="s">
        <v>323</v>
      </c>
      <c r="I934" t="s">
        <v>45</v>
      </c>
      <c r="J934" t="s">
        <v>325</v>
      </c>
      <c r="K934" t="s">
        <v>285</v>
      </c>
      <c r="L934" t="s">
        <v>327</v>
      </c>
    </row>
    <row r="935" spans="1:12">
      <c r="A935" t="s">
        <v>318</v>
      </c>
      <c r="B935" t="s">
        <v>319</v>
      </c>
      <c r="C935" t="s">
        <v>903</v>
      </c>
      <c r="D935" s="28">
        <v>7610900106749</v>
      </c>
      <c r="E935" s="29" t="s">
        <v>371</v>
      </c>
      <c r="F935" s="29" t="s">
        <v>372</v>
      </c>
      <c r="G935">
        <v>6</v>
      </c>
      <c r="H935" t="s">
        <v>323</v>
      </c>
      <c r="I935" t="s">
        <v>45</v>
      </c>
      <c r="J935" t="s">
        <v>325</v>
      </c>
      <c r="K935" t="s">
        <v>285</v>
      </c>
      <c r="L935" t="s">
        <v>327</v>
      </c>
    </row>
    <row r="936" spans="1:12">
      <c r="A936" t="s">
        <v>318</v>
      </c>
      <c r="B936" t="s">
        <v>319</v>
      </c>
      <c r="C936" t="s">
        <v>1035</v>
      </c>
      <c r="D936" s="28">
        <v>7610900109792</v>
      </c>
      <c r="E936" s="29" t="s">
        <v>371</v>
      </c>
      <c r="F936" s="29" t="s">
        <v>372</v>
      </c>
      <c r="G936">
        <v>12</v>
      </c>
      <c r="H936" t="s">
        <v>323</v>
      </c>
      <c r="I936" t="s">
        <v>45</v>
      </c>
      <c r="J936" t="s">
        <v>325</v>
      </c>
      <c r="K936" t="s">
        <v>285</v>
      </c>
      <c r="L936" t="s">
        <v>327</v>
      </c>
    </row>
    <row r="937" spans="1:12">
      <c r="A937" t="s">
        <v>318</v>
      </c>
      <c r="B937" t="s">
        <v>319</v>
      </c>
      <c r="C937" t="s">
        <v>351</v>
      </c>
      <c r="D937" s="28">
        <v>7610900109794</v>
      </c>
      <c r="E937" s="29" t="s">
        <v>371</v>
      </c>
      <c r="F937" s="29" t="s">
        <v>372</v>
      </c>
      <c r="G937">
        <v>7</v>
      </c>
      <c r="H937" t="s">
        <v>323</v>
      </c>
      <c r="I937" t="s">
        <v>45</v>
      </c>
      <c r="J937" t="s">
        <v>325</v>
      </c>
      <c r="K937" t="s">
        <v>285</v>
      </c>
      <c r="L937" t="s">
        <v>327</v>
      </c>
    </row>
    <row r="938" spans="1:12">
      <c r="A938" t="s">
        <v>318</v>
      </c>
      <c r="B938" t="s">
        <v>319</v>
      </c>
      <c r="C938" t="s">
        <v>1036</v>
      </c>
      <c r="D938" s="28">
        <v>761091112902</v>
      </c>
      <c r="E938" s="29" t="s">
        <v>371</v>
      </c>
      <c r="F938" s="29" t="s">
        <v>372</v>
      </c>
      <c r="G938">
        <v>7</v>
      </c>
      <c r="H938" t="s">
        <v>323</v>
      </c>
      <c r="I938" t="s">
        <v>45</v>
      </c>
      <c r="J938" t="s">
        <v>325</v>
      </c>
      <c r="K938" t="s">
        <v>285</v>
      </c>
      <c r="L938" t="s">
        <v>327</v>
      </c>
    </row>
    <row r="939" spans="1:12">
      <c r="A939" t="s">
        <v>318</v>
      </c>
      <c r="B939" t="s">
        <v>319</v>
      </c>
      <c r="C939" t="s">
        <v>1037</v>
      </c>
      <c r="D939" s="28">
        <v>7610900069604</v>
      </c>
      <c r="E939" s="29" t="s">
        <v>371</v>
      </c>
      <c r="F939" s="29" t="s">
        <v>372</v>
      </c>
      <c r="G939">
        <v>11</v>
      </c>
      <c r="H939" t="s">
        <v>323</v>
      </c>
      <c r="I939" t="s">
        <v>45</v>
      </c>
      <c r="J939" t="s">
        <v>325</v>
      </c>
      <c r="K939" t="s">
        <v>285</v>
      </c>
      <c r="L939" t="s">
        <v>327</v>
      </c>
    </row>
    <row r="940" spans="1:12">
      <c r="A940" t="s">
        <v>318</v>
      </c>
      <c r="B940" t="s">
        <v>319</v>
      </c>
      <c r="C940" t="s">
        <v>1038</v>
      </c>
      <c r="D940" s="28">
        <v>7610900069606</v>
      </c>
      <c r="E940" s="29" t="s">
        <v>371</v>
      </c>
      <c r="F940" s="29" t="s">
        <v>372</v>
      </c>
      <c r="G940">
        <v>12</v>
      </c>
      <c r="H940" t="s">
        <v>323</v>
      </c>
      <c r="I940" t="s">
        <v>45</v>
      </c>
      <c r="J940" t="s">
        <v>325</v>
      </c>
      <c r="K940" t="s">
        <v>285</v>
      </c>
      <c r="L940" t="s">
        <v>327</v>
      </c>
    </row>
    <row r="941" spans="1:12">
      <c r="A941" t="s">
        <v>318</v>
      </c>
      <c r="B941" t="s">
        <v>319</v>
      </c>
      <c r="C941" t="s">
        <v>1039</v>
      </c>
      <c r="D941" s="28">
        <v>7610900069607</v>
      </c>
      <c r="E941" s="29" t="s">
        <v>371</v>
      </c>
      <c r="F941" s="29" t="s">
        <v>372</v>
      </c>
      <c r="G941">
        <v>11</v>
      </c>
      <c r="H941" t="s">
        <v>323</v>
      </c>
      <c r="I941" t="s">
        <v>45</v>
      </c>
      <c r="J941" t="s">
        <v>325</v>
      </c>
      <c r="K941" t="s">
        <v>285</v>
      </c>
      <c r="L941" t="s">
        <v>327</v>
      </c>
    </row>
    <row r="942" spans="1:12">
      <c r="A942" t="s">
        <v>318</v>
      </c>
      <c r="B942" t="s">
        <v>319</v>
      </c>
      <c r="C942" t="s">
        <v>1040</v>
      </c>
      <c r="D942" s="28">
        <v>7610900069610</v>
      </c>
      <c r="E942" s="29" t="s">
        <v>371</v>
      </c>
      <c r="F942" s="29" t="s">
        <v>372</v>
      </c>
      <c r="G942">
        <v>10</v>
      </c>
      <c r="H942" t="s">
        <v>323</v>
      </c>
      <c r="I942" t="s">
        <v>45</v>
      </c>
      <c r="J942" t="s">
        <v>325</v>
      </c>
      <c r="K942" t="s">
        <v>285</v>
      </c>
      <c r="L942" t="s">
        <v>327</v>
      </c>
    </row>
    <row r="943" spans="1:12">
      <c r="A943" t="s">
        <v>318</v>
      </c>
      <c r="B943" t="s">
        <v>319</v>
      </c>
      <c r="C943" t="s">
        <v>1041</v>
      </c>
      <c r="D943" s="28">
        <v>7610900069612</v>
      </c>
      <c r="E943" s="29" t="s">
        <v>371</v>
      </c>
      <c r="F943" s="29" t="s">
        <v>372</v>
      </c>
      <c r="G943">
        <v>12</v>
      </c>
      <c r="H943" t="s">
        <v>323</v>
      </c>
      <c r="I943" t="s">
        <v>45</v>
      </c>
      <c r="J943" t="s">
        <v>325</v>
      </c>
      <c r="K943" t="s">
        <v>285</v>
      </c>
      <c r="L943" t="s">
        <v>327</v>
      </c>
    </row>
    <row r="944" spans="1:12">
      <c r="A944" t="s">
        <v>318</v>
      </c>
      <c r="B944" t="s">
        <v>319</v>
      </c>
      <c r="C944" t="s">
        <v>1042</v>
      </c>
      <c r="D944" s="28">
        <v>7610900099930</v>
      </c>
      <c r="E944" s="29" t="s">
        <v>371</v>
      </c>
      <c r="F944" s="29" t="s">
        <v>372</v>
      </c>
      <c r="G944">
        <v>12</v>
      </c>
      <c r="H944" t="s">
        <v>323</v>
      </c>
      <c r="I944" t="s">
        <v>45</v>
      </c>
      <c r="J944" t="s">
        <v>325</v>
      </c>
      <c r="K944" t="s">
        <v>285</v>
      </c>
      <c r="L944" t="s">
        <v>327</v>
      </c>
    </row>
    <row r="945" spans="1:12">
      <c r="A945" t="s">
        <v>318</v>
      </c>
      <c r="B945" t="s">
        <v>319</v>
      </c>
      <c r="C945" t="s">
        <v>1043</v>
      </c>
      <c r="D945" s="28">
        <v>7610900100405</v>
      </c>
      <c r="E945" s="29" t="s">
        <v>371</v>
      </c>
      <c r="F945" s="29" t="s">
        <v>372</v>
      </c>
      <c r="G945">
        <v>12</v>
      </c>
      <c r="H945" t="s">
        <v>323</v>
      </c>
      <c r="I945" t="s">
        <v>45</v>
      </c>
      <c r="J945" t="s">
        <v>325</v>
      </c>
      <c r="K945" t="s">
        <v>285</v>
      </c>
      <c r="L945" t="s">
        <v>327</v>
      </c>
    </row>
    <row r="946" spans="1:12">
      <c r="A946" t="s">
        <v>318</v>
      </c>
      <c r="B946" t="s">
        <v>319</v>
      </c>
      <c r="C946" t="s">
        <v>1044</v>
      </c>
      <c r="D946" s="28">
        <v>7610900100406</v>
      </c>
      <c r="E946" s="29" t="s">
        <v>1045</v>
      </c>
      <c r="F946" s="29" t="s">
        <v>372</v>
      </c>
      <c r="G946">
        <v>13</v>
      </c>
      <c r="H946" t="s">
        <v>323</v>
      </c>
      <c r="I946" t="s">
        <v>45</v>
      </c>
      <c r="J946" t="s">
        <v>325</v>
      </c>
      <c r="K946" t="s">
        <v>285</v>
      </c>
      <c r="L946" t="s">
        <v>327</v>
      </c>
    </row>
    <row r="947" spans="1:12">
      <c r="A947" t="s">
        <v>318</v>
      </c>
      <c r="B947" t="s">
        <v>319</v>
      </c>
      <c r="C947" t="s">
        <v>1046</v>
      </c>
      <c r="D947" s="28">
        <v>7610900098630</v>
      </c>
      <c r="E947" s="29" t="s">
        <v>371</v>
      </c>
      <c r="F947" s="29" t="s">
        <v>372</v>
      </c>
      <c r="G947">
        <v>13</v>
      </c>
      <c r="H947" t="s">
        <v>323</v>
      </c>
      <c r="I947" t="s">
        <v>45</v>
      </c>
      <c r="J947" t="s">
        <v>325</v>
      </c>
      <c r="K947" t="s">
        <v>285</v>
      </c>
      <c r="L947" t="s">
        <v>327</v>
      </c>
    </row>
    <row r="948" spans="1:12">
      <c r="A948" t="s">
        <v>318</v>
      </c>
      <c r="B948" t="s">
        <v>319</v>
      </c>
      <c r="C948" t="s">
        <v>1047</v>
      </c>
      <c r="D948" s="28">
        <v>7610900098632</v>
      </c>
      <c r="E948" s="29" t="s">
        <v>371</v>
      </c>
      <c r="F948" s="29" t="s">
        <v>372</v>
      </c>
      <c r="G948">
        <v>12</v>
      </c>
      <c r="H948" t="s">
        <v>323</v>
      </c>
      <c r="I948" t="s">
        <v>45</v>
      </c>
      <c r="J948" t="s">
        <v>325</v>
      </c>
      <c r="K948" t="s">
        <v>285</v>
      </c>
      <c r="L948" t="s">
        <v>327</v>
      </c>
    </row>
    <row r="949" spans="1:12">
      <c r="A949" t="s">
        <v>318</v>
      </c>
      <c r="B949" t="s">
        <v>319</v>
      </c>
      <c r="C949" t="s">
        <v>1048</v>
      </c>
      <c r="D949" s="28">
        <v>7610900098634</v>
      </c>
      <c r="E949" s="29" t="s">
        <v>371</v>
      </c>
      <c r="F949" s="29" t="s">
        <v>372</v>
      </c>
      <c r="G949">
        <v>13</v>
      </c>
      <c r="H949" t="s">
        <v>323</v>
      </c>
      <c r="I949" t="s">
        <v>45</v>
      </c>
      <c r="J949" t="s">
        <v>325</v>
      </c>
      <c r="K949" t="s">
        <v>285</v>
      </c>
      <c r="L949" t="s">
        <v>327</v>
      </c>
    </row>
    <row r="950" spans="1:12">
      <c r="A950" t="s">
        <v>318</v>
      </c>
      <c r="B950" t="s">
        <v>319</v>
      </c>
      <c r="C950" t="s">
        <v>659</v>
      </c>
      <c r="D950" s="28">
        <v>7610900104689</v>
      </c>
      <c r="E950" s="29" t="s">
        <v>529</v>
      </c>
      <c r="F950" s="29" t="s">
        <v>372</v>
      </c>
      <c r="G950">
        <v>15</v>
      </c>
      <c r="H950" t="s">
        <v>323</v>
      </c>
      <c r="I950" t="s">
        <v>45</v>
      </c>
      <c r="J950" t="s">
        <v>325</v>
      </c>
      <c r="K950" t="s">
        <v>285</v>
      </c>
      <c r="L950" t="s">
        <v>327</v>
      </c>
    </row>
    <row r="951" spans="1:12">
      <c r="A951" t="s">
        <v>318</v>
      </c>
      <c r="B951" t="s">
        <v>1049</v>
      </c>
      <c r="C951" t="s">
        <v>1050</v>
      </c>
      <c r="D951" s="28">
        <v>7611100093045</v>
      </c>
      <c r="E951" s="29" t="s">
        <v>371</v>
      </c>
      <c r="F951" s="29" t="s">
        <v>372</v>
      </c>
      <c r="G951">
        <v>13</v>
      </c>
      <c r="H951" t="s">
        <v>1051</v>
      </c>
      <c r="I951" t="s">
        <v>98</v>
      </c>
      <c r="J951" t="s">
        <v>1052</v>
      </c>
      <c r="K951" t="s">
        <v>285</v>
      </c>
    </row>
    <row r="952" spans="1:12">
      <c r="A952" t="s">
        <v>318</v>
      </c>
      <c r="B952" t="s">
        <v>1049</v>
      </c>
      <c r="C952" t="s">
        <v>1053</v>
      </c>
      <c r="D952" s="28">
        <v>7611100093051</v>
      </c>
      <c r="E952" s="29" t="s">
        <v>371</v>
      </c>
      <c r="F952" s="29" t="s">
        <v>372</v>
      </c>
      <c r="G952">
        <v>13</v>
      </c>
      <c r="H952" t="s">
        <v>1051</v>
      </c>
      <c r="I952" t="s">
        <v>98</v>
      </c>
      <c r="J952" t="s">
        <v>1052</v>
      </c>
      <c r="K952" t="s">
        <v>285</v>
      </c>
    </row>
    <row r="953" spans="1:12">
      <c r="A953" t="s">
        <v>318</v>
      </c>
      <c r="B953" t="s">
        <v>1049</v>
      </c>
      <c r="C953" t="s">
        <v>1054</v>
      </c>
      <c r="D953" s="28">
        <v>7611100093060</v>
      </c>
      <c r="E953" s="29" t="s">
        <v>371</v>
      </c>
      <c r="F953" s="29" t="s">
        <v>372</v>
      </c>
      <c r="G953">
        <v>13</v>
      </c>
      <c r="H953" t="s">
        <v>1051</v>
      </c>
      <c r="I953" t="s">
        <v>98</v>
      </c>
      <c r="J953" t="s">
        <v>1052</v>
      </c>
      <c r="K953" t="s">
        <v>285</v>
      </c>
    </row>
    <row r="954" spans="1:12">
      <c r="A954" t="s">
        <v>318</v>
      </c>
      <c r="B954" t="s">
        <v>1049</v>
      </c>
      <c r="C954" t="s">
        <v>665</v>
      </c>
      <c r="D954" s="28">
        <v>7611100093063</v>
      </c>
      <c r="E954" s="29" t="s">
        <v>371</v>
      </c>
      <c r="F954" s="29" t="s">
        <v>372</v>
      </c>
      <c r="G954">
        <v>13</v>
      </c>
      <c r="H954" t="s">
        <v>1051</v>
      </c>
      <c r="I954" t="s">
        <v>98</v>
      </c>
      <c r="J954" t="s">
        <v>1052</v>
      </c>
      <c r="K954" t="s">
        <v>285</v>
      </c>
    </row>
    <row r="955" spans="1:12">
      <c r="A955" t="s">
        <v>318</v>
      </c>
      <c r="B955" t="s">
        <v>1049</v>
      </c>
      <c r="C955" t="s">
        <v>395</v>
      </c>
      <c r="D955" s="28">
        <v>7611100093080</v>
      </c>
      <c r="E955" s="29" t="s">
        <v>1045</v>
      </c>
      <c r="F955" s="29" t="s">
        <v>372</v>
      </c>
      <c r="G955">
        <v>15</v>
      </c>
      <c r="H955" t="s">
        <v>1051</v>
      </c>
      <c r="I955" t="s">
        <v>98</v>
      </c>
      <c r="J955" t="s">
        <v>1052</v>
      </c>
      <c r="K955" t="s">
        <v>365</v>
      </c>
    </row>
    <row r="956" spans="1:12">
      <c r="A956" t="s">
        <v>318</v>
      </c>
      <c r="B956" t="s">
        <v>1049</v>
      </c>
      <c r="C956" t="s">
        <v>1055</v>
      </c>
      <c r="D956" s="28">
        <v>7611100093085</v>
      </c>
      <c r="E956" s="29" t="s">
        <v>1045</v>
      </c>
      <c r="F956" s="29" t="s">
        <v>372</v>
      </c>
      <c r="G956">
        <v>15</v>
      </c>
      <c r="H956" t="s">
        <v>1051</v>
      </c>
      <c r="I956" t="s">
        <v>98</v>
      </c>
      <c r="J956" t="s">
        <v>1052</v>
      </c>
      <c r="K956" t="s">
        <v>285</v>
      </c>
    </row>
    <row r="957" spans="1:12">
      <c r="A957" t="s">
        <v>318</v>
      </c>
      <c r="B957" t="s">
        <v>1049</v>
      </c>
      <c r="C957" t="s">
        <v>1056</v>
      </c>
      <c r="D957" s="28">
        <v>7611100093089</v>
      </c>
      <c r="E957" s="29" t="s">
        <v>1045</v>
      </c>
      <c r="F957" s="29" t="s">
        <v>372</v>
      </c>
      <c r="G957">
        <v>15</v>
      </c>
      <c r="H957" t="s">
        <v>1051</v>
      </c>
      <c r="I957" t="s">
        <v>98</v>
      </c>
      <c r="J957" t="s">
        <v>1052</v>
      </c>
      <c r="K957" t="s">
        <v>365</v>
      </c>
    </row>
    <row r="958" spans="1:12">
      <c r="A958" t="s">
        <v>318</v>
      </c>
      <c r="B958" t="s">
        <v>1049</v>
      </c>
      <c r="C958" t="s">
        <v>1057</v>
      </c>
      <c r="D958" s="28">
        <v>7611100093102</v>
      </c>
      <c r="E958" s="29" t="s">
        <v>1045</v>
      </c>
      <c r="F958" s="29" t="s">
        <v>372</v>
      </c>
      <c r="G958">
        <v>15</v>
      </c>
      <c r="H958" t="s">
        <v>1051</v>
      </c>
      <c r="I958" t="s">
        <v>98</v>
      </c>
      <c r="J958" t="s">
        <v>1052</v>
      </c>
      <c r="K958" t="s">
        <v>394</v>
      </c>
    </row>
    <row r="959" spans="1:12">
      <c r="A959" t="s">
        <v>318</v>
      </c>
      <c r="B959" t="s">
        <v>1049</v>
      </c>
      <c r="C959" t="s">
        <v>1058</v>
      </c>
      <c r="D959" s="28">
        <v>7611100093104</v>
      </c>
      <c r="E959" s="29" t="s">
        <v>371</v>
      </c>
      <c r="F959" s="29" t="s">
        <v>372</v>
      </c>
      <c r="G959">
        <v>13</v>
      </c>
      <c r="H959" t="s">
        <v>1051</v>
      </c>
      <c r="I959" t="s">
        <v>98</v>
      </c>
      <c r="J959" t="s">
        <v>1052</v>
      </c>
      <c r="K959" t="s">
        <v>285</v>
      </c>
    </row>
    <row r="960" spans="1:12">
      <c r="A960" t="s">
        <v>318</v>
      </c>
      <c r="B960" t="s">
        <v>1049</v>
      </c>
      <c r="C960" t="s">
        <v>1059</v>
      </c>
      <c r="D960" s="28">
        <v>7611100093107</v>
      </c>
      <c r="E960" s="29" t="s">
        <v>371</v>
      </c>
      <c r="F960" s="29" t="s">
        <v>372</v>
      </c>
      <c r="G960">
        <v>13</v>
      </c>
      <c r="H960" t="s">
        <v>1051</v>
      </c>
      <c r="I960" t="s">
        <v>98</v>
      </c>
      <c r="J960" t="s">
        <v>1052</v>
      </c>
      <c r="K960" t="s">
        <v>285</v>
      </c>
    </row>
    <row r="961" spans="1:12">
      <c r="A961" t="s">
        <v>318</v>
      </c>
      <c r="B961" t="s">
        <v>1049</v>
      </c>
      <c r="C961" t="s">
        <v>1060</v>
      </c>
      <c r="D961" s="28">
        <v>7611100093108</v>
      </c>
      <c r="E961" s="29" t="s">
        <v>371</v>
      </c>
      <c r="F961" s="29" t="s">
        <v>372</v>
      </c>
      <c r="G961">
        <v>13</v>
      </c>
      <c r="H961" t="s">
        <v>1051</v>
      </c>
      <c r="I961" t="s">
        <v>98</v>
      </c>
      <c r="J961" t="s">
        <v>1052</v>
      </c>
      <c r="K961" t="s">
        <v>285</v>
      </c>
    </row>
    <row r="962" spans="1:12">
      <c r="A962" t="s">
        <v>318</v>
      </c>
      <c r="B962" t="s">
        <v>1049</v>
      </c>
      <c r="C962" t="s">
        <v>1061</v>
      </c>
      <c r="D962" s="28">
        <v>7611100093110</v>
      </c>
      <c r="E962" s="29" t="s">
        <v>371</v>
      </c>
      <c r="F962" s="29" t="s">
        <v>372</v>
      </c>
      <c r="G962">
        <v>13</v>
      </c>
      <c r="H962" t="s">
        <v>1051</v>
      </c>
      <c r="I962" t="s">
        <v>98</v>
      </c>
      <c r="J962" t="s">
        <v>1052</v>
      </c>
      <c r="K962" t="s">
        <v>285</v>
      </c>
    </row>
    <row r="963" spans="1:12">
      <c r="A963" t="s">
        <v>318</v>
      </c>
      <c r="B963" t="s">
        <v>1049</v>
      </c>
      <c r="C963" t="s">
        <v>1062</v>
      </c>
      <c r="D963" s="28">
        <v>7611100093132</v>
      </c>
      <c r="E963" s="29" t="s">
        <v>371</v>
      </c>
      <c r="F963" s="29" t="s">
        <v>372</v>
      </c>
      <c r="G963">
        <v>13</v>
      </c>
      <c r="H963" t="s">
        <v>1051</v>
      </c>
      <c r="I963" t="s">
        <v>98</v>
      </c>
      <c r="J963" t="s">
        <v>1052</v>
      </c>
      <c r="K963" t="s">
        <v>285</v>
      </c>
    </row>
    <row r="964" spans="1:12">
      <c r="A964" t="s">
        <v>318</v>
      </c>
      <c r="B964" t="s">
        <v>1049</v>
      </c>
      <c r="C964" t="s">
        <v>1063</v>
      </c>
      <c r="D964" s="28">
        <v>7611100093139</v>
      </c>
      <c r="E964" s="29" t="s">
        <v>371</v>
      </c>
      <c r="F964" s="29" t="s">
        <v>372</v>
      </c>
      <c r="G964">
        <v>13</v>
      </c>
      <c r="H964" t="s">
        <v>1051</v>
      </c>
      <c r="I964" t="s">
        <v>98</v>
      </c>
      <c r="J964" t="s">
        <v>1052</v>
      </c>
      <c r="K964" t="s">
        <v>365</v>
      </c>
    </row>
    <row r="965" spans="1:12">
      <c r="A965" t="s">
        <v>318</v>
      </c>
      <c r="B965" t="s">
        <v>1049</v>
      </c>
      <c r="C965" t="s">
        <v>1064</v>
      </c>
      <c r="D965" s="28">
        <v>7611100093142</v>
      </c>
      <c r="E965" s="29" t="s">
        <v>371</v>
      </c>
      <c r="F965" s="29" t="s">
        <v>372</v>
      </c>
      <c r="G965">
        <v>13</v>
      </c>
      <c r="H965" t="s">
        <v>1051</v>
      </c>
      <c r="I965" t="s">
        <v>98</v>
      </c>
      <c r="J965" t="s">
        <v>1052</v>
      </c>
      <c r="K965" t="s">
        <v>285</v>
      </c>
    </row>
    <row r="966" spans="1:12">
      <c r="A966" t="s">
        <v>318</v>
      </c>
      <c r="B966" t="s">
        <v>1049</v>
      </c>
      <c r="C966" t="s">
        <v>1065</v>
      </c>
      <c r="D966" s="28">
        <v>7611100093143</v>
      </c>
      <c r="E966" s="29" t="s">
        <v>371</v>
      </c>
      <c r="F966" s="29" t="s">
        <v>372</v>
      </c>
      <c r="G966">
        <v>13</v>
      </c>
      <c r="H966" t="s">
        <v>1051</v>
      </c>
      <c r="I966" t="s">
        <v>98</v>
      </c>
      <c r="J966" t="s">
        <v>1052</v>
      </c>
      <c r="K966" t="s">
        <v>365</v>
      </c>
    </row>
    <row r="967" spans="1:12">
      <c r="A967" t="s">
        <v>318</v>
      </c>
      <c r="B967" t="s">
        <v>1049</v>
      </c>
      <c r="C967" t="s">
        <v>1066</v>
      </c>
      <c r="D967" s="28">
        <v>7611100093147</v>
      </c>
      <c r="E967" s="29" t="s">
        <v>371</v>
      </c>
      <c r="F967" s="29" t="s">
        <v>372</v>
      </c>
      <c r="G967">
        <v>11</v>
      </c>
      <c r="H967" t="s">
        <v>323</v>
      </c>
      <c r="I967" t="s">
        <v>45</v>
      </c>
      <c r="J967" t="s">
        <v>1052</v>
      </c>
      <c r="K967" t="s">
        <v>285</v>
      </c>
      <c r="L967" t="s">
        <v>327</v>
      </c>
    </row>
    <row r="968" spans="1:12">
      <c r="A968" t="s">
        <v>318</v>
      </c>
      <c r="B968" t="s">
        <v>1049</v>
      </c>
      <c r="C968" t="s">
        <v>1067</v>
      </c>
      <c r="D968" s="28">
        <v>7611100093148</v>
      </c>
      <c r="E968" s="29" t="s">
        <v>371</v>
      </c>
      <c r="F968" s="29" t="s">
        <v>372</v>
      </c>
      <c r="G968">
        <v>13</v>
      </c>
      <c r="H968" t="s">
        <v>1051</v>
      </c>
      <c r="I968" t="s">
        <v>98</v>
      </c>
      <c r="J968" t="s">
        <v>1052</v>
      </c>
      <c r="K968" t="s">
        <v>285</v>
      </c>
    </row>
    <row r="969" spans="1:12">
      <c r="A969" t="s">
        <v>318</v>
      </c>
      <c r="B969" t="s">
        <v>1049</v>
      </c>
      <c r="C969" t="s">
        <v>1068</v>
      </c>
      <c r="D969" s="28">
        <v>7611100093149</v>
      </c>
      <c r="E969" s="29" t="s">
        <v>371</v>
      </c>
      <c r="F969" s="29" t="s">
        <v>372</v>
      </c>
      <c r="G969">
        <v>13</v>
      </c>
      <c r="H969" t="s">
        <v>1051</v>
      </c>
      <c r="I969" t="s">
        <v>98</v>
      </c>
      <c r="J969" t="s">
        <v>1052</v>
      </c>
      <c r="K969" t="s">
        <v>365</v>
      </c>
    </row>
    <row r="970" spans="1:12">
      <c r="A970" t="s">
        <v>318</v>
      </c>
      <c r="B970" t="s">
        <v>1049</v>
      </c>
      <c r="C970" t="s">
        <v>1069</v>
      </c>
      <c r="D970" s="28">
        <v>7611100093150</v>
      </c>
      <c r="E970" s="29" t="s">
        <v>371</v>
      </c>
      <c r="F970" s="29" t="s">
        <v>372</v>
      </c>
      <c r="G970">
        <v>13</v>
      </c>
      <c r="H970" t="s">
        <v>1051</v>
      </c>
      <c r="I970" t="s">
        <v>98</v>
      </c>
      <c r="J970" t="s">
        <v>1052</v>
      </c>
      <c r="K970" t="s">
        <v>285</v>
      </c>
    </row>
    <row r="971" spans="1:12">
      <c r="A971" t="s">
        <v>318</v>
      </c>
      <c r="B971" t="s">
        <v>1049</v>
      </c>
      <c r="C971" t="s">
        <v>1070</v>
      </c>
      <c r="D971" s="28">
        <v>7611100093164</v>
      </c>
      <c r="E971" s="29" t="s">
        <v>371</v>
      </c>
      <c r="F971" s="29" t="s">
        <v>372</v>
      </c>
      <c r="G971">
        <v>13</v>
      </c>
      <c r="H971" t="s">
        <v>1051</v>
      </c>
      <c r="I971" t="s">
        <v>98</v>
      </c>
      <c r="J971" t="s">
        <v>1052</v>
      </c>
      <c r="K971" t="s">
        <v>285</v>
      </c>
    </row>
    <row r="972" spans="1:12">
      <c r="A972" t="s">
        <v>318</v>
      </c>
      <c r="B972" t="s">
        <v>1049</v>
      </c>
      <c r="C972" t="s">
        <v>1071</v>
      </c>
      <c r="D972" s="28">
        <v>7611100093180</v>
      </c>
      <c r="E972" s="29" t="s">
        <v>371</v>
      </c>
      <c r="F972" s="29" t="s">
        <v>372</v>
      </c>
      <c r="G972">
        <v>13</v>
      </c>
      <c r="H972" t="s">
        <v>1051</v>
      </c>
      <c r="I972" t="s">
        <v>98</v>
      </c>
      <c r="J972" t="s">
        <v>1052</v>
      </c>
      <c r="K972" t="s">
        <v>285</v>
      </c>
    </row>
    <row r="973" spans="1:12">
      <c r="A973" t="s">
        <v>318</v>
      </c>
      <c r="B973" t="s">
        <v>1049</v>
      </c>
      <c r="C973" t="s">
        <v>348</v>
      </c>
      <c r="D973" s="28">
        <v>7611100093182</v>
      </c>
      <c r="E973" s="29" t="s">
        <v>371</v>
      </c>
      <c r="F973" s="29" t="s">
        <v>372</v>
      </c>
      <c r="G973">
        <v>13</v>
      </c>
      <c r="H973" t="s">
        <v>1051</v>
      </c>
      <c r="I973" t="s">
        <v>98</v>
      </c>
      <c r="J973" t="s">
        <v>1052</v>
      </c>
      <c r="K973" t="s">
        <v>285</v>
      </c>
    </row>
    <row r="974" spans="1:12">
      <c r="A974" t="s">
        <v>318</v>
      </c>
      <c r="B974" t="s">
        <v>1049</v>
      </c>
      <c r="C974" t="s">
        <v>1072</v>
      </c>
      <c r="D974" s="28">
        <v>7611100093184</v>
      </c>
      <c r="E974" s="29" t="s">
        <v>371</v>
      </c>
      <c r="F974" s="29" t="s">
        <v>372</v>
      </c>
      <c r="G974">
        <v>13</v>
      </c>
      <c r="H974" t="s">
        <v>1051</v>
      </c>
      <c r="I974" t="s">
        <v>98</v>
      </c>
      <c r="J974" t="s">
        <v>1052</v>
      </c>
      <c r="K974" t="s">
        <v>285</v>
      </c>
    </row>
    <row r="975" spans="1:12">
      <c r="A975" t="s">
        <v>318</v>
      </c>
      <c r="B975" t="s">
        <v>1049</v>
      </c>
      <c r="C975" t="s">
        <v>1073</v>
      </c>
      <c r="D975" s="28">
        <v>7611100093185</v>
      </c>
      <c r="E975" s="29" t="s">
        <v>371</v>
      </c>
      <c r="F975" s="29" t="s">
        <v>372</v>
      </c>
      <c r="G975">
        <v>13</v>
      </c>
      <c r="H975" t="s">
        <v>1051</v>
      </c>
      <c r="I975" t="s">
        <v>98</v>
      </c>
      <c r="J975" t="s">
        <v>1052</v>
      </c>
      <c r="K975" t="s">
        <v>285</v>
      </c>
    </row>
    <row r="976" spans="1:12">
      <c r="A976" t="s">
        <v>318</v>
      </c>
      <c r="B976" t="s">
        <v>1049</v>
      </c>
      <c r="C976" t="s">
        <v>387</v>
      </c>
      <c r="D976" s="28">
        <v>7611100093186</v>
      </c>
      <c r="E976" s="29" t="s">
        <v>371</v>
      </c>
      <c r="F976" s="29" t="s">
        <v>372</v>
      </c>
      <c r="G976">
        <v>13</v>
      </c>
      <c r="H976" t="s">
        <v>1051</v>
      </c>
      <c r="I976" t="s">
        <v>98</v>
      </c>
      <c r="J976" t="s">
        <v>1052</v>
      </c>
      <c r="K976" t="s">
        <v>285</v>
      </c>
    </row>
    <row r="977" spans="1:12">
      <c r="A977" t="s">
        <v>318</v>
      </c>
      <c r="B977" t="s">
        <v>1049</v>
      </c>
      <c r="C977" t="s">
        <v>969</v>
      </c>
      <c r="D977" s="28">
        <v>7611100093189</v>
      </c>
      <c r="E977" s="29" t="s">
        <v>371</v>
      </c>
      <c r="F977" s="29" t="s">
        <v>372</v>
      </c>
      <c r="G977">
        <v>13</v>
      </c>
      <c r="H977" t="s">
        <v>1051</v>
      </c>
      <c r="I977" t="s">
        <v>98</v>
      </c>
      <c r="J977" t="s">
        <v>1052</v>
      </c>
      <c r="K977" t="s">
        <v>285</v>
      </c>
    </row>
    <row r="978" spans="1:12">
      <c r="A978" t="s">
        <v>318</v>
      </c>
      <c r="B978" t="s">
        <v>1049</v>
      </c>
      <c r="C978" t="s">
        <v>1074</v>
      </c>
      <c r="D978" s="28">
        <v>761111124377</v>
      </c>
      <c r="E978" s="29" t="s">
        <v>371</v>
      </c>
      <c r="F978" s="29" t="s">
        <v>372</v>
      </c>
      <c r="G978">
        <v>13</v>
      </c>
      <c r="H978" t="s">
        <v>1051</v>
      </c>
      <c r="I978" t="s">
        <v>98</v>
      </c>
      <c r="J978" t="s">
        <v>1052</v>
      </c>
      <c r="K978" t="s">
        <v>365</v>
      </c>
    </row>
    <row r="979" spans="1:12">
      <c r="A979" t="s">
        <v>318</v>
      </c>
      <c r="B979" t="s">
        <v>1049</v>
      </c>
      <c r="C979" t="s">
        <v>1075</v>
      </c>
      <c r="D979" s="28">
        <v>7612600093112</v>
      </c>
      <c r="E979" s="29" t="s">
        <v>371</v>
      </c>
      <c r="F979" s="29" t="s">
        <v>372</v>
      </c>
      <c r="G979">
        <v>13</v>
      </c>
      <c r="H979" t="s">
        <v>1051</v>
      </c>
      <c r="I979" t="s">
        <v>98</v>
      </c>
      <c r="J979" t="s">
        <v>1076</v>
      </c>
      <c r="K979" t="s">
        <v>365</v>
      </c>
    </row>
    <row r="980" spans="1:12">
      <c r="A980" t="s">
        <v>318</v>
      </c>
      <c r="B980" t="s">
        <v>1049</v>
      </c>
      <c r="C980" t="s">
        <v>1077</v>
      </c>
      <c r="D980" s="28">
        <v>7612600093113</v>
      </c>
      <c r="E980" s="29" t="s">
        <v>371</v>
      </c>
      <c r="F980" s="29" t="s">
        <v>372</v>
      </c>
      <c r="G980">
        <v>13</v>
      </c>
      <c r="H980" t="s">
        <v>1051</v>
      </c>
      <c r="I980" t="s">
        <v>45</v>
      </c>
      <c r="J980" t="s">
        <v>1076</v>
      </c>
      <c r="K980" t="s">
        <v>285</v>
      </c>
    </row>
    <row r="981" spans="1:12">
      <c r="A981" t="s">
        <v>318</v>
      </c>
      <c r="B981" t="s">
        <v>1049</v>
      </c>
      <c r="C981" t="s">
        <v>1078</v>
      </c>
      <c r="D981" s="28">
        <v>7612600093114</v>
      </c>
      <c r="E981" s="29" t="s">
        <v>371</v>
      </c>
      <c r="F981" s="29" t="s">
        <v>372</v>
      </c>
      <c r="G981">
        <v>13</v>
      </c>
      <c r="H981" t="s">
        <v>1051</v>
      </c>
      <c r="I981" t="s">
        <v>98</v>
      </c>
      <c r="J981" t="s">
        <v>1076</v>
      </c>
      <c r="K981" t="s">
        <v>365</v>
      </c>
    </row>
    <row r="982" spans="1:12">
      <c r="A982" t="s">
        <v>318</v>
      </c>
      <c r="B982" t="s">
        <v>1049</v>
      </c>
      <c r="C982" t="s">
        <v>1079</v>
      </c>
      <c r="D982" s="28">
        <v>7612600093115</v>
      </c>
      <c r="E982" s="29" t="s">
        <v>371</v>
      </c>
      <c r="F982" s="29" t="s">
        <v>372</v>
      </c>
      <c r="G982">
        <v>13</v>
      </c>
      <c r="H982" t="s">
        <v>1051</v>
      </c>
      <c r="I982" t="s">
        <v>45</v>
      </c>
      <c r="J982" t="s">
        <v>1076</v>
      </c>
      <c r="K982" t="s">
        <v>285</v>
      </c>
    </row>
    <row r="983" spans="1:12">
      <c r="A983" t="s">
        <v>318</v>
      </c>
      <c r="B983" t="s">
        <v>1049</v>
      </c>
      <c r="C983" t="s">
        <v>389</v>
      </c>
      <c r="D983" s="28">
        <v>7612600093116</v>
      </c>
      <c r="E983" s="29" t="s">
        <v>371</v>
      </c>
      <c r="F983" s="29" t="s">
        <v>372</v>
      </c>
      <c r="G983">
        <v>13</v>
      </c>
      <c r="H983" t="s">
        <v>323</v>
      </c>
      <c r="I983" t="s">
        <v>45</v>
      </c>
      <c r="J983" t="s">
        <v>1076</v>
      </c>
      <c r="K983" t="s">
        <v>285</v>
      </c>
      <c r="L983" t="s">
        <v>327</v>
      </c>
    </row>
    <row r="984" spans="1:12">
      <c r="A984" t="s">
        <v>318</v>
      </c>
      <c r="B984" t="s">
        <v>1049</v>
      </c>
      <c r="C984" t="s">
        <v>1080</v>
      </c>
      <c r="D984" s="28">
        <v>7612600093197</v>
      </c>
      <c r="E984" s="29" t="s">
        <v>371</v>
      </c>
      <c r="F984" s="29" t="s">
        <v>372</v>
      </c>
      <c r="G984">
        <v>13</v>
      </c>
      <c r="H984" t="s">
        <v>1051</v>
      </c>
      <c r="I984" t="s">
        <v>45</v>
      </c>
      <c r="J984" t="s">
        <v>1076</v>
      </c>
      <c r="K984" t="s">
        <v>365</v>
      </c>
    </row>
    <row r="985" spans="1:12">
      <c r="A985" t="s">
        <v>318</v>
      </c>
      <c r="B985" t="s">
        <v>1049</v>
      </c>
      <c r="C985" t="s">
        <v>1081</v>
      </c>
      <c r="D985" s="28">
        <v>7631800093214</v>
      </c>
      <c r="E985" s="29" t="s">
        <v>371</v>
      </c>
      <c r="F985" s="29" t="s">
        <v>372</v>
      </c>
      <c r="G985">
        <v>13</v>
      </c>
      <c r="H985" t="s">
        <v>1051</v>
      </c>
      <c r="I985" t="s">
        <v>45</v>
      </c>
      <c r="J985" t="s">
        <v>1082</v>
      </c>
      <c r="K985" t="s">
        <v>285</v>
      </c>
    </row>
    <row r="986" spans="1:12">
      <c r="A986" t="s">
        <v>318</v>
      </c>
      <c r="B986" t="s">
        <v>1049</v>
      </c>
      <c r="C986" t="s">
        <v>1083</v>
      </c>
      <c r="D986" s="28">
        <v>7631800093216</v>
      </c>
      <c r="E986" s="29" t="s">
        <v>371</v>
      </c>
      <c r="F986" s="29" t="s">
        <v>372</v>
      </c>
      <c r="G986">
        <v>11</v>
      </c>
      <c r="H986" t="s">
        <v>1051</v>
      </c>
      <c r="I986" t="s">
        <v>98</v>
      </c>
      <c r="J986" t="s">
        <v>1082</v>
      </c>
      <c r="K986" t="s">
        <v>285</v>
      </c>
    </row>
    <row r="987" spans="1:12">
      <c r="A987" t="s">
        <v>318</v>
      </c>
      <c r="B987" t="s">
        <v>1049</v>
      </c>
      <c r="C987" t="s">
        <v>1084</v>
      </c>
      <c r="D987" s="28">
        <v>7631800093218</v>
      </c>
      <c r="E987" s="29" t="s">
        <v>371</v>
      </c>
      <c r="F987" s="29" t="s">
        <v>372</v>
      </c>
      <c r="G987">
        <v>13</v>
      </c>
      <c r="H987" t="s">
        <v>1051</v>
      </c>
      <c r="I987" t="s">
        <v>45</v>
      </c>
      <c r="J987" t="s">
        <v>1082</v>
      </c>
      <c r="K987" t="s">
        <v>365</v>
      </c>
    </row>
    <row r="988" spans="1:12">
      <c r="A988" t="s">
        <v>318</v>
      </c>
      <c r="B988" t="s">
        <v>1049</v>
      </c>
      <c r="C988" t="s">
        <v>1085</v>
      </c>
      <c r="D988" s="28">
        <v>763181121304</v>
      </c>
      <c r="E988" s="29" t="s">
        <v>371</v>
      </c>
      <c r="F988" s="29" t="s">
        <v>372</v>
      </c>
      <c r="G988">
        <v>13</v>
      </c>
      <c r="H988" t="s">
        <v>1051</v>
      </c>
      <c r="I988" t="s">
        <v>45</v>
      </c>
      <c r="J988" t="s">
        <v>1082</v>
      </c>
      <c r="K988" t="s">
        <v>365</v>
      </c>
    </row>
    <row r="989" spans="1:12">
      <c r="A989" t="s">
        <v>318</v>
      </c>
      <c r="B989" t="s">
        <v>1049</v>
      </c>
      <c r="C989" t="s">
        <v>1086</v>
      </c>
      <c r="D989" s="28">
        <v>763181121305</v>
      </c>
      <c r="E989" s="29" t="s">
        <v>371</v>
      </c>
      <c r="F989" s="29" t="s">
        <v>372</v>
      </c>
      <c r="G989">
        <v>13</v>
      </c>
      <c r="H989" t="s">
        <v>1051</v>
      </c>
      <c r="I989" t="s">
        <v>45</v>
      </c>
      <c r="J989" t="s">
        <v>1082</v>
      </c>
      <c r="K989" t="s">
        <v>365</v>
      </c>
    </row>
    <row r="990" spans="1:12">
      <c r="A990" t="s">
        <v>318</v>
      </c>
      <c r="B990" t="s">
        <v>1049</v>
      </c>
      <c r="C990" t="s">
        <v>1074</v>
      </c>
      <c r="D990" s="28">
        <v>763181121309</v>
      </c>
      <c r="E990" s="29" t="s">
        <v>371</v>
      </c>
      <c r="F990" s="29" t="s">
        <v>372</v>
      </c>
      <c r="G990">
        <v>13</v>
      </c>
      <c r="H990" t="s">
        <v>1051</v>
      </c>
      <c r="I990" t="s">
        <v>45</v>
      </c>
      <c r="J990" t="s">
        <v>1082</v>
      </c>
      <c r="K990" t="s">
        <v>365</v>
      </c>
    </row>
    <row r="991" spans="1:12">
      <c r="A991" t="s">
        <v>318</v>
      </c>
      <c r="B991" t="s">
        <v>1049</v>
      </c>
      <c r="C991" t="s">
        <v>1087</v>
      </c>
      <c r="D991" s="28">
        <v>763181121311</v>
      </c>
      <c r="E991" s="29" t="s">
        <v>371</v>
      </c>
      <c r="F991" s="29" t="s">
        <v>372</v>
      </c>
      <c r="G991">
        <v>13</v>
      </c>
      <c r="H991" t="s">
        <v>1051</v>
      </c>
      <c r="I991" t="s">
        <v>45</v>
      </c>
      <c r="J991" t="s">
        <v>1082</v>
      </c>
      <c r="K991" t="s">
        <v>285</v>
      </c>
    </row>
    <row r="992" spans="1:12">
      <c r="A992" t="s">
        <v>318</v>
      </c>
      <c r="B992" t="s">
        <v>1049</v>
      </c>
      <c r="C992" t="s">
        <v>1088</v>
      </c>
      <c r="D992" s="28">
        <v>7660600114408</v>
      </c>
      <c r="E992" s="29" t="s">
        <v>393</v>
      </c>
      <c r="F992" s="29" t="s">
        <v>372</v>
      </c>
      <c r="G992">
        <v>18</v>
      </c>
      <c r="H992" t="s">
        <v>1051</v>
      </c>
      <c r="I992" t="s">
        <v>45</v>
      </c>
      <c r="J992" t="s">
        <v>1089</v>
      </c>
      <c r="K992" t="s">
        <v>394</v>
      </c>
      <c r="L992" t="s">
        <v>1090</v>
      </c>
    </row>
    <row r="993" spans="1:12">
      <c r="A993" t="s">
        <v>318</v>
      </c>
      <c r="B993" t="s">
        <v>1049</v>
      </c>
      <c r="C993" t="s">
        <v>1091</v>
      </c>
      <c r="D993" s="28">
        <v>766061111824</v>
      </c>
      <c r="E993" s="29" t="s">
        <v>393</v>
      </c>
      <c r="F993" s="29" t="s">
        <v>372</v>
      </c>
      <c r="G993">
        <v>16</v>
      </c>
      <c r="H993" t="s">
        <v>1051</v>
      </c>
      <c r="I993" t="s">
        <v>45</v>
      </c>
      <c r="J993" t="s">
        <v>1089</v>
      </c>
      <c r="K993" t="s">
        <v>394</v>
      </c>
      <c r="L993" t="s">
        <v>1090</v>
      </c>
    </row>
    <row r="994" spans="1:12">
      <c r="A994" t="s">
        <v>318</v>
      </c>
      <c r="B994" t="s">
        <v>1049</v>
      </c>
      <c r="C994" t="s">
        <v>1092</v>
      </c>
      <c r="D994" s="28">
        <v>766061111828</v>
      </c>
      <c r="E994" s="29" t="s">
        <v>393</v>
      </c>
      <c r="F994" s="29" t="s">
        <v>372</v>
      </c>
      <c r="G994">
        <v>18</v>
      </c>
      <c r="H994" t="s">
        <v>1051</v>
      </c>
      <c r="I994" t="s">
        <v>45</v>
      </c>
      <c r="J994" t="s">
        <v>1089</v>
      </c>
      <c r="K994" t="s">
        <v>394</v>
      </c>
      <c r="L994" t="s">
        <v>1090</v>
      </c>
    </row>
    <row r="995" spans="1:12">
      <c r="A995" t="s">
        <v>318</v>
      </c>
      <c r="B995" t="s">
        <v>1049</v>
      </c>
      <c r="C995" t="s">
        <v>1093</v>
      </c>
      <c r="D995" s="28">
        <v>766061111829</v>
      </c>
      <c r="E995" s="29" t="s">
        <v>393</v>
      </c>
      <c r="F995" s="29" t="s">
        <v>372</v>
      </c>
      <c r="G995">
        <v>13</v>
      </c>
      <c r="H995" t="s">
        <v>1051</v>
      </c>
      <c r="I995" t="s">
        <v>45</v>
      </c>
      <c r="J995" t="s">
        <v>1089</v>
      </c>
      <c r="K995" t="s">
        <v>394</v>
      </c>
      <c r="L995" t="s">
        <v>1090</v>
      </c>
    </row>
    <row r="996" spans="1:12">
      <c r="A996" t="s">
        <v>318</v>
      </c>
      <c r="B996" t="s">
        <v>1049</v>
      </c>
      <c r="C996" t="s">
        <v>1094</v>
      </c>
      <c r="D996" s="28">
        <v>766061111831</v>
      </c>
      <c r="E996" s="29" t="s">
        <v>393</v>
      </c>
      <c r="F996" s="29" t="s">
        <v>372</v>
      </c>
      <c r="G996">
        <v>20</v>
      </c>
      <c r="H996" t="s">
        <v>1051</v>
      </c>
      <c r="I996" t="s">
        <v>45</v>
      </c>
      <c r="J996" t="s">
        <v>1089</v>
      </c>
      <c r="K996" t="s">
        <v>394</v>
      </c>
      <c r="L996" t="s">
        <v>1090</v>
      </c>
    </row>
    <row r="997" spans="1:12">
      <c r="A997" t="s">
        <v>318</v>
      </c>
      <c r="B997" t="s">
        <v>1049</v>
      </c>
      <c r="C997" t="s">
        <v>1095</v>
      </c>
      <c r="D997" s="28">
        <v>766061111833</v>
      </c>
      <c r="E997" s="29" t="s">
        <v>393</v>
      </c>
      <c r="F997" s="29" t="s">
        <v>372</v>
      </c>
      <c r="G997">
        <v>12</v>
      </c>
      <c r="H997" t="s">
        <v>1051</v>
      </c>
      <c r="I997" t="s">
        <v>45</v>
      </c>
      <c r="J997" t="s">
        <v>1089</v>
      </c>
      <c r="K997" t="s">
        <v>394</v>
      </c>
      <c r="L997" t="s">
        <v>1090</v>
      </c>
    </row>
    <row r="998" spans="1:12">
      <c r="A998" t="s">
        <v>318</v>
      </c>
      <c r="B998" t="s">
        <v>1049</v>
      </c>
      <c r="C998" t="s">
        <v>1096</v>
      </c>
      <c r="D998" s="28">
        <v>766061111872</v>
      </c>
      <c r="E998" s="29" t="s">
        <v>393</v>
      </c>
      <c r="F998" s="29" t="s">
        <v>372</v>
      </c>
      <c r="G998">
        <v>20</v>
      </c>
      <c r="H998" t="s">
        <v>323</v>
      </c>
      <c r="I998" t="s">
        <v>45</v>
      </c>
      <c r="J998" t="s">
        <v>1089</v>
      </c>
      <c r="K998" t="s">
        <v>394</v>
      </c>
      <c r="L998" t="s">
        <v>327</v>
      </c>
    </row>
    <row r="999" spans="1:12">
      <c r="A999" t="s">
        <v>318</v>
      </c>
      <c r="B999" t="s">
        <v>1049</v>
      </c>
      <c r="C999" t="s">
        <v>1097</v>
      </c>
      <c r="D999" s="28">
        <v>766061119602</v>
      </c>
      <c r="E999" s="29" t="s">
        <v>393</v>
      </c>
      <c r="F999" s="29" t="s">
        <v>372</v>
      </c>
      <c r="G999">
        <v>16</v>
      </c>
      <c r="H999" t="s">
        <v>1051</v>
      </c>
      <c r="I999" t="s">
        <v>45</v>
      </c>
      <c r="J999" t="s">
        <v>1089</v>
      </c>
      <c r="K999" t="s">
        <v>394</v>
      </c>
      <c r="L999" t="s">
        <v>1090</v>
      </c>
    </row>
    <row r="1000" spans="1:12">
      <c r="A1000" t="s">
        <v>318</v>
      </c>
      <c r="B1000" t="s">
        <v>1049</v>
      </c>
      <c r="C1000" t="s">
        <v>1098</v>
      </c>
      <c r="D1000" s="28">
        <v>766061119603</v>
      </c>
      <c r="E1000" s="29" t="s">
        <v>393</v>
      </c>
      <c r="F1000" s="29" t="s">
        <v>372</v>
      </c>
      <c r="G1000">
        <v>16</v>
      </c>
      <c r="H1000" t="s">
        <v>1051</v>
      </c>
      <c r="I1000" t="s">
        <v>45</v>
      </c>
      <c r="J1000" t="s">
        <v>1089</v>
      </c>
      <c r="K1000" t="s">
        <v>394</v>
      </c>
      <c r="L1000" t="s">
        <v>1090</v>
      </c>
    </row>
    <row r="1001" spans="1:12">
      <c r="A1001" t="s">
        <v>318</v>
      </c>
      <c r="B1001" t="s">
        <v>1049</v>
      </c>
      <c r="C1001" t="s">
        <v>1099</v>
      </c>
      <c r="D1001" s="28">
        <v>766061119604</v>
      </c>
      <c r="E1001" s="29" t="s">
        <v>393</v>
      </c>
      <c r="F1001" s="29" t="s">
        <v>372</v>
      </c>
      <c r="G1001">
        <v>17</v>
      </c>
      <c r="H1001" t="s">
        <v>1051</v>
      </c>
      <c r="I1001" t="s">
        <v>45</v>
      </c>
      <c r="J1001" t="s">
        <v>1089</v>
      </c>
      <c r="K1001" t="s">
        <v>394</v>
      </c>
      <c r="L1001" t="s">
        <v>1090</v>
      </c>
    </row>
    <row r="1002" spans="1:12">
      <c r="A1002" t="s">
        <v>318</v>
      </c>
      <c r="B1002" t="s">
        <v>1049</v>
      </c>
      <c r="C1002" t="s">
        <v>1100</v>
      </c>
      <c r="D1002" s="28">
        <v>766061131953</v>
      </c>
      <c r="E1002" s="29" t="s">
        <v>393</v>
      </c>
      <c r="F1002" s="29" t="s">
        <v>372</v>
      </c>
      <c r="G1002">
        <v>11</v>
      </c>
      <c r="H1002" t="s">
        <v>1051</v>
      </c>
      <c r="I1002" t="s">
        <v>45</v>
      </c>
      <c r="J1002" t="s">
        <v>1089</v>
      </c>
      <c r="K1002" t="s">
        <v>394</v>
      </c>
      <c r="L1002" t="s">
        <v>1090</v>
      </c>
    </row>
    <row r="1003" spans="1:12">
      <c r="A1003" t="s">
        <v>318</v>
      </c>
      <c r="B1003" t="s">
        <v>1049</v>
      </c>
      <c r="C1003" t="s">
        <v>1101</v>
      </c>
      <c r="D1003" s="28">
        <v>766061131954</v>
      </c>
      <c r="E1003" s="29" t="s">
        <v>393</v>
      </c>
      <c r="F1003" s="29" t="s">
        <v>372</v>
      </c>
      <c r="G1003">
        <v>17</v>
      </c>
      <c r="H1003" t="s">
        <v>1051</v>
      </c>
      <c r="I1003" t="s">
        <v>45</v>
      </c>
      <c r="J1003" t="s">
        <v>1089</v>
      </c>
      <c r="K1003" t="s">
        <v>394</v>
      </c>
      <c r="L1003" t="s">
        <v>1090</v>
      </c>
    </row>
    <row r="1004" spans="1:12">
      <c r="A1004" t="s">
        <v>318</v>
      </c>
      <c r="B1004" t="s">
        <v>1049</v>
      </c>
      <c r="C1004" t="s">
        <v>1102</v>
      </c>
      <c r="D1004" s="28">
        <v>766061131969</v>
      </c>
      <c r="E1004" s="29" t="s">
        <v>393</v>
      </c>
      <c r="F1004" s="29" t="s">
        <v>372</v>
      </c>
      <c r="G1004">
        <v>12</v>
      </c>
      <c r="H1004" t="s">
        <v>323</v>
      </c>
      <c r="I1004" t="s">
        <v>45</v>
      </c>
      <c r="J1004" t="s">
        <v>1089</v>
      </c>
      <c r="K1004" t="s">
        <v>394</v>
      </c>
      <c r="L1004" t="s">
        <v>327</v>
      </c>
    </row>
    <row r="1005" spans="1:12">
      <c r="A1005" t="s">
        <v>318</v>
      </c>
      <c r="B1005" t="s">
        <v>1049</v>
      </c>
      <c r="C1005" t="s">
        <v>1103</v>
      </c>
      <c r="D1005" s="28">
        <v>766061132207</v>
      </c>
      <c r="E1005" s="29" t="s">
        <v>393</v>
      </c>
      <c r="F1005" s="29" t="s">
        <v>372</v>
      </c>
      <c r="G1005">
        <v>12</v>
      </c>
      <c r="H1005" t="s">
        <v>1051</v>
      </c>
      <c r="I1005" t="s">
        <v>45</v>
      </c>
      <c r="J1005" t="s">
        <v>1089</v>
      </c>
      <c r="K1005" t="s">
        <v>394</v>
      </c>
      <c r="L1005" t="s">
        <v>1090</v>
      </c>
    </row>
    <row r="1006" spans="1:12">
      <c r="A1006" t="s">
        <v>318</v>
      </c>
      <c r="B1006" t="s">
        <v>1049</v>
      </c>
      <c r="C1006" t="s">
        <v>1104</v>
      </c>
      <c r="D1006" s="28">
        <v>766061144421</v>
      </c>
      <c r="E1006" s="29" t="s">
        <v>393</v>
      </c>
      <c r="F1006" s="29" t="s">
        <v>372</v>
      </c>
      <c r="G1006">
        <v>16</v>
      </c>
      <c r="H1006" t="s">
        <v>1051</v>
      </c>
      <c r="I1006" t="s">
        <v>45</v>
      </c>
      <c r="J1006" t="s">
        <v>1089</v>
      </c>
      <c r="K1006" t="s">
        <v>394</v>
      </c>
      <c r="L1006" t="s">
        <v>1090</v>
      </c>
    </row>
    <row r="1007" spans="1:12">
      <c r="A1007" t="s">
        <v>318</v>
      </c>
      <c r="B1007" t="s">
        <v>1049</v>
      </c>
      <c r="C1007" t="s">
        <v>1105</v>
      </c>
      <c r="D1007" s="28">
        <v>766061144425</v>
      </c>
      <c r="E1007" s="29" t="s">
        <v>393</v>
      </c>
      <c r="F1007" s="29" t="s">
        <v>372</v>
      </c>
      <c r="G1007">
        <v>19</v>
      </c>
      <c r="H1007" t="s">
        <v>1051</v>
      </c>
      <c r="I1007" t="s">
        <v>45</v>
      </c>
      <c r="J1007" t="s">
        <v>1089</v>
      </c>
      <c r="K1007" t="s">
        <v>394</v>
      </c>
      <c r="L1007" t="s">
        <v>1090</v>
      </c>
    </row>
    <row r="1008" spans="1:12">
      <c r="A1008" t="s">
        <v>318</v>
      </c>
      <c r="B1008" t="s">
        <v>1049</v>
      </c>
      <c r="C1008" t="s">
        <v>1106</v>
      </c>
      <c r="D1008" s="28">
        <v>766061148452</v>
      </c>
      <c r="E1008" s="29" t="s">
        <v>393</v>
      </c>
      <c r="F1008" s="29" t="s">
        <v>372</v>
      </c>
      <c r="G1008">
        <v>14</v>
      </c>
      <c r="H1008" t="s">
        <v>323</v>
      </c>
      <c r="I1008" t="s">
        <v>45</v>
      </c>
      <c r="J1008" t="s">
        <v>1089</v>
      </c>
      <c r="K1008" t="s">
        <v>394</v>
      </c>
      <c r="L1008" t="s">
        <v>327</v>
      </c>
    </row>
    <row r="1009" spans="1:12">
      <c r="A1009" t="s">
        <v>318</v>
      </c>
      <c r="B1009" t="s">
        <v>1049</v>
      </c>
      <c r="C1009" t="s">
        <v>1107</v>
      </c>
      <c r="D1009" s="28">
        <v>766061148511</v>
      </c>
      <c r="E1009" s="29" t="s">
        <v>393</v>
      </c>
      <c r="F1009" s="29" t="s">
        <v>372</v>
      </c>
      <c r="G1009">
        <v>18</v>
      </c>
      <c r="H1009" t="s">
        <v>323</v>
      </c>
      <c r="I1009" t="s">
        <v>45</v>
      </c>
      <c r="J1009" t="s">
        <v>1089</v>
      </c>
      <c r="K1009" t="s">
        <v>394</v>
      </c>
      <c r="L1009" t="s">
        <v>327</v>
      </c>
    </row>
    <row r="1010" spans="1:12">
      <c r="A1010" t="s">
        <v>318</v>
      </c>
      <c r="B1010" t="s">
        <v>1049</v>
      </c>
      <c r="C1010" t="s">
        <v>1108</v>
      </c>
      <c r="D1010" s="28">
        <v>7667000071247</v>
      </c>
      <c r="E1010" s="29" t="s">
        <v>363</v>
      </c>
      <c r="F1010" s="29" t="s">
        <v>364</v>
      </c>
      <c r="G1010">
        <v>97</v>
      </c>
      <c r="H1010" t="s">
        <v>1051</v>
      </c>
      <c r="I1010" t="s">
        <v>45</v>
      </c>
      <c r="J1010" t="s">
        <v>1109</v>
      </c>
      <c r="K1010" t="s">
        <v>365</v>
      </c>
      <c r="L1010" t="s">
        <v>1090</v>
      </c>
    </row>
    <row r="1011" spans="1:12">
      <c r="A1011" t="s">
        <v>318</v>
      </c>
      <c r="B1011" t="s">
        <v>1049</v>
      </c>
      <c r="C1011" t="s">
        <v>1110</v>
      </c>
      <c r="D1011" s="28">
        <v>7667000127400</v>
      </c>
      <c r="E1011" s="29" t="s">
        <v>393</v>
      </c>
      <c r="F1011" s="29" t="s">
        <v>372</v>
      </c>
      <c r="G1011">
        <v>42</v>
      </c>
      <c r="H1011" t="s">
        <v>1051</v>
      </c>
      <c r="I1011" t="s">
        <v>98</v>
      </c>
      <c r="J1011" t="s">
        <v>1109</v>
      </c>
      <c r="K1011" t="s">
        <v>394</v>
      </c>
      <c r="L1011" t="s">
        <v>327</v>
      </c>
    </row>
    <row r="1012" spans="1:12">
      <c r="A1012" t="s">
        <v>318</v>
      </c>
      <c r="B1012" t="s">
        <v>1049</v>
      </c>
      <c r="C1012" t="s">
        <v>1111</v>
      </c>
      <c r="D1012" s="28">
        <v>7667000127407</v>
      </c>
      <c r="E1012" s="29" t="s">
        <v>393</v>
      </c>
      <c r="F1012" s="29" t="s">
        <v>372</v>
      </c>
      <c r="G1012">
        <v>38</v>
      </c>
      <c r="H1012" t="s">
        <v>1051</v>
      </c>
      <c r="I1012" t="s">
        <v>45</v>
      </c>
      <c r="J1012" t="s">
        <v>1109</v>
      </c>
      <c r="K1012" t="s">
        <v>394</v>
      </c>
      <c r="L1012" t="s">
        <v>327</v>
      </c>
    </row>
    <row r="1013" spans="1:12">
      <c r="A1013" t="s">
        <v>318</v>
      </c>
      <c r="B1013" t="s">
        <v>1049</v>
      </c>
      <c r="C1013" t="s">
        <v>1091</v>
      </c>
      <c r="D1013" s="28">
        <v>7667000127421</v>
      </c>
      <c r="E1013" s="29" t="s">
        <v>393</v>
      </c>
      <c r="F1013" s="29" t="s">
        <v>372</v>
      </c>
      <c r="G1013">
        <v>27</v>
      </c>
      <c r="H1013" t="s">
        <v>1051</v>
      </c>
      <c r="I1013" t="s">
        <v>45</v>
      </c>
      <c r="J1013" t="s">
        <v>1109</v>
      </c>
      <c r="K1013" t="s">
        <v>369</v>
      </c>
      <c r="L1013" t="s">
        <v>327</v>
      </c>
    </row>
    <row r="1014" spans="1:12">
      <c r="A1014" t="s">
        <v>318</v>
      </c>
      <c r="B1014" t="s">
        <v>1049</v>
      </c>
      <c r="C1014" t="s">
        <v>1112</v>
      </c>
      <c r="D1014" s="28">
        <v>7667000127432</v>
      </c>
      <c r="E1014" s="29" t="s">
        <v>393</v>
      </c>
      <c r="F1014" s="29" t="s">
        <v>372</v>
      </c>
      <c r="G1014">
        <v>42</v>
      </c>
      <c r="H1014" t="s">
        <v>1051</v>
      </c>
      <c r="I1014" t="s">
        <v>45</v>
      </c>
      <c r="J1014" t="s">
        <v>1109</v>
      </c>
      <c r="K1014" t="s">
        <v>394</v>
      </c>
      <c r="L1014" t="s">
        <v>327</v>
      </c>
    </row>
    <row r="1015" spans="1:12">
      <c r="A1015" t="s">
        <v>318</v>
      </c>
      <c r="B1015" t="s">
        <v>1049</v>
      </c>
      <c r="C1015" t="s">
        <v>1113</v>
      </c>
      <c r="D1015" s="28">
        <v>7667000127443</v>
      </c>
      <c r="E1015" s="29" t="s">
        <v>393</v>
      </c>
      <c r="F1015" s="29" t="s">
        <v>372</v>
      </c>
      <c r="G1015">
        <v>41</v>
      </c>
      <c r="H1015" t="s">
        <v>1051</v>
      </c>
      <c r="I1015" t="s">
        <v>45</v>
      </c>
      <c r="J1015" t="s">
        <v>1109</v>
      </c>
      <c r="K1015" t="s">
        <v>394</v>
      </c>
      <c r="L1015" t="s">
        <v>327</v>
      </c>
    </row>
    <row r="1016" spans="1:12">
      <c r="A1016" t="s">
        <v>318</v>
      </c>
      <c r="B1016" t="s">
        <v>1049</v>
      </c>
      <c r="C1016" t="s">
        <v>1097</v>
      </c>
      <c r="D1016" s="28">
        <v>7667000127458</v>
      </c>
      <c r="E1016" s="29" t="s">
        <v>393</v>
      </c>
      <c r="F1016" s="29" t="s">
        <v>372</v>
      </c>
      <c r="G1016">
        <v>16</v>
      </c>
      <c r="H1016" t="s">
        <v>1051</v>
      </c>
      <c r="I1016" t="s">
        <v>98</v>
      </c>
      <c r="J1016" t="s">
        <v>1109</v>
      </c>
      <c r="K1016" t="s">
        <v>394</v>
      </c>
      <c r="L1016" t="s">
        <v>327</v>
      </c>
    </row>
    <row r="1017" spans="1:12">
      <c r="A1017" t="s">
        <v>318</v>
      </c>
      <c r="B1017" t="s">
        <v>1049</v>
      </c>
      <c r="C1017" t="s">
        <v>1114</v>
      </c>
      <c r="D1017" s="28">
        <v>766701139012</v>
      </c>
      <c r="E1017" s="29" t="s">
        <v>393</v>
      </c>
      <c r="F1017" s="29" t="s">
        <v>372</v>
      </c>
      <c r="G1017">
        <v>10</v>
      </c>
      <c r="H1017" t="s">
        <v>1051</v>
      </c>
      <c r="I1017" t="s">
        <v>98</v>
      </c>
      <c r="J1017" t="s">
        <v>1109</v>
      </c>
      <c r="K1017" t="s">
        <v>394</v>
      </c>
      <c r="L1017" t="s">
        <v>327</v>
      </c>
    </row>
    <row r="1018" spans="1:12">
      <c r="A1018" t="s">
        <v>318</v>
      </c>
      <c r="B1018" t="s">
        <v>1049</v>
      </c>
      <c r="C1018" t="s">
        <v>1115</v>
      </c>
      <c r="D1018" s="28">
        <v>766701139013</v>
      </c>
      <c r="E1018" s="29" t="s">
        <v>393</v>
      </c>
      <c r="F1018" s="29" t="s">
        <v>372</v>
      </c>
      <c r="G1018">
        <v>17</v>
      </c>
      <c r="H1018" t="s">
        <v>1051</v>
      </c>
      <c r="I1018" t="s">
        <v>98</v>
      </c>
      <c r="J1018" t="s">
        <v>1109</v>
      </c>
      <c r="K1018" t="s">
        <v>394</v>
      </c>
      <c r="L1018" t="s">
        <v>327</v>
      </c>
    </row>
    <row r="1019" spans="1:12">
      <c r="A1019" t="s">
        <v>318</v>
      </c>
      <c r="B1019" t="s">
        <v>1049</v>
      </c>
      <c r="C1019" t="s">
        <v>1116</v>
      </c>
      <c r="D1019" s="28">
        <v>766701139022</v>
      </c>
      <c r="E1019" s="29" t="s">
        <v>393</v>
      </c>
      <c r="F1019" s="29" t="s">
        <v>372</v>
      </c>
      <c r="G1019">
        <v>24</v>
      </c>
      <c r="H1019" t="s">
        <v>1051</v>
      </c>
      <c r="I1019" t="s">
        <v>98</v>
      </c>
      <c r="J1019" t="s">
        <v>1109</v>
      </c>
      <c r="K1019" t="s">
        <v>394</v>
      </c>
      <c r="L1019" t="s">
        <v>327</v>
      </c>
    </row>
    <row r="1020" spans="1:12">
      <c r="A1020" t="s">
        <v>318</v>
      </c>
      <c r="B1020" t="s">
        <v>1049</v>
      </c>
      <c r="C1020" t="s">
        <v>1117</v>
      </c>
      <c r="D1020" s="28">
        <v>766701139132</v>
      </c>
      <c r="E1020" s="29" t="s">
        <v>393</v>
      </c>
      <c r="F1020" s="29" t="s">
        <v>372</v>
      </c>
      <c r="G1020">
        <v>16</v>
      </c>
      <c r="H1020" t="s">
        <v>1051</v>
      </c>
      <c r="I1020" t="s">
        <v>98</v>
      </c>
      <c r="J1020" t="s">
        <v>1109</v>
      </c>
      <c r="K1020" t="s">
        <v>394</v>
      </c>
      <c r="L1020" t="s">
        <v>327</v>
      </c>
    </row>
    <row r="1021" spans="1:12">
      <c r="A1021" t="s">
        <v>318</v>
      </c>
      <c r="B1021" t="s">
        <v>1049</v>
      </c>
      <c r="C1021" t="s">
        <v>1118</v>
      </c>
      <c r="D1021" s="28">
        <v>766701139895</v>
      </c>
      <c r="E1021" s="29" t="s">
        <v>393</v>
      </c>
      <c r="F1021" s="29" t="s">
        <v>372</v>
      </c>
      <c r="G1021">
        <v>18</v>
      </c>
      <c r="H1021" t="s">
        <v>1051</v>
      </c>
      <c r="I1021" t="s">
        <v>98</v>
      </c>
      <c r="J1021" t="s">
        <v>1109</v>
      </c>
      <c r="K1021" t="s">
        <v>394</v>
      </c>
      <c r="L1021" t="s">
        <v>327</v>
      </c>
    </row>
    <row r="1022" spans="1:12">
      <c r="A1022" t="s">
        <v>318</v>
      </c>
      <c r="B1022" t="s">
        <v>1049</v>
      </c>
      <c r="C1022" t="s">
        <v>1119</v>
      </c>
      <c r="D1022" s="28">
        <v>7612600040819</v>
      </c>
      <c r="E1022" s="29" t="s">
        <v>987</v>
      </c>
      <c r="F1022" s="29" t="s">
        <v>364</v>
      </c>
      <c r="G1022">
        <v>100</v>
      </c>
      <c r="H1022" t="s">
        <v>323</v>
      </c>
      <c r="I1022" t="s">
        <v>45</v>
      </c>
      <c r="J1022" t="s">
        <v>1076</v>
      </c>
      <c r="K1022" t="s">
        <v>394</v>
      </c>
      <c r="L1022" t="s">
        <v>1090</v>
      </c>
    </row>
    <row r="1023" spans="1:12">
      <c r="A1023" t="s">
        <v>318</v>
      </c>
      <c r="B1023" t="s">
        <v>1049</v>
      </c>
      <c r="C1023" t="s">
        <v>1120</v>
      </c>
      <c r="D1023" s="28">
        <v>7612600138611</v>
      </c>
      <c r="E1023" s="29" t="s">
        <v>393</v>
      </c>
      <c r="F1023" s="29" t="s">
        <v>372</v>
      </c>
      <c r="G1023">
        <v>16</v>
      </c>
      <c r="H1023" t="s">
        <v>323</v>
      </c>
      <c r="I1023" t="s">
        <v>324</v>
      </c>
      <c r="J1023" t="s">
        <v>1076</v>
      </c>
      <c r="K1023" t="s">
        <v>394</v>
      </c>
      <c r="L1023" t="s">
        <v>327</v>
      </c>
    </row>
    <row r="1024" spans="1:12">
      <c r="A1024" t="s">
        <v>318</v>
      </c>
      <c r="B1024" t="s">
        <v>1049</v>
      </c>
      <c r="C1024" t="s">
        <v>1121</v>
      </c>
      <c r="D1024" s="28">
        <v>7612600138621</v>
      </c>
      <c r="E1024" s="29" t="s">
        <v>393</v>
      </c>
      <c r="F1024" s="29" t="s">
        <v>372</v>
      </c>
      <c r="G1024">
        <v>12</v>
      </c>
      <c r="H1024" t="s">
        <v>323</v>
      </c>
      <c r="I1024" t="s">
        <v>324</v>
      </c>
      <c r="J1024" t="s">
        <v>1076</v>
      </c>
      <c r="K1024" t="s">
        <v>337</v>
      </c>
      <c r="L1024" t="s">
        <v>327</v>
      </c>
    </row>
    <row r="1025" spans="1:12">
      <c r="A1025" t="s">
        <v>318</v>
      </c>
      <c r="B1025" t="s">
        <v>1049</v>
      </c>
      <c r="C1025" t="s">
        <v>1122</v>
      </c>
      <c r="D1025" s="28">
        <v>7612600138625</v>
      </c>
      <c r="E1025" s="29" t="s">
        <v>393</v>
      </c>
      <c r="F1025" s="29" t="s">
        <v>372</v>
      </c>
      <c r="G1025">
        <v>28</v>
      </c>
      <c r="H1025" t="s">
        <v>323</v>
      </c>
      <c r="I1025" t="s">
        <v>324</v>
      </c>
      <c r="J1025" t="s">
        <v>1076</v>
      </c>
      <c r="K1025" t="s">
        <v>394</v>
      </c>
      <c r="L1025" t="s">
        <v>327</v>
      </c>
    </row>
    <row r="1026" spans="1:12">
      <c r="A1026" t="s">
        <v>318</v>
      </c>
      <c r="B1026" t="s">
        <v>1049</v>
      </c>
      <c r="C1026" t="s">
        <v>1123</v>
      </c>
      <c r="D1026" s="28">
        <v>7612600138627</v>
      </c>
      <c r="E1026" s="29" t="s">
        <v>393</v>
      </c>
      <c r="F1026" s="29" t="s">
        <v>372</v>
      </c>
      <c r="G1026">
        <v>24</v>
      </c>
      <c r="H1026" t="s">
        <v>323</v>
      </c>
      <c r="I1026" t="s">
        <v>324</v>
      </c>
      <c r="J1026" t="s">
        <v>1076</v>
      </c>
      <c r="K1026" t="s">
        <v>394</v>
      </c>
      <c r="L1026" t="s">
        <v>327</v>
      </c>
    </row>
    <row r="1027" spans="1:12">
      <c r="A1027" t="s">
        <v>318</v>
      </c>
      <c r="B1027" t="s">
        <v>1049</v>
      </c>
      <c r="C1027" t="s">
        <v>1124</v>
      </c>
      <c r="D1027" s="28">
        <v>7612600138632</v>
      </c>
      <c r="E1027" s="29" t="s">
        <v>393</v>
      </c>
      <c r="F1027" s="29" t="s">
        <v>372</v>
      </c>
      <c r="G1027">
        <v>14</v>
      </c>
      <c r="H1027" t="s">
        <v>323</v>
      </c>
      <c r="I1027" t="s">
        <v>324</v>
      </c>
      <c r="J1027" t="s">
        <v>1076</v>
      </c>
      <c r="K1027" t="s">
        <v>394</v>
      </c>
      <c r="L1027" t="s">
        <v>327</v>
      </c>
    </row>
    <row r="1028" spans="1:12">
      <c r="A1028" t="s">
        <v>318</v>
      </c>
      <c r="B1028" t="s">
        <v>1049</v>
      </c>
      <c r="C1028" t="s">
        <v>1125</v>
      </c>
      <c r="D1028" s="28">
        <v>7612600138634</v>
      </c>
      <c r="E1028" s="29" t="s">
        <v>393</v>
      </c>
      <c r="F1028" s="29" t="s">
        <v>372</v>
      </c>
      <c r="G1028">
        <v>28</v>
      </c>
      <c r="H1028" t="s">
        <v>1051</v>
      </c>
      <c r="I1028" t="s">
        <v>324</v>
      </c>
      <c r="J1028" t="s">
        <v>1076</v>
      </c>
      <c r="K1028" t="s">
        <v>394</v>
      </c>
      <c r="L1028" t="s">
        <v>327</v>
      </c>
    </row>
    <row r="1029" spans="1:12">
      <c r="A1029" t="s">
        <v>318</v>
      </c>
      <c r="B1029" t="s">
        <v>1049</v>
      </c>
      <c r="C1029" t="s">
        <v>1126</v>
      </c>
      <c r="D1029" s="28">
        <v>761261111813</v>
      </c>
      <c r="E1029" s="29" t="s">
        <v>393</v>
      </c>
      <c r="F1029" s="29" t="s">
        <v>372</v>
      </c>
      <c r="G1029">
        <v>12</v>
      </c>
      <c r="H1029" t="s">
        <v>323</v>
      </c>
      <c r="I1029" t="s">
        <v>324</v>
      </c>
      <c r="J1029" t="s">
        <v>1076</v>
      </c>
      <c r="K1029" t="s">
        <v>337</v>
      </c>
      <c r="L1029" t="s">
        <v>327</v>
      </c>
    </row>
    <row r="1030" spans="1:12">
      <c r="A1030" t="s">
        <v>318</v>
      </c>
      <c r="B1030" t="s">
        <v>1049</v>
      </c>
      <c r="C1030" t="s">
        <v>1127</v>
      </c>
      <c r="D1030" s="28">
        <v>761261111816</v>
      </c>
      <c r="E1030" s="29" t="s">
        <v>393</v>
      </c>
      <c r="F1030" s="29" t="s">
        <v>372</v>
      </c>
      <c r="G1030">
        <v>16</v>
      </c>
      <c r="H1030" t="s">
        <v>323</v>
      </c>
      <c r="I1030" t="s">
        <v>45</v>
      </c>
      <c r="J1030" t="s">
        <v>1076</v>
      </c>
      <c r="K1030" t="s">
        <v>394</v>
      </c>
      <c r="L1030" t="s">
        <v>327</v>
      </c>
    </row>
    <row r="1031" spans="1:12">
      <c r="A1031" t="s">
        <v>318</v>
      </c>
      <c r="B1031" t="s">
        <v>1049</v>
      </c>
      <c r="C1031" t="s">
        <v>1128</v>
      </c>
      <c r="D1031" s="28">
        <v>761261113739</v>
      </c>
      <c r="E1031" s="29" t="s">
        <v>393</v>
      </c>
      <c r="F1031" s="29" t="s">
        <v>372</v>
      </c>
      <c r="G1031">
        <v>16</v>
      </c>
      <c r="H1031" t="s">
        <v>323</v>
      </c>
      <c r="I1031" t="s">
        <v>324</v>
      </c>
      <c r="J1031" t="s">
        <v>1076</v>
      </c>
      <c r="K1031" t="s">
        <v>394</v>
      </c>
      <c r="L1031" t="s">
        <v>327</v>
      </c>
    </row>
    <row r="1032" spans="1:12">
      <c r="A1032" t="s">
        <v>318</v>
      </c>
      <c r="B1032" t="s">
        <v>1049</v>
      </c>
      <c r="C1032" t="s">
        <v>1129</v>
      </c>
      <c r="D1032" s="28">
        <v>761261113747</v>
      </c>
      <c r="E1032" s="29" t="s">
        <v>393</v>
      </c>
      <c r="F1032" s="29" t="s">
        <v>372</v>
      </c>
      <c r="G1032">
        <v>12</v>
      </c>
      <c r="H1032" t="s">
        <v>323</v>
      </c>
      <c r="I1032" t="s">
        <v>45</v>
      </c>
      <c r="J1032" t="s">
        <v>1076</v>
      </c>
      <c r="K1032" t="s">
        <v>394</v>
      </c>
      <c r="L1032" t="s">
        <v>327</v>
      </c>
    </row>
    <row r="1033" spans="1:12">
      <c r="A1033" t="s">
        <v>318</v>
      </c>
      <c r="B1033" t="s">
        <v>1049</v>
      </c>
      <c r="C1033" t="s">
        <v>1130</v>
      </c>
      <c r="D1033" s="28">
        <v>761261113769</v>
      </c>
      <c r="E1033" s="29" t="s">
        <v>393</v>
      </c>
      <c r="F1033" s="29" t="s">
        <v>372</v>
      </c>
      <c r="G1033">
        <v>14</v>
      </c>
      <c r="H1033" t="s">
        <v>323</v>
      </c>
      <c r="I1033" t="s">
        <v>45</v>
      </c>
      <c r="J1033" t="s">
        <v>1076</v>
      </c>
      <c r="K1033" t="s">
        <v>394</v>
      </c>
      <c r="L1033" t="s">
        <v>327</v>
      </c>
    </row>
    <row r="1034" spans="1:12">
      <c r="A1034" t="s">
        <v>318</v>
      </c>
      <c r="B1034" t="s">
        <v>1049</v>
      </c>
      <c r="C1034" t="s">
        <v>1131</v>
      </c>
      <c r="D1034" s="28">
        <v>761261113774</v>
      </c>
      <c r="E1034" s="29" t="s">
        <v>393</v>
      </c>
      <c r="F1034" s="29" t="s">
        <v>372</v>
      </c>
      <c r="G1034">
        <v>13</v>
      </c>
      <c r="H1034" t="s">
        <v>323</v>
      </c>
      <c r="I1034" t="s">
        <v>324</v>
      </c>
      <c r="J1034" t="s">
        <v>1076</v>
      </c>
      <c r="K1034" t="s">
        <v>337</v>
      </c>
      <c r="L1034" t="s">
        <v>327</v>
      </c>
    </row>
    <row r="1035" spans="1:12">
      <c r="A1035" t="s">
        <v>318</v>
      </c>
      <c r="B1035" t="s">
        <v>1049</v>
      </c>
      <c r="C1035" t="s">
        <v>1132</v>
      </c>
      <c r="D1035" s="28">
        <v>761261131933</v>
      </c>
      <c r="E1035" s="29" t="s">
        <v>393</v>
      </c>
      <c r="F1035" s="29" t="s">
        <v>372</v>
      </c>
      <c r="G1035">
        <v>16</v>
      </c>
      <c r="H1035" t="s">
        <v>323</v>
      </c>
      <c r="I1035" t="s">
        <v>324</v>
      </c>
      <c r="J1035" t="s">
        <v>1076</v>
      </c>
      <c r="K1035" t="s">
        <v>394</v>
      </c>
      <c r="L1035" t="s">
        <v>327</v>
      </c>
    </row>
    <row r="1036" spans="1:12">
      <c r="A1036" t="s">
        <v>318</v>
      </c>
      <c r="B1036" t="s">
        <v>1049</v>
      </c>
      <c r="C1036" t="s">
        <v>1133</v>
      </c>
      <c r="D1036" s="28">
        <v>761261131937</v>
      </c>
      <c r="E1036" s="29" t="s">
        <v>393</v>
      </c>
      <c r="F1036" s="29" t="s">
        <v>372</v>
      </c>
      <c r="G1036">
        <v>15</v>
      </c>
      <c r="H1036" t="s">
        <v>323</v>
      </c>
      <c r="I1036" t="s">
        <v>45</v>
      </c>
      <c r="J1036" t="s">
        <v>1076</v>
      </c>
      <c r="K1036" t="s">
        <v>337</v>
      </c>
      <c r="L1036" t="s">
        <v>327</v>
      </c>
    </row>
    <row r="1037" spans="1:12">
      <c r="A1037" t="s">
        <v>318</v>
      </c>
      <c r="B1037" t="s">
        <v>1049</v>
      </c>
      <c r="C1037" t="s">
        <v>1134</v>
      </c>
      <c r="D1037" s="28">
        <v>761261132159</v>
      </c>
      <c r="E1037" s="29" t="s">
        <v>393</v>
      </c>
      <c r="F1037" s="29" t="s">
        <v>372</v>
      </c>
      <c r="G1037">
        <v>13</v>
      </c>
      <c r="H1037" t="s">
        <v>323</v>
      </c>
      <c r="I1037" t="s">
        <v>324</v>
      </c>
      <c r="J1037" t="s">
        <v>1076</v>
      </c>
      <c r="K1037" t="s">
        <v>394</v>
      </c>
      <c r="L1037" t="s">
        <v>327</v>
      </c>
    </row>
    <row r="1038" spans="1:12">
      <c r="A1038" t="s">
        <v>318</v>
      </c>
      <c r="B1038" t="s">
        <v>1049</v>
      </c>
      <c r="C1038" t="s">
        <v>1135</v>
      </c>
      <c r="D1038" s="28">
        <v>761261144426</v>
      </c>
      <c r="E1038" s="29" t="s">
        <v>393</v>
      </c>
      <c r="F1038" s="29" t="s">
        <v>372</v>
      </c>
      <c r="G1038">
        <v>11</v>
      </c>
      <c r="H1038" t="s">
        <v>323</v>
      </c>
      <c r="I1038" t="s">
        <v>324</v>
      </c>
      <c r="J1038" t="s">
        <v>1076</v>
      </c>
      <c r="K1038" t="s">
        <v>394</v>
      </c>
      <c r="L1038" t="s">
        <v>327</v>
      </c>
    </row>
    <row r="1039" spans="1:12">
      <c r="A1039" t="s">
        <v>318</v>
      </c>
      <c r="B1039" t="s">
        <v>1049</v>
      </c>
      <c r="C1039" t="s">
        <v>1136</v>
      </c>
      <c r="D1039" s="28">
        <v>761261146244</v>
      </c>
      <c r="E1039" s="29" t="s">
        <v>393</v>
      </c>
      <c r="F1039" s="29" t="s">
        <v>372</v>
      </c>
      <c r="G1039">
        <v>11</v>
      </c>
      <c r="H1039" t="s">
        <v>1051</v>
      </c>
      <c r="I1039" t="s">
        <v>324</v>
      </c>
      <c r="J1039" t="s">
        <v>1076</v>
      </c>
      <c r="K1039" t="s">
        <v>337</v>
      </c>
      <c r="L1039" t="s">
        <v>327</v>
      </c>
    </row>
    <row r="1040" spans="1:12">
      <c r="A1040" t="s">
        <v>318</v>
      </c>
      <c r="B1040" t="s">
        <v>1049</v>
      </c>
      <c r="C1040" t="s">
        <v>1137</v>
      </c>
      <c r="D1040" s="28">
        <v>7611100030570</v>
      </c>
      <c r="E1040" s="29" t="s">
        <v>987</v>
      </c>
      <c r="F1040" s="29" t="s">
        <v>364</v>
      </c>
      <c r="G1040">
        <v>107</v>
      </c>
      <c r="H1040" t="s">
        <v>1051</v>
      </c>
      <c r="I1040" t="s">
        <v>45</v>
      </c>
      <c r="J1040" t="s">
        <v>1052</v>
      </c>
      <c r="K1040" t="s">
        <v>365</v>
      </c>
      <c r="L1040" t="s">
        <v>327</v>
      </c>
    </row>
    <row r="1041" spans="1:12">
      <c r="A1041" t="s">
        <v>318</v>
      </c>
      <c r="B1041" t="s">
        <v>1049</v>
      </c>
      <c r="C1041" t="s">
        <v>1138</v>
      </c>
      <c r="D1041" s="28">
        <v>7611100092329</v>
      </c>
      <c r="E1041" s="29" t="s">
        <v>987</v>
      </c>
      <c r="F1041" s="29" t="s">
        <v>364</v>
      </c>
      <c r="G1041">
        <v>80</v>
      </c>
      <c r="H1041" t="s">
        <v>1051</v>
      </c>
      <c r="I1041" t="s">
        <v>98</v>
      </c>
      <c r="J1041" t="s">
        <v>1052</v>
      </c>
      <c r="K1041" t="s">
        <v>365</v>
      </c>
      <c r="L1041" t="s">
        <v>327</v>
      </c>
    </row>
    <row r="1042" spans="1:12">
      <c r="A1042" t="s">
        <v>318</v>
      </c>
      <c r="B1042" t="s">
        <v>1049</v>
      </c>
      <c r="C1042" t="s">
        <v>1139</v>
      </c>
      <c r="D1042" s="28">
        <v>7660600054698</v>
      </c>
      <c r="E1042" s="29" t="s">
        <v>987</v>
      </c>
      <c r="F1042" s="29" t="s">
        <v>364</v>
      </c>
      <c r="G1042">
        <v>90</v>
      </c>
      <c r="H1042" t="s">
        <v>1051</v>
      </c>
      <c r="I1042" t="s">
        <v>45</v>
      </c>
      <c r="J1042" t="s">
        <v>1089</v>
      </c>
      <c r="K1042" t="s">
        <v>394</v>
      </c>
      <c r="L1042" t="s">
        <v>1090</v>
      </c>
    </row>
    <row r="1043" spans="1:12">
      <c r="A1043" t="s">
        <v>318</v>
      </c>
      <c r="B1043" t="s">
        <v>1049</v>
      </c>
      <c r="C1043" t="s">
        <v>1140</v>
      </c>
      <c r="D1043" s="28">
        <v>7689000112369</v>
      </c>
      <c r="E1043" s="29" t="s">
        <v>363</v>
      </c>
      <c r="F1043" s="29" t="s">
        <v>364</v>
      </c>
      <c r="G1043">
        <v>71</v>
      </c>
      <c r="H1043" t="s">
        <v>323</v>
      </c>
      <c r="I1043" t="s">
        <v>45</v>
      </c>
      <c r="J1043" t="s">
        <v>1141</v>
      </c>
      <c r="K1043" t="s">
        <v>365</v>
      </c>
      <c r="L1043" t="s">
        <v>1090</v>
      </c>
    </row>
    <row r="1044" spans="1:12">
      <c r="A1044" t="s">
        <v>318</v>
      </c>
      <c r="B1044" t="s">
        <v>1049</v>
      </c>
      <c r="C1044" t="s">
        <v>1142</v>
      </c>
      <c r="D1044" s="28">
        <v>7689000127323</v>
      </c>
      <c r="E1044" s="29" t="s">
        <v>393</v>
      </c>
      <c r="F1044" s="29" t="s">
        <v>372</v>
      </c>
      <c r="G1044">
        <v>24</v>
      </c>
      <c r="H1044" t="s">
        <v>1051</v>
      </c>
      <c r="I1044" t="s">
        <v>98</v>
      </c>
      <c r="J1044" t="s">
        <v>1141</v>
      </c>
      <c r="K1044" t="s">
        <v>394</v>
      </c>
      <c r="L1044" t="s">
        <v>1090</v>
      </c>
    </row>
    <row r="1045" spans="1:12">
      <c r="A1045" t="s">
        <v>318</v>
      </c>
      <c r="B1045" t="s">
        <v>1049</v>
      </c>
      <c r="C1045" t="s">
        <v>1143</v>
      </c>
      <c r="D1045" s="28">
        <v>7689000127333</v>
      </c>
      <c r="E1045" s="29" t="s">
        <v>393</v>
      </c>
      <c r="F1045" s="29" t="s">
        <v>372</v>
      </c>
      <c r="G1045">
        <v>40</v>
      </c>
      <c r="H1045" t="s">
        <v>1051</v>
      </c>
      <c r="I1045" t="s">
        <v>98</v>
      </c>
      <c r="J1045" t="s">
        <v>1141</v>
      </c>
      <c r="K1045" t="s">
        <v>369</v>
      </c>
      <c r="L1045" t="s">
        <v>327</v>
      </c>
    </row>
    <row r="1046" spans="1:12">
      <c r="A1046" t="s">
        <v>318</v>
      </c>
      <c r="B1046" t="s">
        <v>1049</v>
      </c>
      <c r="C1046" t="s">
        <v>1144</v>
      </c>
      <c r="D1046" s="28">
        <v>7689000127334</v>
      </c>
      <c r="E1046" s="29" t="s">
        <v>393</v>
      </c>
      <c r="F1046" s="29" t="s">
        <v>372</v>
      </c>
      <c r="G1046">
        <v>36</v>
      </c>
      <c r="H1046" t="s">
        <v>323</v>
      </c>
      <c r="I1046" t="s">
        <v>45</v>
      </c>
      <c r="J1046" t="s">
        <v>1141</v>
      </c>
      <c r="K1046" t="s">
        <v>369</v>
      </c>
      <c r="L1046" t="s">
        <v>1090</v>
      </c>
    </row>
    <row r="1047" spans="1:12">
      <c r="A1047" t="s">
        <v>318</v>
      </c>
      <c r="B1047" t="s">
        <v>1049</v>
      </c>
      <c r="C1047" t="s">
        <v>1145</v>
      </c>
      <c r="D1047" s="28">
        <v>768901120909</v>
      </c>
      <c r="E1047" s="29" t="s">
        <v>393</v>
      </c>
      <c r="F1047" s="29" t="s">
        <v>372</v>
      </c>
      <c r="G1047">
        <v>40</v>
      </c>
      <c r="H1047" t="s">
        <v>1051</v>
      </c>
      <c r="I1047" t="s">
        <v>98</v>
      </c>
      <c r="J1047" t="s">
        <v>1141</v>
      </c>
      <c r="K1047" t="s">
        <v>394</v>
      </c>
      <c r="L1047" t="s">
        <v>327</v>
      </c>
    </row>
    <row r="1048" spans="1:12">
      <c r="A1048" t="s">
        <v>318</v>
      </c>
      <c r="B1048" t="s">
        <v>1049</v>
      </c>
      <c r="C1048" t="s">
        <v>1146</v>
      </c>
      <c r="D1048" s="28">
        <v>768901150304</v>
      </c>
      <c r="E1048" s="29" t="s">
        <v>368</v>
      </c>
      <c r="F1048" s="29" t="s">
        <v>364</v>
      </c>
      <c r="G1048">
        <v>104</v>
      </c>
      <c r="H1048" t="s">
        <v>323</v>
      </c>
      <c r="I1048" t="s">
        <v>45</v>
      </c>
      <c r="J1048" t="s">
        <v>1141</v>
      </c>
      <c r="K1048" t="s">
        <v>394</v>
      </c>
      <c r="L1048" t="s">
        <v>1090</v>
      </c>
    </row>
    <row r="1049" spans="1:12">
      <c r="A1049" t="s">
        <v>318</v>
      </c>
      <c r="B1049" t="s">
        <v>1049</v>
      </c>
      <c r="C1049" t="s">
        <v>1147</v>
      </c>
      <c r="D1049" s="28">
        <v>768901155810</v>
      </c>
      <c r="E1049" s="29" t="s">
        <v>393</v>
      </c>
      <c r="F1049" s="29" t="s">
        <v>372</v>
      </c>
      <c r="G1049">
        <v>16</v>
      </c>
      <c r="H1049" t="s">
        <v>1051</v>
      </c>
      <c r="I1049" t="s">
        <v>98</v>
      </c>
      <c r="J1049" t="s">
        <v>1141</v>
      </c>
      <c r="K1049" t="s">
        <v>1148</v>
      </c>
      <c r="L1049" t="s">
        <v>327</v>
      </c>
    </row>
    <row r="1050" spans="1:12">
      <c r="A1050" t="s">
        <v>318</v>
      </c>
      <c r="B1050" t="s">
        <v>1049</v>
      </c>
      <c r="C1050" t="s">
        <v>1149</v>
      </c>
      <c r="D1050" s="28">
        <v>7631800093223</v>
      </c>
      <c r="E1050" s="29" t="s">
        <v>371</v>
      </c>
      <c r="F1050" s="29" t="s">
        <v>372</v>
      </c>
      <c r="G1050">
        <v>13</v>
      </c>
      <c r="H1050" t="s">
        <v>323</v>
      </c>
      <c r="I1050" t="s">
        <v>45</v>
      </c>
      <c r="J1050" t="s">
        <v>1082</v>
      </c>
      <c r="K1050" t="s">
        <v>365</v>
      </c>
    </row>
    <row r="1051" spans="1:12">
      <c r="A1051" t="s">
        <v>318</v>
      </c>
      <c r="B1051" t="s">
        <v>1049</v>
      </c>
      <c r="C1051" t="s">
        <v>1150</v>
      </c>
      <c r="D1051" s="28">
        <v>7631800093227</v>
      </c>
      <c r="E1051" s="29" t="s">
        <v>371</v>
      </c>
      <c r="F1051" s="29" t="s">
        <v>372</v>
      </c>
      <c r="G1051">
        <v>13</v>
      </c>
      <c r="H1051" t="s">
        <v>323</v>
      </c>
      <c r="I1051" t="s">
        <v>45</v>
      </c>
      <c r="J1051" t="s">
        <v>1082</v>
      </c>
      <c r="K1051" t="s">
        <v>285</v>
      </c>
    </row>
    <row r="1052" spans="1:12">
      <c r="A1052" t="s">
        <v>318</v>
      </c>
      <c r="B1052" t="s">
        <v>1049</v>
      </c>
      <c r="C1052" t="s">
        <v>388</v>
      </c>
      <c r="D1052" s="28">
        <v>7631800093270</v>
      </c>
      <c r="E1052" s="29" t="s">
        <v>371</v>
      </c>
      <c r="F1052" s="29" t="s">
        <v>372</v>
      </c>
      <c r="G1052">
        <v>13</v>
      </c>
      <c r="H1052" t="s">
        <v>323</v>
      </c>
      <c r="I1052" t="s">
        <v>324</v>
      </c>
      <c r="J1052" t="s">
        <v>1082</v>
      </c>
      <c r="K1052" t="s">
        <v>285</v>
      </c>
      <c r="L1052" t="s">
        <v>327</v>
      </c>
    </row>
    <row r="1053" spans="1:12">
      <c r="A1053" t="s">
        <v>318</v>
      </c>
      <c r="B1053" t="s">
        <v>1049</v>
      </c>
      <c r="C1053" t="s">
        <v>1151</v>
      </c>
      <c r="D1053" s="28">
        <v>7631800093288</v>
      </c>
      <c r="E1053" s="29" t="s">
        <v>371</v>
      </c>
      <c r="F1053" s="29" t="s">
        <v>372</v>
      </c>
      <c r="G1053">
        <v>13</v>
      </c>
      <c r="H1053" t="s">
        <v>323</v>
      </c>
      <c r="I1053" t="s">
        <v>45</v>
      </c>
      <c r="J1053" t="s">
        <v>1082</v>
      </c>
      <c r="K1053" t="s">
        <v>285</v>
      </c>
      <c r="L1053" t="s">
        <v>327</v>
      </c>
    </row>
    <row r="1054" spans="1:12">
      <c r="A1054" t="s">
        <v>318</v>
      </c>
      <c r="B1054" t="s">
        <v>1049</v>
      </c>
      <c r="C1054" t="s">
        <v>1152</v>
      </c>
      <c r="D1054" s="28">
        <v>7631800093294</v>
      </c>
      <c r="E1054" s="29" t="s">
        <v>371</v>
      </c>
      <c r="F1054" s="29" t="s">
        <v>372</v>
      </c>
      <c r="G1054">
        <v>13</v>
      </c>
      <c r="H1054" t="s">
        <v>1051</v>
      </c>
      <c r="I1054" t="s">
        <v>324</v>
      </c>
      <c r="J1054" t="s">
        <v>1082</v>
      </c>
      <c r="K1054" t="s">
        <v>365</v>
      </c>
      <c r="L1054" t="s">
        <v>327</v>
      </c>
    </row>
    <row r="1055" spans="1:12">
      <c r="A1055" t="s">
        <v>318</v>
      </c>
      <c r="B1055" t="s">
        <v>1049</v>
      </c>
      <c r="C1055" t="s">
        <v>1153</v>
      </c>
      <c r="D1055" s="28">
        <v>7631800093296</v>
      </c>
      <c r="E1055" s="29" t="s">
        <v>371</v>
      </c>
      <c r="F1055" s="29" t="s">
        <v>372</v>
      </c>
      <c r="G1055">
        <v>13</v>
      </c>
      <c r="H1055" t="s">
        <v>1051</v>
      </c>
      <c r="I1055" t="s">
        <v>98</v>
      </c>
      <c r="J1055" t="s">
        <v>1082</v>
      </c>
      <c r="K1055" t="s">
        <v>285</v>
      </c>
      <c r="L1055" t="s">
        <v>327</v>
      </c>
    </row>
    <row r="1056" spans="1:12">
      <c r="A1056" t="s">
        <v>318</v>
      </c>
      <c r="B1056" t="s">
        <v>1049</v>
      </c>
      <c r="C1056" t="s">
        <v>1154</v>
      </c>
      <c r="D1056" s="28">
        <v>7631800093299</v>
      </c>
      <c r="E1056" s="29" t="s">
        <v>371</v>
      </c>
      <c r="F1056" s="29" t="s">
        <v>372</v>
      </c>
      <c r="G1056">
        <v>13</v>
      </c>
      <c r="H1056" t="s">
        <v>323</v>
      </c>
      <c r="I1056" t="s">
        <v>45</v>
      </c>
      <c r="J1056" t="s">
        <v>1082</v>
      </c>
      <c r="K1056" t="s">
        <v>285</v>
      </c>
      <c r="L1056" t="s">
        <v>327</v>
      </c>
    </row>
    <row r="1057" spans="1:12">
      <c r="A1057" t="s">
        <v>318</v>
      </c>
      <c r="B1057" t="s">
        <v>1049</v>
      </c>
      <c r="C1057" t="s">
        <v>377</v>
      </c>
      <c r="D1057" s="28">
        <v>7631800093300</v>
      </c>
      <c r="E1057" s="29" t="s">
        <v>371</v>
      </c>
      <c r="F1057" s="29" t="s">
        <v>372</v>
      </c>
      <c r="G1057">
        <v>13</v>
      </c>
      <c r="H1057" t="s">
        <v>323</v>
      </c>
      <c r="I1057" t="s">
        <v>45</v>
      </c>
      <c r="J1057" t="s">
        <v>1082</v>
      </c>
      <c r="K1057" t="s">
        <v>285</v>
      </c>
      <c r="L1057" t="s">
        <v>327</v>
      </c>
    </row>
    <row r="1058" spans="1:12">
      <c r="A1058" t="s">
        <v>318</v>
      </c>
      <c r="B1058" t="s">
        <v>1049</v>
      </c>
      <c r="C1058" t="s">
        <v>554</v>
      </c>
      <c r="D1058" s="28">
        <v>7631800093304</v>
      </c>
      <c r="E1058" s="29" t="s">
        <v>371</v>
      </c>
      <c r="F1058" s="29" t="s">
        <v>372</v>
      </c>
      <c r="G1058">
        <v>13</v>
      </c>
      <c r="H1058" t="s">
        <v>1051</v>
      </c>
      <c r="I1058" t="s">
        <v>98</v>
      </c>
      <c r="J1058" t="s">
        <v>1082</v>
      </c>
      <c r="K1058" t="s">
        <v>285</v>
      </c>
      <c r="L1058" t="s">
        <v>327</v>
      </c>
    </row>
    <row r="1059" spans="1:12">
      <c r="A1059" t="s">
        <v>318</v>
      </c>
      <c r="B1059" t="s">
        <v>1049</v>
      </c>
      <c r="C1059" t="s">
        <v>1155</v>
      </c>
      <c r="D1059" s="28">
        <v>7631800093319</v>
      </c>
      <c r="E1059" s="29" t="s">
        <v>371</v>
      </c>
      <c r="F1059" s="29" t="s">
        <v>372</v>
      </c>
      <c r="G1059">
        <v>13</v>
      </c>
      <c r="H1059" t="s">
        <v>1051</v>
      </c>
      <c r="I1059" t="s">
        <v>98</v>
      </c>
      <c r="J1059" t="s">
        <v>1082</v>
      </c>
      <c r="K1059" t="s">
        <v>285</v>
      </c>
      <c r="L1059" t="s">
        <v>327</v>
      </c>
    </row>
    <row r="1060" spans="1:12">
      <c r="A1060" t="s">
        <v>318</v>
      </c>
      <c r="B1060" t="s">
        <v>1049</v>
      </c>
      <c r="C1060" t="s">
        <v>1060</v>
      </c>
      <c r="D1060" s="28">
        <v>7631800093323</v>
      </c>
      <c r="E1060" s="29" t="s">
        <v>371</v>
      </c>
      <c r="F1060" s="29" t="s">
        <v>372</v>
      </c>
      <c r="G1060">
        <v>13</v>
      </c>
      <c r="H1060" t="s">
        <v>1051</v>
      </c>
      <c r="I1060" t="s">
        <v>98</v>
      </c>
      <c r="J1060" t="s">
        <v>1082</v>
      </c>
      <c r="K1060" t="s">
        <v>285</v>
      </c>
      <c r="L1060" t="s">
        <v>327</v>
      </c>
    </row>
    <row r="1061" spans="1:12">
      <c r="A1061" t="s">
        <v>318</v>
      </c>
      <c r="B1061" t="s">
        <v>1049</v>
      </c>
      <c r="C1061" t="s">
        <v>422</v>
      </c>
      <c r="D1061" s="28">
        <v>7631800093325</v>
      </c>
      <c r="E1061" s="29" t="s">
        <v>371</v>
      </c>
      <c r="F1061" s="29" t="s">
        <v>372</v>
      </c>
      <c r="G1061">
        <v>13</v>
      </c>
      <c r="H1061" t="s">
        <v>323</v>
      </c>
      <c r="I1061" t="s">
        <v>45</v>
      </c>
      <c r="J1061" t="s">
        <v>1082</v>
      </c>
      <c r="K1061" t="s">
        <v>285</v>
      </c>
      <c r="L1061" t="s">
        <v>327</v>
      </c>
    </row>
    <row r="1062" spans="1:12">
      <c r="A1062" t="s">
        <v>318</v>
      </c>
      <c r="B1062" t="s">
        <v>1049</v>
      </c>
      <c r="C1062" t="s">
        <v>1156</v>
      </c>
      <c r="D1062" s="28">
        <v>7631800093331</v>
      </c>
      <c r="E1062" s="29" t="s">
        <v>371</v>
      </c>
      <c r="F1062" s="29" t="s">
        <v>372</v>
      </c>
      <c r="G1062">
        <v>13</v>
      </c>
      <c r="H1062" t="s">
        <v>1051</v>
      </c>
      <c r="I1062" t="s">
        <v>98</v>
      </c>
      <c r="J1062" t="s">
        <v>1082</v>
      </c>
      <c r="K1062" t="s">
        <v>365</v>
      </c>
      <c r="L1062" t="s">
        <v>327</v>
      </c>
    </row>
    <row r="1063" spans="1:12">
      <c r="A1063" t="s">
        <v>318</v>
      </c>
      <c r="B1063" t="s">
        <v>1049</v>
      </c>
      <c r="C1063" t="s">
        <v>1157</v>
      </c>
      <c r="D1063" s="28">
        <v>7631800093333</v>
      </c>
      <c r="E1063" s="29" t="s">
        <v>371</v>
      </c>
      <c r="F1063" s="29" t="s">
        <v>372</v>
      </c>
      <c r="G1063">
        <v>13</v>
      </c>
      <c r="H1063" t="s">
        <v>1051</v>
      </c>
      <c r="I1063" t="s">
        <v>98</v>
      </c>
      <c r="J1063" t="s">
        <v>1082</v>
      </c>
      <c r="K1063" t="s">
        <v>285</v>
      </c>
      <c r="L1063" t="s">
        <v>327</v>
      </c>
    </row>
    <row r="1064" spans="1:12">
      <c r="A1064" t="s">
        <v>318</v>
      </c>
      <c r="B1064" t="s">
        <v>1049</v>
      </c>
      <c r="C1064" t="s">
        <v>1158</v>
      </c>
      <c r="D1064" s="28">
        <v>7631800093334</v>
      </c>
      <c r="E1064" s="29" t="s">
        <v>371</v>
      </c>
      <c r="F1064" s="29" t="s">
        <v>372</v>
      </c>
      <c r="G1064">
        <v>13</v>
      </c>
      <c r="H1064" t="s">
        <v>1051</v>
      </c>
      <c r="I1064" t="s">
        <v>98</v>
      </c>
      <c r="J1064" t="s">
        <v>1082</v>
      </c>
      <c r="K1064" t="s">
        <v>285</v>
      </c>
      <c r="L1064" t="s">
        <v>327</v>
      </c>
    </row>
    <row r="1065" spans="1:12">
      <c r="A1065" t="s">
        <v>318</v>
      </c>
      <c r="B1065" t="s">
        <v>1049</v>
      </c>
      <c r="C1065" t="s">
        <v>1159</v>
      </c>
      <c r="D1065" s="28">
        <v>7631800093349</v>
      </c>
      <c r="E1065" s="29" t="s">
        <v>371</v>
      </c>
      <c r="F1065" s="29" t="s">
        <v>372</v>
      </c>
      <c r="G1065">
        <v>13</v>
      </c>
      <c r="H1065" t="s">
        <v>1051</v>
      </c>
      <c r="I1065" t="s">
        <v>98</v>
      </c>
      <c r="J1065" t="s">
        <v>1082</v>
      </c>
      <c r="K1065" t="s">
        <v>285</v>
      </c>
      <c r="L1065" t="s">
        <v>327</v>
      </c>
    </row>
    <row r="1066" spans="1:12">
      <c r="A1066" t="s">
        <v>318</v>
      </c>
      <c r="B1066" t="s">
        <v>1049</v>
      </c>
      <c r="C1066" t="s">
        <v>1160</v>
      </c>
      <c r="D1066" s="28">
        <v>7631800093351</v>
      </c>
      <c r="E1066" s="29" t="s">
        <v>371</v>
      </c>
      <c r="F1066" s="29" t="s">
        <v>372</v>
      </c>
      <c r="G1066">
        <v>13</v>
      </c>
      <c r="H1066" t="s">
        <v>1051</v>
      </c>
      <c r="I1066" t="s">
        <v>98</v>
      </c>
      <c r="J1066" t="s">
        <v>1082</v>
      </c>
      <c r="K1066" t="s">
        <v>285</v>
      </c>
      <c r="L1066" t="s">
        <v>327</v>
      </c>
    </row>
    <row r="1067" spans="1:12">
      <c r="A1067" t="s">
        <v>318</v>
      </c>
      <c r="B1067" t="s">
        <v>1049</v>
      </c>
      <c r="C1067" t="s">
        <v>1161</v>
      </c>
      <c r="D1067" s="28">
        <v>7631800093353</v>
      </c>
      <c r="E1067" s="29" t="s">
        <v>371</v>
      </c>
      <c r="F1067" s="29" t="s">
        <v>372</v>
      </c>
      <c r="G1067">
        <v>13</v>
      </c>
      <c r="H1067" t="s">
        <v>1051</v>
      </c>
      <c r="I1067" t="s">
        <v>98</v>
      </c>
      <c r="J1067" t="s">
        <v>1082</v>
      </c>
      <c r="K1067" t="s">
        <v>285</v>
      </c>
      <c r="L1067" t="s">
        <v>327</v>
      </c>
    </row>
    <row r="1068" spans="1:12">
      <c r="A1068" t="s">
        <v>318</v>
      </c>
      <c r="B1068" t="s">
        <v>1049</v>
      </c>
      <c r="C1068" t="s">
        <v>1162</v>
      </c>
      <c r="D1068" s="28">
        <v>7631800093361</v>
      </c>
      <c r="E1068" s="29" t="s">
        <v>371</v>
      </c>
      <c r="F1068" s="29" t="s">
        <v>372</v>
      </c>
      <c r="G1068">
        <v>13</v>
      </c>
      <c r="H1068" t="s">
        <v>1051</v>
      </c>
      <c r="I1068" t="s">
        <v>98</v>
      </c>
      <c r="J1068" t="s">
        <v>1082</v>
      </c>
      <c r="K1068" t="s">
        <v>285</v>
      </c>
      <c r="L1068" t="s">
        <v>327</v>
      </c>
    </row>
    <row r="1069" spans="1:12">
      <c r="A1069" t="s">
        <v>318</v>
      </c>
      <c r="B1069" t="s">
        <v>1049</v>
      </c>
      <c r="C1069" t="s">
        <v>1163</v>
      </c>
      <c r="D1069" s="28">
        <v>7631800093362</v>
      </c>
      <c r="E1069" s="29" t="s">
        <v>371</v>
      </c>
      <c r="F1069" s="29" t="s">
        <v>372</v>
      </c>
      <c r="G1069">
        <v>13</v>
      </c>
      <c r="H1069" t="s">
        <v>1051</v>
      </c>
      <c r="I1069" t="s">
        <v>98</v>
      </c>
      <c r="J1069" t="s">
        <v>1082</v>
      </c>
      <c r="K1069" t="s">
        <v>285</v>
      </c>
      <c r="L1069" t="s">
        <v>327</v>
      </c>
    </row>
    <row r="1070" spans="1:12">
      <c r="A1070" t="s">
        <v>318</v>
      </c>
      <c r="B1070" t="s">
        <v>1049</v>
      </c>
      <c r="C1070" t="s">
        <v>1164</v>
      </c>
      <c r="D1070" s="28">
        <v>7631800093366</v>
      </c>
      <c r="E1070" s="29" t="s">
        <v>371</v>
      </c>
      <c r="F1070" s="29" t="s">
        <v>372</v>
      </c>
      <c r="G1070">
        <v>13</v>
      </c>
      <c r="H1070" t="s">
        <v>1051</v>
      </c>
      <c r="I1070" t="s">
        <v>98</v>
      </c>
      <c r="J1070" t="s">
        <v>1082</v>
      </c>
      <c r="K1070" t="s">
        <v>285</v>
      </c>
      <c r="L1070" t="s">
        <v>327</v>
      </c>
    </row>
    <row r="1071" spans="1:12">
      <c r="A1071" t="s">
        <v>318</v>
      </c>
      <c r="B1071" t="s">
        <v>1049</v>
      </c>
      <c r="C1071" t="s">
        <v>1165</v>
      </c>
      <c r="D1071" s="28">
        <v>7631800093370</v>
      </c>
      <c r="E1071" s="29" t="s">
        <v>371</v>
      </c>
      <c r="F1071" s="29" t="s">
        <v>372</v>
      </c>
      <c r="G1071">
        <v>13</v>
      </c>
      <c r="H1071" t="s">
        <v>1051</v>
      </c>
      <c r="I1071" t="s">
        <v>98</v>
      </c>
      <c r="J1071" t="s">
        <v>1082</v>
      </c>
      <c r="K1071" t="s">
        <v>285</v>
      </c>
      <c r="L1071" t="s">
        <v>327</v>
      </c>
    </row>
    <row r="1072" spans="1:12">
      <c r="A1072" t="s">
        <v>318</v>
      </c>
      <c r="B1072" t="s">
        <v>1049</v>
      </c>
      <c r="C1072" t="s">
        <v>377</v>
      </c>
      <c r="D1072" s="28">
        <v>7631800093373</v>
      </c>
      <c r="E1072" s="29" t="s">
        <v>371</v>
      </c>
      <c r="F1072" s="29" t="s">
        <v>372</v>
      </c>
      <c r="G1072">
        <v>13</v>
      </c>
      <c r="H1072" t="s">
        <v>323</v>
      </c>
      <c r="I1072" t="s">
        <v>45</v>
      </c>
      <c r="J1072" t="s">
        <v>1082</v>
      </c>
      <c r="K1072" t="s">
        <v>285</v>
      </c>
      <c r="L1072" t="s">
        <v>327</v>
      </c>
    </row>
    <row r="1073" spans="1:12">
      <c r="A1073" t="s">
        <v>318</v>
      </c>
      <c r="B1073" t="s">
        <v>1049</v>
      </c>
      <c r="C1073" t="s">
        <v>1166</v>
      </c>
      <c r="D1073" s="28">
        <v>7631800093392</v>
      </c>
      <c r="E1073" s="29" t="s">
        <v>371</v>
      </c>
      <c r="F1073" s="29" t="s">
        <v>372</v>
      </c>
      <c r="G1073">
        <v>13</v>
      </c>
      <c r="H1073" t="s">
        <v>1051</v>
      </c>
      <c r="I1073" t="s">
        <v>98</v>
      </c>
      <c r="J1073" t="s">
        <v>1082</v>
      </c>
      <c r="K1073" t="s">
        <v>365</v>
      </c>
      <c r="L1073" t="s">
        <v>327</v>
      </c>
    </row>
    <row r="1074" spans="1:12">
      <c r="A1074" t="s">
        <v>318</v>
      </c>
      <c r="B1074" t="s">
        <v>1049</v>
      </c>
      <c r="C1074" t="s">
        <v>1167</v>
      </c>
      <c r="D1074" s="28">
        <v>7631800093396</v>
      </c>
      <c r="E1074" s="29" t="s">
        <v>371</v>
      </c>
      <c r="F1074" s="29" t="s">
        <v>372</v>
      </c>
      <c r="G1074">
        <v>13</v>
      </c>
      <c r="H1074" t="s">
        <v>1051</v>
      </c>
      <c r="I1074" t="s">
        <v>98</v>
      </c>
      <c r="J1074" t="s">
        <v>1082</v>
      </c>
      <c r="K1074" t="s">
        <v>285</v>
      </c>
      <c r="L1074" t="s">
        <v>327</v>
      </c>
    </row>
    <row r="1075" spans="1:12">
      <c r="A1075" t="s">
        <v>318</v>
      </c>
      <c r="B1075" t="s">
        <v>1049</v>
      </c>
      <c r="C1075" t="s">
        <v>1168</v>
      </c>
      <c r="D1075" s="28">
        <v>7631800093403</v>
      </c>
      <c r="E1075" s="29" t="s">
        <v>371</v>
      </c>
      <c r="F1075" s="29" t="s">
        <v>372</v>
      </c>
      <c r="G1075">
        <v>13</v>
      </c>
      <c r="H1075" t="s">
        <v>1051</v>
      </c>
      <c r="I1075" t="s">
        <v>98</v>
      </c>
      <c r="J1075" t="s">
        <v>1082</v>
      </c>
      <c r="K1075" t="s">
        <v>285</v>
      </c>
      <c r="L1075" t="s">
        <v>327</v>
      </c>
    </row>
    <row r="1076" spans="1:12">
      <c r="A1076" t="s">
        <v>318</v>
      </c>
      <c r="B1076" t="s">
        <v>1049</v>
      </c>
      <c r="C1076" t="s">
        <v>1169</v>
      </c>
      <c r="D1076" s="28">
        <v>7631800093405</v>
      </c>
      <c r="E1076" s="29" t="s">
        <v>371</v>
      </c>
      <c r="F1076" s="29" t="s">
        <v>372</v>
      </c>
      <c r="G1076">
        <v>13</v>
      </c>
      <c r="H1076" t="s">
        <v>323</v>
      </c>
      <c r="I1076" t="s">
        <v>45</v>
      </c>
      <c r="J1076" t="s">
        <v>1082</v>
      </c>
      <c r="K1076" t="s">
        <v>285</v>
      </c>
      <c r="L1076" t="s">
        <v>327</v>
      </c>
    </row>
    <row r="1077" spans="1:12">
      <c r="A1077" t="s">
        <v>318</v>
      </c>
      <c r="B1077" t="s">
        <v>1049</v>
      </c>
      <c r="C1077" t="s">
        <v>514</v>
      </c>
      <c r="D1077" s="28">
        <v>7631800093412</v>
      </c>
      <c r="E1077" s="29" t="s">
        <v>371</v>
      </c>
      <c r="F1077" s="29" t="s">
        <v>372</v>
      </c>
      <c r="G1077">
        <v>13</v>
      </c>
      <c r="H1077" t="s">
        <v>323</v>
      </c>
      <c r="I1077" t="s">
        <v>324</v>
      </c>
      <c r="J1077" t="s">
        <v>1082</v>
      </c>
      <c r="K1077" t="s">
        <v>285</v>
      </c>
      <c r="L1077" t="s">
        <v>327</v>
      </c>
    </row>
    <row r="1078" spans="1:12">
      <c r="A1078" t="s">
        <v>318</v>
      </c>
      <c r="B1078" t="s">
        <v>1049</v>
      </c>
      <c r="C1078" t="s">
        <v>575</v>
      </c>
      <c r="D1078" s="28">
        <v>7631800093413</v>
      </c>
      <c r="E1078" s="29" t="s">
        <v>371</v>
      </c>
      <c r="F1078" s="29" t="s">
        <v>372</v>
      </c>
      <c r="G1078">
        <v>13</v>
      </c>
      <c r="H1078" t="s">
        <v>1051</v>
      </c>
      <c r="I1078" t="s">
        <v>98</v>
      </c>
      <c r="J1078" t="s">
        <v>1082</v>
      </c>
      <c r="K1078" t="s">
        <v>285</v>
      </c>
      <c r="L1078" t="s">
        <v>327</v>
      </c>
    </row>
    <row r="1079" spans="1:12">
      <c r="A1079" t="s">
        <v>318</v>
      </c>
      <c r="B1079" t="s">
        <v>1049</v>
      </c>
      <c r="C1079" t="s">
        <v>1170</v>
      </c>
      <c r="D1079" s="28">
        <v>7631800093415</v>
      </c>
      <c r="E1079" s="29" t="s">
        <v>371</v>
      </c>
      <c r="F1079" s="29" t="s">
        <v>372</v>
      </c>
      <c r="G1079">
        <v>13</v>
      </c>
      <c r="H1079" t="s">
        <v>1051</v>
      </c>
      <c r="I1079" t="s">
        <v>98</v>
      </c>
      <c r="J1079" t="s">
        <v>1082</v>
      </c>
      <c r="K1079" t="s">
        <v>285</v>
      </c>
      <c r="L1079" t="s">
        <v>327</v>
      </c>
    </row>
    <row r="1080" spans="1:12">
      <c r="A1080" t="s">
        <v>318</v>
      </c>
      <c r="B1080" t="s">
        <v>1049</v>
      </c>
      <c r="C1080" t="s">
        <v>1171</v>
      </c>
      <c r="D1080" s="28">
        <v>7631800093418</v>
      </c>
      <c r="E1080" s="29" t="s">
        <v>371</v>
      </c>
      <c r="F1080" s="29" t="s">
        <v>372</v>
      </c>
      <c r="G1080">
        <v>13</v>
      </c>
      <c r="H1080" t="s">
        <v>323</v>
      </c>
      <c r="I1080" t="s">
        <v>45</v>
      </c>
      <c r="J1080" t="s">
        <v>1082</v>
      </c>
      <c r="K1080" t="s">
        <v>365</v>
      </c>
      <c r="L1080" t="s">
        <v>327</v>
      </c>
    </row>
    <row r="1081" spans="1:12">
      <c r="A1081" t="s">
        <v>318</v>
      </c>
      <c r="B1081" t="s">
        <v>1049</v>
      </c>
      <c r="C1081" t="s">
        <v>1172</v>
      </c>
      <c r="D1081" s="28">
        <v>7631800093424</v>
      </c>
      <c r="E1081" s="29" t="s">
        <v>371</v>
      </c>
      <c r="F1081" s="29" t="s">
        <v>372</v>
      </c>
      <c r="G1081">
        <v>13</v>
      </c>
      <c r="H1081" t="s">
        <v>1051</v>
      </c>
      <c r="I1081" t="s">
        <v>98</v>
      </c>
      <c r="J1081" t="s">
        <v>1082</v>
      </c>
      <c r="K1081" t="s">
        <v>285</v>
      </c>
      <c r="L1081" t="s">
        <v>327</v>
      </c>
    </row>
    <row r="1082" spans="1:12">
      <c r="A1082" t="s">
        <v>318</v>
      </c>
      <c r="B1082" t="s">
        <v>1049</v>
      </c>
      <c r="C1082" t="s">
        <v>1173</v>
      </c>
      <c r="D1082" s="28">
        <v>7631800138073</v>
      </c>
      <c r="E1082" s="29" t="s">
        <v>371</v>
      </c>
      <c r="F1082" s="29" t="s">
        <v>372</v>
      </c>
      <c r="G1082">
        <v>13</v>
      </c>
      <c r="H1082" t="s">
        <v>323</v>
      </c>
      <c r="I1082" t="s">
        <v>45</v>
      </c>
      <c r="J1082" t="s">
        <v>1082</v>
      </c>
      <c r="K1082" t="s">
        <v>285</v>
      </c>
      <c r="L1082" t="s">
        <v>327</v>
      </c>
    </row>
    <row r="1083" spans="1:12">
      <c r="A1083" t="s">
        <v>318</v>
      </c>
      <c r="B1083" t="s">
        <v>1049</v>
      </c>
      <c r="C1083" t="s">
        <v>513</v>
      </c>
      <c r="D1083" s="28">
        <v>7660600093305</v>
      </c>
      <c r="E1083" s="29" t="s">
        <v>371</v>
      </c>
      <c r="F1083" s="29" t="s">
        <v>372</v>
      </c>
      <c r="G1083">
        <v>13</v>
      </c>
      <c r="H1083" t="s">
        <v>323</v>
      </c>
      <c r="I1083" t="s">
        <v>45</v>
      </c>
      <c r="J1083" t="s">
        <v>1089</v>
      </c>
      <c r="K1083" t="s">
        <v>285</v>
      </c>
      <c r="L1083" t="s">
        <v>327</v>
      </c>
    </row>
    <row r="1084" spans="1:12">
      <c r="A1084" t="s">
        <v>318</v>
      </c>
      <c r="B1084" t="s">
        <v>1049</v>
      </c>
      <c r="C1084" t="s">
        <v>1174</v>
      </c>
      <c r="D1084" s="28">
        <v>7660600093310</v>
      </c>
      <c r="E1084" s="29" t="s">
        <v>371</v>
      </c>
      <c r="F1084" s="29" t="s">
        <v>372</v>
      </c>
      <c r="G1084">
        <v>13</v>
      </c>
      <c r="H1084" t="s">
        <v>1051</v>
      </c>
      <c r="I1084" t="s">
        <v>45</v>
      </c>
      <c r="J1084" t="s">
        <v>1089</v>
      </c>
      <c r="K1084" t="s">
        <v>365</v>
      </c>
      <c r="L1084" t="s">
        <v>327</v>
      </c>
    </row>
    <row r="1085" spans="1:12">
      <c r="A1085" t="s">
        <v>318</v>
      </c>
      <c r="B1085" t="s">
        <v>1049</v>
      </c>
      <c r="C1085" t="s">
        <v>777</v>
      </c>
      <c r="D1085" s="28">
        <v>7660600093315</v>
      </c>
      <c r="E1085" s="29" t="s">
        <v>371</v>
      </c>
      <c r="F1085" s="29" t="s">
        <v>372</v>
      </c>
      <c r="G1085">
        <v>13</v>
      </c>
      <c r="H1085" t="s">
        <v>1051</v>
      </c>
      <c r="I1085" t="s">
        <v>45</v>
      </c>
      <c r="J1085" t="s">
        <v>1089</v>
      </c>
      <c r="K1085" t="s">
        <v>285</v>
      </c>
      <c r="L1085" t="s">
        <v>327</v>
      </c>
    </row>
    <row r="1086" spans="1:12">
      <c r="A1086" t="s">
        <v>318</v>
      </c>
      <c r="B1086" t="s">
        <v>1049</v>
      </c>
      <c r="C1086" t="s">
        <v>1175</v>
      </c>
      <c r="D1086" s="28">
        <v>7660600093317</v>
      </c>
      <c r="E1086" s="29" t="s">
        <v>371</v>
      </c>
      <c r="F1086" s="29" t="s">
        <v>372</v>
      </c>
      <c r="G1086">
        <v>13</v>
      </c>
      <c r="H1086" t="s">
        <v>1051</v>
      </c>
      <c r="I1086" t="s">
        <v>45</v>
      </c>
      <c r="J1086" t="s">
        <v>1089</v>
      </c>
      <c r="K1086" t="s">
        <v>285</v>
      </c>
      <c r="L1086" t="s">
        <v>327</v>
      </c>
    </row>
    <row r="1087" spans="1:12">
      <c r="A1087" t="s">
        <v>318</v>
      </c>
      <c r="B1087" t="s">
        <v>1049</v>
      </c>
      <c r="C1087" t="s">
        <v>1078</v>
      </c>
      <c r="D1087" s="28">
        <v>7660600093320</v>
      </c>
      <c r="E1087" s="29" t="s">
        <v>371</v>
      </c>
      <c r="F1087" s="29" t="s">
        <v>372</v>
      </c>
      <c r="G1087">
        <v>13</v>
      </c>
      <c r="H1087" t="s">
        <v>323</v>
      </c>
      <c r="I1087" t="s">
        <v>324</v>
      </c>
      <c r="J1087" t="s">
        <v>1089</v>
      </c>
      <c r="K1087" t="s">
        <v>285</v>
      </c>
      <c r="L1087" t="s">
        <v>327</v>
      </c>
    </row>
    <row r="1088" spans="1:12">
      <c r="A1088" t="s">
        <v>318</v>
      </c>
      <c r="B1088" t="s">
        <v>1049</v>
      </c>
      <c r="C1088" t="s">
        <v>1176</v>
      </c>
      <c r="D1088" s="28">
        <v>7660600093329</v>
      </c>
      <c r="E1088" s="29" t="s">
        <v>371</v>
      </c>
      <c r="F1088" s="29" t="s">
        <v>372</v>
      </c>
      <c r="G1088">
        <v>13</v>
      </c>
      <c r="H1088" t="s">
        <v>1051</v>
      </c>
      <c r="I1088" t="s">
        <v>45</v>
      </c>
      <c r="J1088" t="s">
        <v>1089</v>
      </c>
      <c r="K1088" t="s">
        <v>394</v>
      </c>
      <c r="L1088" t="s">
        <v>327</v>
      </c>
    </row>
    <row r="1089" spans="1:12">
      <c r="A1089" t="s">
        <v>318</v>
      </c>
      <c r="B1089" t="s">
        <v>1049</v>
      </c>
      <c r="C1089" t="s">
        <v>1177</v>
      </c>
      <c r="D1089" s="28">
        <v>7660600093337</v>
      </c>
      <c r="E1089" s="29" t="s">
        <v>371</v>
      </c>
      <c r="F1089" s="29" t="s">
        <v>372</v>
      </c>
      <c r="G1089">
        <v>13</v>
      </c>
      <c r="H1089" t="s">
        <v>1051</v>
      </c>
      <c r="I1089" t="s">
        <v>98</v>
      </c>
      <c r="J1089" t="s">
        <v>1109</v>
      </c>
      <c r="K1089" t="s">
        <v>365</v>
      </c>
      <c r="L1089" t="s">
        <v>327</v>
      </c>
    </row>
    <row r="1090" spans="1:12">
      <c r="A1090" t="s">
        <v>318</v>
      </c>
      <c r="B1090" t="s">
        <v>1049</v>
      </c>
      <c r="C1090" t="s">
        <v>1178</v>
      </c>
      <c r="D1090" s="28">
        <v>766061121301</v>
      </c>
      <c r="E1090" s="29" t="s">
        <v>371</v>
      </c>
      <c r="F1090" s="29" t="s">
        <v>372</v>
      </c>
      <c r="G1090">
        <v>13</v>
      </c>
      <c r="H1090" t="s">
        <v>1051</v>
      </c>
      <c r="I1090" t="s">
        <v>45</v>
      </c>
      <c r="J1090" t="s">
        <v>1089</v>
      </c>
      <c r="K1090" t="s">
        <v>365</v>
      </c>
      <c r="L1090" t="s">
        <v>327</v>
      </c>
    </row>
    <row r="1091" spans="1:12">
      <c r="A1091" t="s">
        <v>318</v>
      </c>
      <c r="B1091" t="s">
        <v>1049</v>
      </c>
      <c r="C1091" t="s">
        <v>1179</v>
      </c>
      <c r="D1091" s="28">
        <v>766061121302</v>
      </c>
      <c r="E1091" s="29" t="s">
        <v>371</v>
      </c>
      <c r="F1091" s="29" t="s">
        <v>372</v>
      </c>
      <c r="G1091">
        <v>13</v>
      </c>
      <c r="H1091" t="s">
        <v>1051</v>
      </c>
      <c r="I1091" t="s">
        <v>45</v>
      </c>
      <c r="J1091" t="s">
        <v>1089</v>
      </c>
      <c r="K1091" t="s">
        <v>365</v>
      </c>
      <c r="L1091" t="s">
        <v>327</v>
      </c>
    </row>
    <row r="1092" spans="1:12">
      <c r="A1092" t="s">
        <v>318</v>
      </c>
      <c r="B1092" t="s">
        <v>1049</v>
      </c>
      <c r="C1092" t="s">
        <v>442</v>
      </c>
      <c r="D1092" s="28">
        <v>766061121303</v>
      </c>
      <c r="E1092" s="29" t="s">
        <v>371</v>
      </c>
      <c r="F1092" s="29" t="s">
        <v>372</v>
      </c>
      <c r="G1092">
        <v>13</v>
      </c>
      <c r="H1092" t="s">
        <v>1051</v>
      </c>
      <c r="I1092" t="s">
        <v>45</v>
      </c>
      <c r="J1092" t="s">
        <v>1089</v>
      </c>
      <c r="K1092" t="s">
        <v>365</v>
      </c>
      <c r="L1092" t="s">
        <v>327</v>
      </c>
    </row>
    <row r="1093" spans="1:12">
      <c r="A1093" t="s">
        <v>318</v>
      </c>
      <c r="B1093" t="s">
        <v>1049</v>
      </c>
      <c r="C1093" t="s">
        <v>1180</v>
      </c>
      <c r="D1093" s="28">
        <v>7667000093352</v>
      </c>
      <c r="E1093" s="29" t="s">
        <v>371</v>
      </c>
      <c r="F1093" s="29" t="s">
        <v>372</v>
      </c>
      <c r="G1093">
        <v>13</v>
      </c>
      <c r="H1093" t="s">
        <v>1051</v>
      </c>
      <c r="I1093" t="s">
        <v>98</v>
      </c>
      <c r="J1093" t="s">
        <v>1109</v>
      </c>
      <c r="K1093" t="s">
        <v>285</v>
      </c>
      <c r="L1093" t="s">
        <v>327</v>
      </c>
    </row>
    <row r="1094" spans="1:12">
      <c r="A1094" t="s">
        <v>318</v>
      </c>
      <c r="B1094" t="s">
        <v>1049</v>
      </c>
      <c r="C1094" t="s">
        <v>1083</v>
      </c>
      <c r="D1094" s="28">
        <v>7667000093355</v>
      </c>
      <c r="E1094" s="29" t="s">
        <v>371</v>
      </c>
      <c r="F1094" s="29" t="s">
        <v>372</v>
      </c>
      <c r="G1094">
        <v>13</v>
      </c>
      <c r="H1094" t="s">
        <v>1051</v>
      </c>
      <c r="I1094" t="s">
        <v>98</v>
      </c>
      <c r="J1094" t="s">
        <v>1109</v>
      </c>
      <c r="K1094" t="s">
        <v>285</v>
      </c>
      <c r="L1094" t="s">
        <v>327</v>
      </c>
    </row>
    <row r="1095" spans="1:12">
      <c r="A1095" t="s">
        <v>318</v>
      </c>
      <c r="B1095" t="s">
        <v>1049</v>
      </c>
      <c r="C1095" t="s">
        <v>1181</v>
      </c>
      <c r="D1095" s="28">
        <v>7667000093377</v>
      </c>
      <c r="E1095" s="29" t="s">
        <v>371</v>
      </c>
      <c r="F1095" s="29" t="s">
        <v>372</v>
      </c>
      <c r="G1095">
        <v>13</v>
      </c>
      <c r="H1095" t="s">
        <v>1051</v>
      </c>
      <c r="I1095" t="s">
        <v>98</v>
      </c>
      <c r="J1095" t="s">
        <v>1109</v>
      </c>
      <c r="K1095" t="s">
        <v>285</v>
      </c>
      <c r="L1095" t="s">
        <v>327</v>
      </c>
    </row>
    <row r="1096" spans="1:12">
      <c r="A1096" t="s">
        <v>318</v>
      </c>
      <c r="B1096" t="s">
        <v>1049</v>
      </c>
      <c r="C1096" t="s">
        <v>1182</v>
      </c>
      <c r="D1096" s="28">
        <v>7667000093382</v>
      </c>
      <c r="E1096" s="29" t="s">
        <v>371</v>
      </c>
      <c r="F1096" s="29" t="s">
        <v>372</v>
      </c>
      <c r="G1096">
        <v>13</v>
      </c>
      <c r="H1096" t="s">
        <v>1051</v>
      </c>
      <c r="I1096" t="s">
        <v>98</v>
      </c>
      <c r="J1096" t="s">
        <v>1109</v>
      </c>
      <c r="K1096" t="s">
        <v>285</v>
      </c>
      <c r="L1096" t="s">
        <v>327</v>
      </c>
    </row>
    <row r="1097" spans="1:12">
      <c r="A1097" t="s">
        <v>318</v>
      </c>
      <c r="B1097" t="s">
        <v>1049</v>
      </c>
      <c r="C1097" t="s">
        <v>1183</v>
      </c>
      <c r="D1097" s="28">
        <v>7667000093395</v>
      </c>
      <c r="E1097" s="29" t="s">
        <v>371</v>
      </c>
      <c r="F1097" s="29" t="s">
        <v>372</v>
      </c>
      <c r="G1097">
        <v>13</v>
      </c>
      <c r="H1097" t="s">
        <v>1051</v>
      </c>
      <c r="I1097" t="s">
        <v>98</v>
      </c>
      <c r="J1097" t="s">
        <v>1109</v>
      </c>
      <c r="K1097" t="s">
        <v>365</v>
      </c>
      <c r="L1097" t="s">
        <v>327</v>
      </c>
    </row>
    <row r="1098" spans="1:12">
      <c r="A1098" t="s">
        <v>318</v>
      </c>
      <c r="B1098" t="s">
        <v>1049</v>
      </c>
      <c r="C1098" t="s">
        <v>1184</v>
      </c>
      <c r="D1098" s="28">
        <v>7667000093411</v>
      </c>
      <c r="E1098" s="29" t="s">
        <v>371</v>
      </c>
      <c r="F1098" s="29" t="s">
        <v>372</v>
      </c>
      <c r="G1098">
        <v>13</v>
      </c>
      <c r="H1098" t="s">
        <v>323</v>
      </c>
      <c r="I1098" t="s">
        <v>45</v>
      </c>
      <c r="J1098" t="s">
        <v>1109</v>
      </c>
      <c r="K1098" t="s">
        <v>285</v>
      </c>
      <c r="L1098" t="s">
        <v>327</v>
      </c>
    </row>
    <row r="1099" spans="1:12">
      <c r="A1099" t="s">
        <v>318</v>
      </c>
      <c r="B1099" t="s">
        <v>1049</v>
      </c>
      <c r="C1099" t="s">
        <v>1185</v>
      </c>
      <c r="D1099" s="28">
        <v>766701121742</v>
      </c>
      <c r="E1099" s="29" t="s">
        <v>371</v>
      </c>
      <c r="F1099" s="29" t="s">
        <v>372</v>
      </c>
      <c r="G1099">
        <v>13</v>
      </c>
      <c r="H1099" t="s">
        <v>1051</v>
      </c>
      <c r="I1099" t="s">
        <v>98</v>
      </c>
      <c r="J1099" t="s">
        <v>1109</v>
      </c>
      <c r="K1099" t="s">
        <v>365</v>
      </c>
      <c r="L1099" t="s">
        <v>327</v>
      </c>
    </row>
    <row r="1100" spans="1:12">
      <c r="A1100" t="s">
        <v>318</v>
      </c>
      <c r="B1100" t="s">
        <v>1049</v>
      </c>
      <c r="C1100" t="s">
        <v>1073</v>
      </c>
      <c r="D1100" s="28">
        <v>7689000093456</v>
      </c>
      <c r="E1100" s="29" t="s">
        <v>371</v>
      </c>
      <c r="F1100" s="29" t="s">
        <v>372</v>
      </c>
      <c r="G1100">
        <v>10</v>
      </c>
      <c r="H1100" t="s">
        <v>323</v>
      </c>
      <c r="I1100" t="s">
        <v>324</v>
      </c>
      <c r="J1100" t="s">
        <v>1141</v>
      </c>
      <c r="K1100" t="s">
        <v>285</v>
      </c>
      <c r="L1100" t="s">
        <v>327</v>
      </c>
    </row>
    <row r="1101" spans="1:12">
      <c r="A1101" t="s">
        <v>318</v>
      </c>
      <c r="B1101" t="s">
        <v>1049</v>
      </c>
      <c r="C1101" t="s">
        <v>1186</v>
      </c>
      <c r="D1101" s="28">
        <v>7689000093458</v>
      </c>
      <c r="E1101" s="29" t="s">
        <v>371</v>
      </c>
      <c r="F1101" s="29" t="s">
        <v>372</v>
      </c>
      <c r="G1101">
        <v>13</v>
      </c>
      <c r="H1101" t="s">
        <v>323</v>
      </c>
      <c r="I1101" t="s">
        <v>45</v>
      </c>
      <c r="J1101" t="s">
        <v>1141</v>
      </c>
      <c r="K1101" t="s">
        <v>394</v>
      </c>
      <c r="L1101" t="s">
        <v>327</v>
      </c>
    </row>
    <row r="1102" spans="1:12">
      <c r="A1102" t="s">
        <v>318</v>
      </c>
      <c r="B1102" t="s">
        <v>1049</v>
      </c>
      <c r="C1102" t="s">
        <v>426</v>
      </c>
      <c r="D1102" s="28">
        <v>7689000093463</v>
      </c>
      <c r="E1102" s="29" t="s">
        <v>371</v>
      </c>
      <c r="F1102" s="29" t="s">
        <v>372</v>
      </c>
      <c r="G1102">
        <v>13</v>
      </c>
      <c r="H1102" t="s">
        <v>323</v>
      </c>
      <c r="I1102" t="s">
        <v>45</v>
      </c>
      <c r="J1102" t="s">
        <v>1141</v>
      </c>
      <c r="K1102" t="s">
        <v>365</v>
      </c>
      <c r="L1102" t="s">
        <v>327</v>
      </c>
    </row>
    <row r="1103" spans="1:12">
      <c r="A1103" t="s">
        <v>318</v>
      </c>
      <c r="B1103" t="s">
        <v>1049</v>
      </c>
      <c r="C1103" t="s">
        <v>1187</v>
      </c>
      <c r="D1103" s="28">
        <v>7611100025077</v>
      </c>
      <c r="E1103" s="29" t="s">
        <v>363</v>
      </c>
      <c r="F1103" s="29" t="s">
        <v>364</v>
      </c>
      <c r="G1103">
        <v>123</v>
      </c>
      <c r="H1103" t="s">
        <v>1051</v>
      </c>
      <c r="I1103" t="s">
        <v>45</v>
      </c>
      <c r="J1103" t="s">
        <v>1052</v>
      </c>
      <c r="K1103" t="s">
        <v>365</v>
      </c>
      <c r="L1103" t="s">
        <v>327</v>
      </c>
    </row>
    <row r="1104" spans="1:12">
      <c r="A1104" t="s">
        <v>318</v>
      </c>
      <c r="B1104" t="s">
        <v>1049</v>
      </c>
      <c r="C1104" t="s">
        <v>1188</v>
      </c>
      <c r="D1104" s="28">
        <v>7611100123522</v>
      </c>
      <c r="E1104" s="29" t="s">
        <v>368</v>
      </c>
      <c r="F1104" s="29" t="s">
        <v>364</v>
      </c>
      <c r="G1104">
        <v>160</v>
      </c>
      <c r="H1104" t="s">
        <v>1051</v>
      </c>
      <c r="I1104" t="s">
        <v>45</v>
      </c>
      <c r="J1104" t="s">
        <v>1052</v>
      </c>
      <c r="K1104" t="s">
        <v>394</v>
      </c>
      <c r="L1104" t="s">
        <v>1090</v>
      </c>
    </row>
    <row r="1105" spans="1:12">
      <c r="A1105" t="s">
        <v>318</v>
      </c>
      <c r="B1105" t="s">
        <v>1049</v>
      </c>
      <c r="C1105" t="s">
        <v>1189</v>
      </c>
      <c r="D1105" s="28">
        <v>761111139061</v>
      </c>
      <c r="E1105" s="29" t="s">
        <v>363</v>
      </c>
      <c r="F1105" s="29" t="s">
        <v>364</v>
      </c>
      <c r="G1105">
        <v>80</v>
      </c>
      <c r="H1105" t="s">
        <v>1051</v>
      </c>
      <c r="I1105" t="s">
        <v>45</v>
      </c>
      <c r="J1105" t="s">
        <v>1052</v>
      </c>
      <c r="K1105" t="s">
        <v>365</v>
      </c>
      <c r="L1105" t="s">
        <v>327</v>
      </c>
    </row>
    <row r="1106" spans="1:12">
      <c r="A1106" t="s">
        <v>318</v>
      </c>
      <c r="B1106" t="s">
        <v>1049</v>
      </c>
      <c r="C1106" t="s">
        <v>1190</v>
      </c>
      <c r="D1106" s="28">
        <v>761111153108</v>
      </c>
      <c r="E1106" s="29" t="s">
        <v>368</v>
      </c>
      <c r="F1106" s="29" t="s">
        <v>364</v>
      </c>
      <c r="G1106">
        <v>128</v>
      </c>
      <c r="H1106" t="s">
        <v>1051</v>
      </c>
      <c r="I1106" t="s">
        <v>45</v>
      </c>
      <c r="J1106" t="s">
        <v>1052</v>
      </c>
      <c r="K1106" t="s">
        <v>394</v>
      </c>
      <c r="L1106" t="s">
        <v>327</v>
      </c>
    </row>
    <row r="1107" spans="1:12">
      <c r="A1107" t="s">
        <v>318</v>
      </c>
      <c r="B1107" t="s">
        <v>1049</v>
      </c>
      <c r="C1107" t="s">
        <v>1191</v>
      </c>
      <c r="D1107" s="28">
        <v>7611100020622</v>
      </c>
      <c r="E1107" s="29" t="s">
        <v>368</v>
      </c>
      <c r="F1107" s="29" t="s">
        <v>364</v>
      </c>
      <c r="G1107">
        <v>151</v>
      </c>
      <c r="H1107" t="s">
        <v>1051</v>
      </c>
      <c r="I1107" t="s">
        <v>45</v>
      </c>
      <c r="J1107" t="s">
        <v>1052</v>
      </c>
      <c r="K1107" t="s">
        <v>394</v>
      </c>
      <c r="L1107" t="s">
        <v>1090</v>
      </c>
    </row>
    <row r="1108" spans="1:12">
      <c r="A1108" t="s">
        <v>318</v>
      </c>
      <c r="B1108" t="s">
        <v>1049</v>
      </c>
      <c r="C1108" t="s">
        <v>1192</v>
      </c>
      <c r="D1108" s="28">
        <v>7611100126058</v>
      </c>
      <c r="E1108" s="29" t="s">
        <v>393</v>
      </c>
      <c r="F1108" s="29" t="s">
        <v>372</v>
      </c>
      <c r="G1108">
        <v>47</v>
      </c>
      <c r="H1108" t="s">
        <v>323</v>
      </c>
      <c r="I1108" t="s">
        <v>324</v>
      </c>
      <c r="J1108" t="s">
        <v>1052</v>
      </c>
      <c r="K1108" t="s">
        <v>394</v>
      </c>
      <c r="L1108" t="s">
        <v>327</v>
      </c>
    </row>
    <row r="1109" spans="1:12">
      <c r="A1109" t="s">
        <v>318</v>
      </c>
      <c r="B1109" t="s">
        <v>1049</v>
      </c>
      <c r="C1109" t="s">
        <v>1193</v>
      </c>
      <c r="D1109" s="28">
        <v>7611100126084</v>
      </c>
      <c r="E1109" s="29" t="s">
        <v>393</v>
      </c>
      <c r="F1109" s="29" t="s">
        <v>372</v>
      </c>
      <c r="G1109">
        <v>46</v>
      </c>
      <c r="H1109" t="s">
        <v>323</v>
      </c>
      <c r="I1109" t="s">
        <v>324</v>
      </c>
      <c r="J1109" t="s">
        <v>1052</v>
      </c>
      <c r="K1109" t="s">
        <v>394</v>
      </c>
      <c r="L1109" t="s">
        <v>327</v>
      </c>
    </row>
    <row r="1110" spans="1:12">
      <c r="A1110" t="s">
        <v>318</v>
      </c>
      <c r="B1110" t="s">
        <v>1049</v>
      </c>
      <c r="C1110" t="s">
        <v>1194</v>
      </c>
      <c r="D1110" s="28">
        <v>7611100126105</v>
      </c>
      <c r="E1110" s="29" t="s">
        <v>393</v>
      </c>
      <c r="F1110" s="29" t="s">
        <v>372</v>
      </c>
      <c r="G1110">
        <v>16</v>
      </c>
      <c r="H1110" t="s">
        <v>323</v>
      </c>
      <c r="I1110" t="s">
        <v>324</v>
      </c>
      <c r="J1110" t="s">
        <v>1052</v>
      </c>
      <c r="K1110" t="s">
        <v>394</v>
      </c>
      <c r="L1110" t="s">
        <v>327</v>
      </c>
    </row>
    <row r="1111" spans="1:12">
      <c r="A1111" t="s">
        <v>318</v>
      </c>
      <c r="B1111" t="s">
        <v>1049</v>
      </c>
      <c r="C1111" t="s">
        <v>1195</v>
      </c>
      <c r="D1111" s="28">
        <v>7611100126328</v>
      </c>
      <c r="E1111" s="29" t="s">
        <v>393</v>
      </c>
      <c r="F1111" s="29" t="s">
        <v>372</v>
      </c>
      <c r="G1111">
        <v>47</v>
      </c>
      <c r="H1111" t="s">
        <v>323</v>
      </c>
      <c r="I1111" t="s">
        <v>324</v>
      </c>
      <c r="J1111" t="s">
        <v>1052</v>
      </c>
      <c r="K1111" t="s">
        <v>394</v>
      </c>
      <c r="L1111" t="s">
        <v>327</v>
      </c>
    </row>
    <row r="1112" spans="1:12">
      <c r="A1112" t="s">
        <v>318</v>
      </c>
      <c r="B1112" t="s">
        <v>1049</v>
      </c>
      <c r="C1112" t="s">
        <v>1196</v>
      </c>
      <c r="D1112" s="28">
        <v>7611100126336</v>
      </c>
      <c r="E1112" s="29" t="s">
        <v>393</v>
      </c>
      <c r="F1112" s="29" t="s">
        <v>372</v>
      </c>
      <c r="G1112">
        <v>46</v>
      </c>
      <c r="H1112" t="s">
        <v>323</v>
      </c>
      <c r="I1112" t="s">
        <v>45</v>
      </c>
      <c r="J1112" t="s">
        <v>1052</v>
      </c>
      <c r="K1112" t="s">
        <v>365</v>
      </c>
      <c r="L1112" t="s">
        <v>327</v>
      </c>
    </row>
    <row r="1113" spans="1:12">
      <c r="A1113" t="s">
        <v>318</v>
      </c>
      <c r="B1113" t="s">
        <v>1049</v>
      </c>
      <c r="C1113" t="s">
        <v>1197</v>
      </c>
      <c r="D1113" s="28">
        <v>7611100126379</v>
      </c>
      <c r="E1113" s="29" t="s">
        <v>393</v>
      </c>
      <c r="F1113" s="29" t="s">
        <v>372</v>
      </c>
      <c r="G1113">
        <v>46</v>
      </c>
      <c r="H1113" t="s">
        <v>1051</v>
      </c>
      <c r="I1113" t="s">
        <v>98</v>
      </c>
      <c r="J1113" t="s">
        <v>1052</v>
      </c>
      <c r="K1113" t="s">
        <v>394</v>
      </c>
      <c r="L1113" t="s">
        <v>327</v>
      </c>
    </row>
    <row r="1114" spans="1:12">
      <c r="A1114" t="s">
        <v>318</v>
      </c>
      <c r="B1114" t="s">
        <v>1049</v>
      </c>
      <c r="C1114" t="s">
        <v>1198</v>
      </c>
      <c r="D1114" s="28">
        <v>761111139017</v>
      </c>
      <c r="E1114" s="29" t="s">
        <v>393</v>
      </c>
      <c r="F1114" s="29" t="s">
        <v>372</v>
      </c>
      <c r="G1114">
        <v>46</v>
      </c>
      <c r="H1114" t="s">
        <v>323</v>
      </c>
      <c r="I1114" t="s">
        <v>98</v>
      </c>
      <c r="J1114" t="s">
        <v>1052</v>
      </c>
      <c r="K1114" t="s">
        <v>394</v>
      </c>
      <c r="L1114" t="s">
        <v>327</v>
      </c>
    </row>
    <row r="1115" spans="1:12">
      <c r="A1115" t="s">
        <v>318</v>
      </c>
      <c r="B1115" t="s">
        <v>1049</v>
      </c>
      <c r="C1115" t="s">
        <v>1199</v>
      </c>
      <c r="D1115" s="28">
        <v>761111139903</v>
      </c>
      <c r="E1115" s="29" t="s">
        <v>393</v>
      </c>
      <c r="F1115" s="29" t="s">
        <v>372</v>
      </c>
      <c r="G1115">
        <v>47</v>
      </c>
      <c r="H1115" t="s">
        <v>1051</v>
      </c>
      <c r="I1115" t="s">
        <v>98</v>
      </c>
      <c r="J1115" t="s">
        <v>1052</v>
      </c>
      <c r="K1115" t="s">
        <v>394</v>
      </c>
      <c r="L1115" t="s">
        <v>1090</v>
      </c>
    </row>
    <row r="1116" spans="1:12">
      <c r="A1116" t="s">
        <v>318</v>
      </c>
      <c r="B1116" t="s">
        <v>1049</v>
      </c>
      <c r="C1116" t="s">
        <v>1200</v>
      </c>
      <c r="D1116" s="28">
        <v>761111139904</v>
      </c>
      <c r="E1116" s="29" t="s">
        <v>393</v>
      </c>
      <c r="F1116" s="29" t="s">
        <v>372</v>
      </c>
      <c r="G1116">
        <v>30</v>
      </c>
      <c r="H1116" t="s">
        <v>323</v>
      </c>
      <c r="I1116" t="s">
        <v>45</v>
      </c>
      <c r="J1116" t="s">
        <v>1052</v>
      </c>
      <c r="K1116" t="s">
        <v>394</v>
      </c>
      <c r="L1116" t="s">
        <v>327</v>
      </c>
    </row>
    <row r="1117" spans="1:12">
      <c r="A1117" t="s">
        <v>318</v>
      </c>
      <c r="B1117" t="s">
        <v>1049</v>
      </c>
      <c r="C1117" t="s">
        <v>1201</v>
      </c>
      <c r="D1117" s="28">
        <v>7631800071254</v>
      </c>
      <c r="E1117" s="29" t="s">
        <v>368</v>
      </c>
      <c r="F1117" s="29" t="s">
        <v>364</v>
      </c>
      <c r="G1117">
        <v>143</v>
      </c>
      <c r="H1117" t="s">
        <v>323</v>
      </c>
      <c r="I1117" t="s">
        <v>45</v>
      </c>
      <c r="J1117" t="s">
        <v>1082</v>
      </c>
      <c r="K1117" t="s">
        <v>989</v>
      </c>
      <c r="L1117" t="s">
        <v>327</v>
      </c>
    </row>
    <row r="1118" spans="1:12">
      <c r="A1118" t="s">
        <v>318</v>
      </c>
      <c r="B1118" t="s">
        <v>1049</v>
      </c>
      <c r="C1118" t="s">
        <v>1202</v>
      </c>
      <c r="D1118" s="28">
        <v>7631800127357</v>
      </c>
      <c r="E1118" s="29" t="s">
        <v>393</v>
      </c>
      <c r="F1118" s="29" t="s">
        <v>372</v>
      </c>
      <c r="G1118">
        <v>38</v>
      </c>
      <c r="H1118" t="s">
        <v>323</v>
      </c>
      <c r="I1118" t="s">
        <v>45</v>
      </c>
      <c r="J1118" t="s">
        <v>1082</v>
      </c>
      <c r="K1118" t="s">
        <v>394</v>
      </c>
      <c r="L1118" t="s">
        <v>327</v>
      </c>
    </row>
    <row r="1119" spans="1:12">
      <c r="A1119" t="s">
        <v>318</v>
      </c>
      <c r="B1119" t="s">
        <v>1049</v>
      </c>
      <c r="C1119" t="s">
        <v>1203</v>
      </c>
      <c r="D1119" s="28">
        <v>7631800127361</v>
      </c>
      <c r="E1119" s="29" t="s">
        <v>393</v>
      </c>
      <c r="F1119" s="29" t="s">
        <v>372</v>
      </c>
      <c r="G1119">
        <v>40</v>
      </c>
      <c r="H1119" t="s">
        <v>323</v>
      </c>
      <c r="I1119" t="s">
        <v>45</v>
      </c>
      <c r="J1119" t="s">
        <v>1082</v>
      </c>
      <c r="K1119" t="s">
        <v>394</v>
      </c>
      <c r="L1119" t="s">
        <v>327</v>
      </c>
    </row>
    <row r="1120" spans="1:12">
      <c r="A1120" t="s">
        <v>318</v>
      </c>
      <c r="B1120" t="s">
        <v>1049</v>
      </c>
      <c r="C1120" t="s">
        <v>1204</v>
      </c>
      <c r="D1120" s="28">
        <v>7631800127364</v>
      </c>
      <c r="E1120" s="29" t="s">
        <v>393</v>
      </c>
      <c r="F1120" s="29" t="s">
        <v>372</v>
      </c>
      <c r="G1120">
        <v>40</v>
      </c>
      <c r="H1120" t="s">
        <v>323</v>
      </c>
      <c r="I1120" t="s">
        <v>45</v>
      </c>
      <c r="J1120" t="s">
        <v>1082</v>
      </c>
      <c r="K1120" t="s">
        <v>394</v>
      </c>
      <c r="L1120" t="s">
        <v>327</v>
      </c>
    </row>
    <row r="1121" spans="1:12">
      <c r="A1121" t="s">
        <v>318</v>
      </c>
      <c r="B1121" t="s">
        <v>1049</v>
      </c>
      <c r="C1121" t="s">
        <v>1205</v>
      </c>
      <c r="D1121" s="28">
        <v>7631800127368</v>
      </c>
      <c r="E1121" s="29" t="s">
        <v>393</v>
      </c>
      <c r="F1121" s="29" t="s">
        <v>372</v>
      </c>
      <c r="G1121">
        <v>40</v>
      </c>
      <c r="H1121" t="s">
        <v>323</v>
      </c>
      <c r="I1121" t="s">
        <v>45</v>
      </c>
      <c r="J1121" t="s">
        <v>1082</v>
      </c>
      <c r="K1121" t="s">
        <v>394</v>
      </c>
      <c r="L1121" t="s">
        <v>327</v>
      </c>
    </row>
    <row r="1122" spans="1:12">
      <c r="A1122" t="s">
        <v>318</v>
      </c>
      <c r="B1122" t="s">
        <v>1049</v>
      </c>
      <c r="C1122" t="s">
        <v>1206</v>
      </c>
      <c r="D1122" s="28">
        <v>7631800127372</v>
      </c>
      <c r="E1122" s="29" t="s">
        <v>393</v>
      </c>
      <c r="F1122" s="29" t="s">
        <v>372</v>
      </c>
      <c r="G1122">
        <v>40</v>
      </c>
      <c r="H1122" t="s">
        <v>323</v>
      </c>
      <c r="I1122" t="s">
        <v>98</v>
      </c>
      <c r="J1122" t="s">
        <v>1082</v>
      </c>
      <c r="K1122" t="s">
        <v>365</v>
      </c>
      <c r="L1122" t="s">
        <v>327</v>
      </c>
    </row>
    <row r="1123" spans="1:12">
      <c r="A1123" t="s">
        <v>318</v>
      </c>
      <c r="B1123" t="s">
        <v>1049</v>
      </c>
      <c r="C1123" t="s">
        <v>1207</v>
      </c>
      <c r="D1123" s="28">
        <v>7631800127376</v>
      </c>
      <c r="E1123" s="29" t="s">
        <v>393</v>
      </c>
      <c r="F1123" s="29" t="s">
        <v>372</v>
      </c>
      <c r="G1123">
        <v>40</v>
      </c>
      <c r="H1123" t="s">
        <v>323</v>
      </c>
      <c r="I1123" t="s">
        <v>98</v>
      </c>
      <c r="J1123" t="s">
        <v>1082</v>
      </c>
      <c r="K1123" t="s">
        <v>394</v>
      </c>
      <c r="L1123" t="s">
        <v>327</v>
      </c>
    </row>
    <row r="1124" spans="1:12">
      <c r="A1124" t="s">
        <v>318</v>
      </c>
      <c r="B1124" t="s">
        <v>1049</v>
      </c>
      <c r="C1124" t="s">
        <v>1208</v>
      </c>
      <c r="D1124" s="28">
        <v>763181139014</v>
      </c>
      <c r="E1124" s="29" t="s">
        <v>393</v>
      </c>
      <c r="F1124" s="29" t="s">
        <v>372</v>
      </c>
      <c r="G1124">
        <v>32</v>
      </c>
      <c r="H1124" t="s">
        <v>323</v>
      </c>
      <c r="I1124" t="s">
        <v>98</v>
      </c>
      <c r="J1124" t="s">
        <v>1082</v>
      </c>
      <c r="K1124" t="s">
        <v>394</v>
      </c>
      <c r="L1124" t="s">
        <v>327</v>
      </c>
    </row>
    <row r="1125" spans="1:12">
      <c r="A1125" t="s">
        <v>318</v>
      </c>
      <c r="B1125" t="s">
        <v>1049</v>
      </c>
      <c r="C1125" t="s">
        <v>1209</v>
      </c>
      <c r="D1125" s="28">
        <v>763181139015</v>
      </c>
      <c r="E1125" s="29" t="s">
        <v>393</v>
      </c>
      <c r="F1125" s="29" t="s">
        <v>372</v>
      </c>
      <c r="G1125">
        <v>38</v>
      </c>
      <c r="H1125" t="s">
        <v>323</v>
      </c>
      <c r="I1125" t="s">
        <v>98</v>
      </c>
      <c r="J1125" t="s">
        <v>1082</v>
      </c>
      <c r="K1125" t="s">
        <v>365</v>
      </c>
      <c r="L1125" t="s">
        <v>327</v>
      </c>
    </row>
    <row r="1126" spans="1:12">
      <c r="A1126" t="s">
        <v>318</v>
      </c>
      <c r="B1126" t="s">
        <v>1049</v>
      </c>
      <c r="C1126" t="s">
        <v>1210</v>
      </c>
      <c r="D1126" s="28">
        <v>7611100125951</v>
      </c>
      <c r="E1126" s="29" t="s">
        <v>393</v>
      </c>
      <c r="F1126" s="29" t="s">
        <v>372</v>
      </c>
      <c r="G1126">
        <v>39</v>
      </c>
      <c r="H1126" t="s">
        <v>323</v>
      </c>
      <c r="I1126" t="s">
        <v>98</v>
      </c>
      <c r="J1126" t="s">
        <v>1052</v>
      </c>
      <c r="K1126" t="s">
        <v>365</v>
      </c>
      <c r="L1126" t="s">
        <v>327</v>
      </c>
    </row>
    <row r="1127" spans="1:12">
      <c r="A1127" t="s">
        <v>318</v>
      </c>
      <c r="B1127" t="s">
        <v>1049</v>
      </c>
      <c r="C1127" t="s">
        <v>1211</v>
      </c>
      <c r="D1127" s="28">
        <v>7611100125979</v>
      </c>
      <c r="E1127" s="29" t="s">
        <v>393</v>
      </c>
      <c r="F1127" s="29" t="s">
        <v>372</v>
      </c>
      <c r="G1127">
        <v>38</v>
      </c>
      <c r="H1127" t="s">
        <v>323</v>
      </c>
      <c r="I1127" t="s">
        <v>98</v>
      </c>
      <c r="J1127" t="s">
        <v>1052</v>
      </c>
      <c r="K1127" t="s">
        <v>365</v>
      </c>
      <c r="L1127" t="s">
        <v>327</v>
      </c>
    </row>
    <row r="1128" spans="1:12">
      <c r="A1128" t="s">
        <v>318</v>
      </c>
      <c r="B1128" t="s">
        <v>1049</v>
      </c>
      <c r="C1128" t="s">
        <v>1212</v>
      </c>
      <c r="D1128" s="28">
        <v>7611100125988</v>
      </c>
      <c r="E1128" s="29" t="s">
        <v>393</v>
      </c>
      <c r="F1128" s="29" t="s">
        <v>372</v>
      </c>
      <c r="G1128">
        <v>40</v>
      </c>
      <c r="H1128" t="s">
        <v>323</v>
      </c>
      <c r="I1128" t="s">
        <v>98</v>
      </c>
      <c r="J1128" t="s">
        <v>1052</v>
      </c>
      <c r="K1128" t="s">
        <v>394</v>
      </c>
      <c r="L1128" t="s">
        <v>327</v>
      </c>
    </row>
    <row r="1129" spans="1:12">
      <c r="A1129" t="s">
        <v>318</v>
      </c>
      <c r="B1129" t="s">
        <v>1049</v>
      </c>
      <c r="C1129" t="s">
        <v>1213</v>
      </c>
      <c r="D1129" s="28">
        <v>7611100126095</v>
      </c>
      <c r="E1129" s="29" t="s">
        <v>393</v>
      </c>
      <c r="F1129" s="29" t="s">
        <v>372</v>
      </c>
      <c r="G1129">
        <v>40</v>
      </c>
      <c r="H1129" t="s">
        <v>1051</v>
      </c>
      <c r="I1129" t="s">
        <v>98</v>
      </c>
      <c r="J1129" t="s">
        <v>1052</v>
      </c>
      <c r="K1129" t="s">
        <v>394</v>
      </c>
      <c r="L1129" t="s">
        <v>327</v>
      </c>
    </row>
    <row r="1130" spans="1:12">
      <c r="A1130" t="s">
        <v>318</v>
      </c>
      <c r="B1130" t="s">
        <v>1049</v>
      </c>
      <c r="C1130" t="s">
        <v>1214</v>
      </c>
      <c r="D1130" s="28">
        <v>7611100126102</v>
      </c>
      <c r="E1130" s="29" t="s">
        <v>393</v>
      </c>
      <c r="F1130" s="29" t="s">
        <v>372</v>
      </c>
      <c r="G1130">
        <v>39</v>
      </c>
      <c r="H1130" t="s">
        <v>1051</v>
      </c>
      <c r="I1130" t="s">
        <v>98</v>
      </c>
      <c r="J1130" t="s">
        <v>1052</v>
      </c>
      <c r="K1130" t="s">
        <v>365</v>
      </c>
      <c r="L1130" t="s">
        <v>327</v>
      </c>
    </row>
    <row r="1131" spans="1:12">
      <c r="A1131" t="s">
        <v>318</v>
      </c>
      <c r="B1131" t="s">
        <v>1049</v>
      </c>
      <c r="C1131" t="s">
        <v>1215</v>
      </c>
      <c r="D1131" s="28">
        <v>7611100126308</v>
      </c>
      <c r="E1131" s="29" t="s">
        <v>393</v>
      </c>
      <c r="F1131" s="29" t="s">
        <v>372</v>
      </c>
      <c r="G1131">
        <v>48</v>
      </c>
      <c r="H1131" t="s">
        <v>1051</v>
      </c>
      <c r="I1131" t="s">
        <v>98</v>
      </c>
      <c r="J1131" t="s">
        <v>1052</v>
      </c>
      <c r="K1131" t="s">
        <v>394</v>
      </c>
      <c r="L1131" t="s">
        <v>327</v>
      </c>
    </row>
    <row r="1132" spans="1:12">
      <c r="A1132" t="s">
        <v>318</v>
      </c>
      <c r="B1132" t="s">
        <v>1049</v>
      </c>
      <c r="C1132" t="s">
        <v>1216</v>
      </c>
      <c r="D1132" s="28">
        <v>7611100126320</v>
      </c>
      <c r="E1132" s="29" t="s">
        <v>393</v>
      </c>
      <c r="F1132" s="29" t="s">
        <v>372</v>
      </c>
      <c r="G1132">
        <v>14</v>
      </c>
      <c r="H1132" t="s">
        <v>323</v>
      </c>
      <c r="I1132" t="s">
        <v>98</v>
      </c>
      <c r="J1132" t="s">
        <v>1052</v>
      </c>
      <c r="K1132" t="s">
        <v>394</v>
      </c>
      <c r="L1132" t="s">
        <v>327</v>
      </c>
    </row>
    <row r="1133" spans="1:12">
      <c r="A1133" t="s">
        <v>318</v>
      </c>
      <c r="B1133" t="s">
        <v>1049</v>
      </c>
      <c r="C1133" t="s">
        <v>1217</v>
      </c>
      <c r="D1133" s="28">
        <v>7611100126347</v>
      </c>
      <c r="E1133" s="29" t="s">
        <v>393</v>
      </c>
      <c r="F1133" s="29" t="s">
        <v>372</v>
      </c>
      <c r="G1133">
        <v>20</v>
      </c>
      <c r="H1133" t="s">
        <v>1051</v>
      </c>
      <c r="I1133" t="s">
        <v>98</v>
      </c>
      <c r="J1133" t="s">
        <v>1052</v>
      </c>
      <c r="K1133" t="s">
        <v>394</v>
      </c>
      <c r="L1133" t="s">
        <v>327</v>
      </c>
    </row>
    <row r="1134" spans="1:12">
      <c r="A1134" t="s">
        <v>318</v>
      </c>
      <c r="B1134" t="s">
        <v>1049</v>
      </c>
      <c r="C1134" t="s">
        <v>1218</v>
      </c>
      <c r="D1134" s="28">
        <v>761111139016</v>
      </c>
      <c r="E1134" s="29" t="s">
        <v>393</v>
      </c>
      <c r="F1134" s="29" t="s">
        <v>372</v>
      </c>
      <c r="G1134">
        <v>12</v>
      </c>
      <c r="H1134" t="s">
        <v>1051</v>
      </c>
      <c r="I1134" t="s">
        <v>98</v>
      </c>
      <c r="J1134" t="s">
        <v>1052</v>
      </c>
      <c r="K1134" t="s">
        <v>394</v>
      </c>
      <c r="L1134" t="s">
        <v>327</v>
      </c>
    </row>
    <row r="1135" spans="1:12">
      <c r="A1135" t="s">
        <v>318</v>
      </c>
      <c r="B1135" t="s">
        <v>1049</v>
      </c>
      <c r="C1135" t="s">
        <v>1219</v>
      </c>
      <c r="D1135" s="28">
        <v>761111139019</v>
      </c>
      <c r="E1135" s="29" t="s">
        <v>393</v>
      </c>
      <c r="F1135" s="29" t="s">
        <v>372</v>
      </c>
      <c r="G1135">
        <v>14</v>
      </c>
      <c r="H1135" t="s">
        <v>323</v>
      </c>
      <c r="I1135" t="s">
        <v>98</v>
      </c>
      <c r="J1135" t="s">
        <v>1052</v>
      </c>
      <c r="K1135" t="s">
        <v>394</v>
      </c>
      <c r="L1135" t="s">
        <v>327</v>
      </c>
    </row>
    <row r="1136" spans="1:12">
      <c r="A1136" t="s">
        <v>318</v>
      </c>
      <c r="B1136" t="s">
        <v>1049</v>
      </c>
      <c r="C1136" t="s">
        <v>1220</v>
      </c>
      <c r="D1136" s="28">
        <v>761111139899</v>
      </c>
      <c r="E1136" s="29" t="s">
        <v>393</v>
      </c>
      <c r="F1136" s="29" t="s">
        <v>372</v>
      </c>
      <c r="G1136">
        <v>32</v>
      </c>
      <c r="H1136" t="s">
        <v>1051</v>
      </c>
      <c r="I1136" t="s">
        <v>98</v>
      </c>
      <c r="J1136" t="s">
        <v>1052</v>
      </c>
      <c r="K1136" t="s">
        <v>394</v>
      </c>
      <c r="L1136" t="s">
        <v>327</v>
      </c>
    </row>
    <row r="1137" spans="1:12">
      <c r="A1137" t="s">
        <v>318</v>
      </c>
      <c r="B1137" t="s">
        <v>1049</v>
      </c>
      <c r="C1137" t="s">
        <v>1221</v>
      </c>
      <c r="D1137" s="28">
        <v>761111139900</v>
      </c>
      <c r="E1137" s="29" t="s">
        <v>393</v>
      </c>
      <c r="F1137" s="29" t="s">
        <v>372</v>
      </c>
      <c r="G1137">
        <v>20</v>
      </c>
      <c r="H1137" t="s">
        <v>1051</v>
      </c>
      <c r="I1137" t="s">
        <v>98</v>
      </c>
      <c r="J1137" t="s">
        <v>1052</v>
      </c>
      <c r="K1137" t="s">
        <v>394</v>
      </c>
      <c r="L1137" t="s">
        <v>327</v>
      </c>
    </row>
    <row r="1138" spans="1:12">
      <c r="A1138" t="s">
        <v>318</v>
      </c>
      <c r="B1138" t="s">
        <v>1049</v>
      </c>
      <c r="C1138" t="s">
        <v>1222</v>
      </c>
      <c r="D1138" s="28">
        <v>761111139902</v>
      </c>
      <c r="E1138" s="29" t="s">
        <v>393</v>
      </c>
      <c r="F1138" s="29" t="s">
        <v>372</v>
      </c>
      <c r="G1138">
        <v>20</v>
      </c>
      <c r="H1138" t="s">
        <v>1051</v>
      </c>
      <c r="I1138" t="s">
        <v>98</v>
      </c>
      <c r="J1138" t="s">
        <v>1052</v>
      </c>
      <c r="K1138" t="s">
        <v>394</v>
      </c>
      <c r="L1138" t="s">
        <v>327</v>
      </c>
    </row>
    <row r="1139" spans="1:12">
      <c r="A1139" t="s">
        <v>318</v>
      </c>
      <c r="B1139" t="s">
        <v>1223</v>
      </c>
      <c r="C1139" t="s">
        <v>1224</v>
      </c>
      <c r="D1139" s="28">
        <v>7614700026529</v>
      </c>
      <c r="E1139" s="29" t="s">
        <v>529</v>
      </c>
      <c r="F1139" s="29" t="s">
        <v>372</v>
      </c>
      <c r="G1139">
        <v>15</v>
      </c>
      <c r="H1139" t="s">
        <v>323</v>
      </c>
      <c r="I1139" t="s">
        <v>98</v>
      </c>
      <c r="J1139" t="s">
        <v>248</v>
      </c>
      <c r="K1139" t="s">
        <v>285</v>
      </c>
      <c r="L1139" t="s">
        <v>327</v>
      </c>
    </row>
    <row r="1140" spans="1:12">
      <c r="A1140" t="s">
        <v>318</v>
      </c>
      <c r="B1140" t="s">
        <v>1223</v>
      </c>
      <c r="C1140" t="s">
        <v>1225</v>
      </c>
      <c r="D1140" s="28">
        <v>7614700026563</v>
      </c>
      <c r="E1140" s="29" t="s">
        <v>529</v>
      </c>
      <c r="F1140" s="29" t="s">
        <v>372</v>
      </c>
      <c r="G1140">
        <v>15</v>
      </c>
      <c r="H1140" t="s">
        <v>323</v>
      </c>
      <c r="I1140" t="s">
        <v>98</v>
      </c>
      <c r="J1140" t="s">
        <v>248</v>
      </c>
      <c r="K1140" t="s">
        <v>1226</v>
      </c>
      <c r="L1140" t="s">
        <v>327</v>
      </c>
    </row>
    <row r="1141" spans="1:12">
      <c r="A1141" t="s">
        <v>318</v>
      </c>
      <c r="B1141" t="s">
        <v>1223</v>
      </c>
      <c r="C1141" t="s">
        <v>377</v>
      </c>
      <c r="D1141" s="28">
        <v>7614700027521</v>
      </c>
      <c r="E1141" s="29" t="s">
        <v>529</v>
      </c>
      <c r="F1141" s="29" t="s">
        <v>372</v>
      </c>
      <c r="G1141">
        <v>15</v>
      </c>
      <c r="H1141" t="s">
        <v>323</v>
      </c>
      <c r="I1141" t="s">
        <v>98</v>
      </c>
      <c r="J1141" t="s">
        <v>248</v>
      </c>
      <c r="K1141" t="s">
        <v>1226</v>
      </c>
      <c r="L1141" t="s">
        <v>327</v>
      </c>
    </row>
    <row r="1142" spans="1:12">
      <c r="A1142" t="s">
        <v>318</v>
      </c>
      <c r="B1142" t="s">
        <v>1223</v>
      </c>
      <c r="C1142" t="s">
        <v>596</v>
      </c>
      <c r="D1142" s="28">
        <v>7614700028138</v>
      </c>
      <c r="E1142" s="29" t="s">
        <v>529</v>
      </c>
      <c r="F1142" s="29" t="s">
        <v>372</v>
      </c>
      <c r="G1142">
        <v>15</v>
      </c>
      <c r="H1142" t="s">
        <v>323</v>
      </c>
      <c r="I1142" t="s">
        <v>98</v>
      </c>
      <c r="J1142" t="s">
        <v>248</v>
      </c>
      <c r="K1142" t="s">
        <v>1226</v>
      </c>
      <c r="L1142" t="s">
        <v>327</v>
      </c>
    </row>
    <row r="1143" spans="1:12">
      <c r="A1143" t="s">
        <v>318</v>
      </c>
      <c r="B1143" t="s">
        <v>1223</v>
      </c>
      <c r="C1143" t="s">
        <v>1227</v>
      </c>
      <c r="D1143" s="28">
        <v>7614700028315</v>
      </c>
      <c r="E1143" s="29" t="s">
        <v>529</v>
      </c>
      <c r="F1143" s="29" t="s">
        <v>372</v>
      </c>
      <c r="G1143">
        <v>15</v>
      </c>
      <c r="H1143" t="s">
        <v>323</v>
      </c>
      <c r="I1143" t="s">
        <v>98</v>
      </c>
      <c r="J1143" t="s">
        <v>248</v>
      </c>
      <c r="K1143" t="s">
        <v>1226</v>
      </c>
      <c r="L1143" t="s">
        <v>327</v>
      </c>
    </row>
    <row r="1144" spans="1:12">
      <c r="A1144" t="s">
        <v>318</v>
      </c>
      <c r="B1144" t="s">
        <v>1223</v>
      </c>
      <c r="C1144" t="s">
        <v>493</v>
      </c>
      <c r="D1144" s="28">
        <v>7614700028529</v>
      </c>
      <c r="E1144" s="29" t="s">
        <v>529</v>
      </c>
      <c r="F1144" s="29" t="s">
        <v>372</v>
      </c>
      <c r="G1144">
        <v>15</v>
      </c>
      <c r="H1144" t="s">
        <v>323</v>
      </c>
      <c r="I1144" t="s">
        <v>45</v>
      </c>
      <c r="J1144" t="s">
        <v>248</v>
      </c>
      <c r="K1144" t="s">
        <v>1226</v>
      </c>
      <c r="L1144" t="s">
        <v>327</v>
      </c>
    </row>
    <row r="1145" spans="1:12">
      <c r="A1145" t="s">
        <v>318</v>
      </c>
      <c r="B1145" t="s">
        <v>1223</v>
      </c>
      <c r="C1145" t="s">
        <v>1228</v>
      </c>
      <c r="D1145" s="28">
        <v>7614700028613</v>
      </c>
      <c r="E1145" s="29" t="s">
        <v>529</v>
      </c>
      <c r="F1145" s="29" t="s">
        <v>372</v>
      </c>
      <c r="G1145">
        <v>15</v>
      </c>
      <c r="H1145" t="s">
        <v>323</v>
      </c>
      <c r="I1145" t="s">
        <v>98</v>
      </c>
      <c r="J1145" t="s">
        <v>248</v>
      </c>
      <c r="K1145" t="s">
        <v>1226</v>
      </c>
      <c r="L1145" t="s">
        <v>327</v>
      </c>
    </row>
    <row r="1146" spans="1:12">
      <c r="A1146" t="s">
        <v>318</v>
      </c>
      <c r="B1146" t="s">
        <v>1223</v>
      </c>
      <c r="C1146" t="s">
        <v>348</v>
      </c>
      <c r="D1146" s="28">
        <v>7614700028773</v>
      </c>
      <c r="E1146" s="29" t="s">
        <v>529</v>
      </c>
      <c r="F1146" s="29" t="s">
        <v>372</v>
      </c>
      <c r="G1146">
        <v>15</v>
      </c>
      <c r="H1146" t="s">
        <v>323</v>
      </c>
      <c r="I1146" t="s">
        <v>45</v>
      </c>
      <c r="J1146" t="s">
        <v>248</v>
      </c>
      <c r="K1146" t="s">
        <v>1226</v>
      </c>
      <c r="L1146" t="s">
        <v>327</v>
      </c>
    </row>
    <row r="1147" spans="1:12">
      <c r="A1147" t="s">
        <v>318</v>
      </c>
      <c r="B1147" t="s">
        <v>1223</v>
      </c>
      <c r="C1147" t="s">
        <v>377</v>
      </c>
      <c r="D1147" s="28">
        <v>7614700031182</v>
      </c>
      <c r="E1147" s="29" t="s">
        <v>529</v>
      </c>
      <c r="F1147" s="29" t="s">
        <v>372</v>
      </c>
      <c r="G1147">
        <v>15</v>
      </c>
      <c r="H1147" t="s">
        <v>323</v>
      </c>
      <c r="I1147" t="s">
        <v>98</v>
      </c>
      <c r="J1147" t="s">
        <v>248</v>
      </c>
      <c r="K1147" t="s">
        <v>285</v>
      </c>
      <c r="L1147" t="s">
        <v>327</v>
      </c>
    </row>
    <row r="1148" spans="1:12">
      <c r="A1148" t="s">
        <v>318</v>
      </c>
      <c r="B1148" t="s">
        <v>1223</v>
      </c>
      <c r="C1148" t="s">
        <v>1229</v>
      </c>
      <c r="D1148" s="28">
        <v>7614700031246</v>
      </c>
      <c r="E1148" s="29" t="s">
        <v>529</v>
      </c>
      <c r="F1148" s="29" t="s">
        <v>372</v>
      </c>
      <c r="G1148">
        <v>15</v>
      </c>
      <c r="H1148" t="s">
        <v>323</v>
      </c>
      <c r="I1148" t="s">
        <v>98</v>
      </c>
      <c r="J1148" t="s">
        <v>248</v>
      </c>
      <c r="K1148" t="s">
        <v>285</v>
      </c>
      <c r="L1148" t="s">
        <v>327</v>
      </c>
    </row>
    <row r="1149" spans="1:12">
      <c r="A1149" t="s">
        <v>318</v>
      </c>
      <c r="B1149" t="s">
        <v>1223</v>
      </c>
      <c r="C1149" t="s">
        <v>1230</v>
      </c>
      <c r="D1149" s="28">
        <v>7614700031271</v>
      </c>
      <c r="E1149" s="29" t="s">
        <v>529</v>
      </c>
      <c r="F1149" s="29" t="s">
        <v>372</v>
      </c>
      <c r="G1149">
        <v>15</v>
      </c>
      <c r="H1149" t="s">
        <v>323</v>
      </c>
      <c r="I1149" t="s">
        <v>98</v>
      </c>
      <c r="J1149" t="s">
        <v>248</v>
      </c>
      <c r="K1149" t="s">
        <v>285</v>
      </c>
      <c r="L1149" t="s">
        <v>327</v>
      </c>
    </row>
    <row r="1150" spans="1:12">
      <c r="A1150" t="s">
        <v>318</v>
      </c>
      <c r="B1150" t="s">
        <v>1223</v>
      </c>
      <c r="C1150" t="s">
        <v>575</v>
      </c>
      <c r="D1150" s="28">
        <v>7614700031300</v>
      </c>
      <c r="E1150" s="29" t="s">
        <v>529</v>
      </c>
      <c r="F1150" s="29" t="s">
        <v>372</v>
      </c>
      <c r="G1150">
        <v>15</v>
      </c>
      <c r="H1150" t="s">
        <v>323</v>
      </c>
      <c r="I1150" t="s">
        <v>98</v>
      </c>
      <c r="J1150" t="s">
        <v>248</v>
      </c>
      <c r="K1150" t="s">
        <v>285</v>
      </c>
      <c r="L1150" t="s">
        <v>327</v>
      </c>
    </row>
    <row r="1151" spans="1:12">
      <c r="A1151" t="s">
        <v>318</v>
      </c>
      <c r="B1151" t="s">
        <v>1223</v>
      </c>
      <c r="C1151" t="s">
        <v>1231</v>
      </c>
      <c r="D1151" s="28">
        <v>7614700033440</v>
      </c>
      <c r="E1151" s="29" t="s">
        <v>529</v>
      </c>
      <c r="F1151" s="29" t="s">
        <v>372</v>
      </c>
      <c r="G1151">
        <v>15</v>
      </c>
      <c r="H1151" t="s">
        <v>323</v>
      </c>
      <c r="I1151" t="s">
        <v>98</v>
      </c>
      <c r="J1151" t="s">
        <v>248</v>
      </c>
      <c r="K1151" t="s">
        <v>285</v>
      </c>
      <c r="L1151" t="s">
        <v>327</v>
      </c>
    </row>
    <row r="1152" spans="1:12">
      <c r="A1152" t="s">
        <v>318</v>
      </c>
      <c r="B1152" t="s">
        <v>1223</v>
      </c>
      <c r="C1152" t="s">
        <v>1232</v>
      </c>
      <c r="D1152" s="28">
        <v>7614700063321</v>
      </c>
      <c r="E1152" s="29" t="s">
        <v>529</v>
      </c>
      <c r="F1152" s="29" t="s">
        <v>372</v>
      </c>
      <c r="G1152">
        <v>15</v>
      </c>
      <c r="H1152" t="s">
        <v>323</v>
      </c>
      <c r="I1152" t="s">
        <v>98</v>
      </c>
      <c r="J1152" t="s">
        <v>248</v>
      </c>
      <c r="K1152" t="s">
        <v>365</v>
      </c>
      <c r="L1152" t="s">
        <v>327</v>
      </c>
    </row>
    <row r="1153" spans="1:12">
      <c r="A1153" t="s">
        <v>318</v>
      </c>
      <c r="B1153" t="s">
        <v>1223</v>
      </c>
      <c r="C1153" t="s">
        <v>1233</v>
      </c>
      <c r="D1153" s="28">
        <v>7614700063515</v>
      </c>
      <c r="E1153" s="29" t="s">
        <v>529</v>
      </c>
      <c r="F1153" s="29" t="s">
        <v>372</v>
      </c>
      <c r="G1153">
        <v>15</v>
      </c>
      <c r="H1153" t="s">
        <v>323</v>
      </c>
      <c r="I1153" t="s">
        <v>98</v>
      </c>
      <c r="J1153" t="s">
        <v>248</v>
      </c>
      <c r="K1153" t="s">
        <v>285</v>
      </c>
      <c r="L1153" t="s">
        <v>327</v>
      </c>
    </row>
    <row r="1154" spans="1:12">
      <c r="A1154" t="s">
        <v>318</v>
      </c>
      <c r="B1154" t="s">
        <v>1223</v>
      </c>
      <c r="C1154" t="s">
        <v>1234</v>
      </c>
      <c r="D1154" s="28">
        <v>7614700063531</v>
      </c>
      <c r="E1154" s="29" t="s">
        <v>529</v>
      </c>
      <c r="F1154" s="29" t="s">
        <v>372</v>
      </c>
      <c r="G1154">
        <v>15</v>
      </c>
      <c r="H1154" t="s">
        <v>323</v>
      </c>
      <c r="I1154" t="s">
        <v>98</v>
      </c>
      <c r="J1154" t="s">
        <v>248</v>
      </c>
      <c r="K1154" t="s">
        <v>365</v>
      </c>
      <c r="L1154" t="s">
        <v>327</v>
      </c>
    </row>
    <row r="1155" spans="1:12">
      <c r="A1155" t="s">
        <v>318</v>
      </c>
      <c r="B1155" t="s">
        <v>1223</v>
      </c>
      <c r="C1155" t="s">
        <v>1235</v>
      </c>
      <c r="D1155" s="28">
        <v>7614700063550</v>
      </c>
      <c r="E1155" s="29" t="s">
        <v>529</v>
      </c>
      <c r="F1155" s="29" t="s">
        <v>372</v>
      </c>
      <c r="G1155">
        <v>15</v>
      </c>
      <c r="H1155" t="s">
        <v>323</v>
      </c>
      <c r="I1155" t="s">
        <v>98</v>
      </c>
      <c r="J1155" t="s">
        <v>248</v>
      </c>
      <c r="K1155" t="s">
        <v>365</v>
      </c>
      <c r="L1155" t="s">
        <v>327</v>
      </c>
    </row>
    <row r="1156" spans="1:12">
      <c r="A1156" t="s">
        <v>318</v>
      </c>
      <c r="B1156" t="s">
        <v>1223</v>
      </c>
      <c r="C1156" t="s">
        <v>1236</v>
      </c>
      <c r="D1156" s="28">
        <v>7614700063553</v>
      </c>
      <c r="E1156" s="29" t="s">
        <v>529</v>
      </c>
      <c r="F1156" s="29" t="s">
        <v>372</v>
      </c>
      <c r="G1156">
        <v>15</v>
      </c>
      <c r="H1156" t="s">
        <v>323</v>
      </c>
      <c r="I1156" t="s">
        <v>98</v>
      </c>
      <c r="J1156" t="s">
        <v>248</v>
      </c>
      <c r="K1156" t="s">
        <v>365</v>
      </c>
      <c r="L1156" t="s">
        <v>327</v>
      </c>
    </row>
    <row r="1157" spans="1:12">
      <c r="A1157" t="s">
        <v>318</v>
      </c>
      <c r="B1157" t="s">
        <v>1223</v>
      </c>
      <c r="C1157" t="s">
        <v>1237</v>
      </c>
      <c r="D1157" s="28">
        <v>7614700063568</v>
      </c>
      <c r="E1157" s="29" t="s">
        <v>529</v>
      </c>
      <c r="F1157" s="29" t="s">
        <v>372</v>
      </c>
      <c r="G1157">
        <v>15</v>
      </c>
      <c r="H1157" t="s">
        <v>323</v>
      </c>
      <c r="I1157" t="s">
        <v>98</v>
      </c>
      <c r="J1157" t="s">
        <v>248</v>
      </c>
      <c r="K1157" t="s">
        <v>365</v>
      </c>
      <c r="L1157" t="s">
        <v>327</v>
      </c>
    </row>
    <row r="1158" spans="1:12">
      <c r="A1158" t="s">
        <v>318</v>
      </c>
      <c r="B1158" t="s">
        <v>1223</v>
      </c>
      <c r="C1158" t="s">
        <v>1238</v>
      </c>
      <c r="D1158" s="28">
        <v>7614700063575</v>
      </c>
      <c r="E1158" s="29" t="s">
        <v>529</v>
      </c>
      <c r="F1158" s="29" t="s">
        <v>372</v>
      </c>
      <c r="G1158">
        <v>15</v>
      </c>
      <c r="H1158" t="s">
        <v>323</v>
      </c>
      <c r="I1158" t="s">
        <v>45</v>
      </c>
      <c r="J1158" t="s">
        <v>248</v>
      </c>
      <c r="K1158" t="s">
        <v>365</v>
      </c>
      <c r="L1158" t="s">
        <v>327</v>
      </c>
    </row>
    <row r="1159" spans="1:12">
      <c r="A1159" t="s">
        <v>318</v>
      </c>
      <c r="B1159" t="s">
        <v>1223</v>
      </c>
      <c r="C1159" t="s">
        <v>377</v>
      </c>
      <c r="D1159" s="28">
        <v>7640300037585</v>
      </c>
      <c r="E1159" s="29" t="s">
        <v>371</v>
      </c>
      <c r="F1159" s="29" t="s">
        <v>372</v>
      </c>
      <c r="G1159">
        <v>13</v>
      </c>
      <c r="H1159" t="s">
        <v>323</v>
      </c>
      <c r="I1159" t="s">
        <v>98</v>
      </c>
      <c r="J1159" t="s">
        <v>1239</v>
      </c>
      <c r="K1159" t="s">
        <v>285</v>
      </c>
      <c r="L1159" t="s">
        <v>327</v>
      </c>
    </row>
    <row r="1160" spans="1:12">
      <c r="A1160" t="s">
        <v>318</v>
      </c>
      <c r="B1160" t="s">
        <v>1223</v>
      </c>
      <c r="C1160" t="s">
        <v>1240</v>
      </c>
      <c r="D1160" s="28">
        <v>7640300037613</v>
      </c>
      <c r="E1160" s="29" t="s">
        <v>371</v>
      </c>
      <c r="F1160" s="29" t="s">
        <v>372</v>
      </c>
      <c r="G1160">
        <v>13</v>
      </c>
      <c r="H1160" t="s">
        <v>323</v>
      </c>
      <c r="I1160" t="s">
        <v>98</v>
      </c>
      <c r="J1160" t="s">
        <v>1239</v>
      </c>
      <c r="K1160" t="s">
        <v>285</v>
      </c>
      <c r="L1160" t="s">
        <v>327</v>
      </c>
    </row>
    <row r="1161" spans="1:12">
      <c r="A1161" t="s">
        <v>318</v>
      </c>
      <c r="B1161" t="s">
        <v>1223</v>
      </c>
      <c r="C1161" t="s">
        <v>969</v>
      </c>
      <c r="D1161" s="28">
        <v>7640300037623</v>
      </c>
      <c r="E1161" s="29" t="s">
        <v>371</v>
      </c>
      <c r="F1161" s="29" t="s">
        <v>372</v>
      </c>
      <c r="G1161">
        <v>13</v>
      </c>
      <c r="H1161" t="s">
        <v>323</v>
      </c>
      <c r="I1161" t="s">
        <v>45</v>
      </c>
      <c r="J1161" t="s">
        <v>1239</v>
      </c>
      <c r="K1161" t="s">
        <v>285</v>
      </c>
      <c r="L1161" t="s">
        <v>327</v>
      </c>
    </row>
    <row r="1162" spans="1:12">
      <c r="A1162" t="s">
        <v>318</v>
      </c>
      <c r="B1162" t="s">
        <v>1223</v>
      </c>
      <c r="C1162" t="s">
        <v>1241</v>
      </c>
      <c r="D1162" s="28">
        <v>7640300037661</v>
      </c>
      <c r="E1162" s="29" t="s">
        <v>371</v>
      </c>
      <c r="F1162" s="29" t="s">
        <v>372</v>
      </c>
      <c r="G1162">
        <v>13</v>
      </c>
      <c r="H1162" t="s">
        <v>323</v>
      </c>
      <c r="I1162" t="s">
        <v>45</v>
      </c>
      <c r="J1162" t="s">
        <v>1239</v>
      </c>
      <c r="K1162" t="s">
        <v>285</v>
      </c>
      <c r="L1162" t="s">
        <v>327</v>
      </c>
    </row>
    <row r="1163" spans="1:12">
      <c r="A1163" t="s">
        <v>318</v>
      </c>
      <c r="B1163" t="s">
        <v>1223</v>
      </c>
      <c r="C1163" t="s">
        <v>1242</v>
      </c>
      <c r="D1163" s="28">
        <v>7640300037674</v>
      </c>
      <c r="E1163" s="29" t="s">
        <v>371</v>
      </c>
      <c r="F1163" s="29" t="s">
        <v>372</v>
      </c>
      <c r="G1163">
        <v>13</v>
      </c>
      <c r="H1163" t="s">
        <v>323</v>
      </c>
      <c r="I1163" t="s">
        <v>98</v>
      </c>
      <c r="J1163" t="s">
        <v>1239</v>
      </c>
      <c r="K1163" t="s">
        <v>285</v>
      </c>
      <c r="L1163" t="s">
        <v>327</v>
      </c>
    </row>
    <row r="1164" spans="1:12">
      <c r="A1164" t="s">
        <v>318</v>
      </c>
      <c r="B1164" t="s">
        <v>1223</v>
      </c>
      <c r="C1164" t="s">
        <v>1243</v>
      </c>
      <c r="D1164" s="28">
        <v>7640300037708</v>
      </c>
      <c r="E1164" s="29" t="s">
        <v>371</v>
      </c>
      <c r="F1164" s="29" t="s">
        <v>372</v>
      </c>
      <c r="G1164">
        <v>13</v>
      </c>
      <c r="H1164" t="s">
        <v>323</v>
      </c>
      <c r="I1164" t="s">
        <v>45</v>
      </c>
      <c r="J1164" t="s">
        <v>1239</v>
      </c>
      <c r="K1164" t="s">
        <v>285</v>
      </c>
      <c r="L1164" t="s">
        <v>327</v>
      </c>
    </row>
    <row r="1165" spans="1:12">
      <c r="A1165" t="s">
        <v>318</v>
      </c>
      <c r="B1165" t="s">
        <v>1223</v>
      </c>
      <c r="C1165" t="s">
        <v>1244</v>
      </c>
      <c r="D1165" s="28">
        <v>7640300037742</v>
      </c>
      <c r="E1165" s="29" t="s">
        <v>371</v>
      </c>
      <c r="F1165" s="29" t="s">
        <v>372</v>
      </c>
      <c r="G1165">
        <v>13</v>
      </c>
      <c r="H1165" t="s">
        <v>323</v>
      </c>
      <c r="I1165" t="s">
        <v>98</v>
      </c>
      <c r="J1165" t="s">
        <v>1239</v>
      </c>
      <c r="K1165" t="s">
        <v>285</v>
      </c>
      <c r="L1165" t="s">
        <v>327</v>
      </c>
    </row>
    <row r="1166" spans="1:12">
      <c r="A1166" t="s">
        <v>318</v>
      </c>
      <c r="B1166" t="s">
        <v>1223</v>
      </c>
      <c r="C1166" t="s">
        <v>1245</v>
      </c>
      <c r="D1166" s="28">
        <v>7649700018426</v>
      </c>
      <c r="E1166" s="29" t="s">
        <v>363</v>
      </c>
      <c r="F1166" s="29" t="s">
        <v>364</v>
      </c>
      <c r="G1166">
        <v>60</v>
      </c>
      <c r="H1166" t="s">
        <v>323</v>
      </c>
      <c r="I1166" t="s">
        <v>45</v>
      </c>
      <c r="J1166" t="s">
        <v>1246</v>
      </c>
      <c r="K1166" t="s">
        <v>365</v>
      </c>
      <c r="L1166" t="s">
        <v>327</v>
      </c>
    </row>
    <row r="1167" spans="1:12">
      <c r="A1167" t="s">
        <v>318</v>
      </c>
      <c r="B1167" t="s">
        <v>1223</v>
      </c>
      <c r="C1167" t="s">
        <v>1247</v>
      </c>
      <c r="D1167" s="28">
        <v>7649700018674</v>
      </c>
      <c r="E1167" s="29" t="s">
        <v>1248</v>
      </c>
      <c r="F1167" s="29" t="s">
        <v>322</v>
      </c>
      <c r="G1167">
        <v>11</v>
      </c>
      <c r="H1167" t="s">
        <v>1051</v>
      </c>
      <c r="I1167" t="s">
        <v>45</v>
      </c>
      <c r="J1167" t="s">
        <v>1246</v>
      </c>
      <c r="K1167" t="s">
        <v>394</v>
      </c>
      <c r="L1167" t="s">
        <v>327</v>
      </c>
    </row>
    <row r="1168" spans="1:12">
      <c r="A1168" t="s">
        <v>318</v>
      </c>
      <c r="B1168" t="s">
        <v>1223</v>
      </c>
      <c r="C1168" t="s">
        <v>1249</v>
      </c>
      <c r="D1168" s="28">
        <v>7649700135372</v>
      </c>
      <c r="E1168" s="29" t="s">
        <v>1248</v>
      </c>
      <c r="F1168" s="29" t="s">
        <v>322</v>
      </c>
      <c r="G1168">
        <v>13</v>
      </c>
      <c r="H1168" t="s">
        <v>1051</v>
      </c>
      <c r="I1168" t="s">
        <v>45</v>
      </c>
      <c r="J1168" t="s">
        <v>1246</v>
      </c>
      <c r="K1168" t="s">
        <v>394</v>
      </c>
      <c r="L1168" t="s">
        <v>327</v>
      </c>
    </row>
    <row r="1169" spans="1:12">
      <c r="A1169" t="s">
        <v>318</v>
      </c>
      <c r="B1169" t="s">
        <v>1223</v>
      </c>
      <c r="C1169" t="s">
        <v>1250</v>
      </c>
      <c r="D1169" s="28">
        <v>7649700135374</v>
      </c>
      <c r="E1169" s="29" t="s">
        <v>1248</v>
      </c>
      <c r="F1169" s="29" t="s">
        <v>322</v>
      </c>
      <c r="G1169">
        <v>14</v>
      </c>
      <c r="H1169" t="s">
        <v>1051</v>
      </c>
      <c r="I1169" t="s">
        <v>45</v>
      </c>
      <c r="J1169" t="s">
        <v>1246</v>
      </c>
      <c r="K1169" t="s">
        <v>394</v>
      </c>
      <c r="L1169" t="s">
        <v>327</v>
      </c>
    </row>
    <row r="1170" spans="1:12">
      <c r="A1170" t="s">
        <v>318</v>
      </c>
      <c r="B1170" t="s">
        <v>1223</v>
      </c>
      <c r="C1170" t="s">
        <v>1251</v>
      </c>
      <c r="D1170" s="28">
        <v>7649700135375</v>
      </c>
      <c r="E1170" s="29" t="s">
        <v>1248</v>
      </c>
      <c r="F1170" s="29" t="s">
        <v>322</v>
      </c>
      <c r="G1170">
        <v>8</v>
      </c>
      <c r="H1170" t="s">
        <v>1051</v>
      </c>
      <c r="I1170" t="s">
        <v>45</v>
      </c>
      <c r="J1170" t="s">
        <v>1246</v>
      </c>
      <c r="K1170" t="s">
        <v>394</v>
      </c>
      <c r="L1170" t="s">
        <v>327</v>
      </c>
    </row>
    <row r="1171" spans="1:12">
      <c r="A1171" t="s">
        <v>318</v>
      </c>
      <c r="B1171" t="s">
        <v>1223</v>
      </c>
      <c r="C1171" t="s">
        <v>1252</v>
      </c>
      <c r="D1171" s="28">
        <v>7649700135377</v>
      </c>
      <c r="E1171" s="29" t="s">
        <v>1248</v>
      </c>
      <c r="F1171" s="29" t="s">
        <v>322</v>
      </c>
      <c r="G1171">
        <v>22</v>
      </c>
      <c r="H1171" t="s">
        <v>1051</v>
      </c>
      <c r="I1171" t="s">
        <v>45</v>
      </c>
      <c r="J1171" t="s">
        <v>1246</v>
      </c>
      <c r="K1171" t="s">
        <v>394</v>
      </c>
      <c r="L1171" t="s">
        <v>327</v>
      </c>
    </row>
    <row r="1172" spans="1:12">
      <c r="A1172" t="s">
        <v>318</v>
      </c>
      <c r="B1172" t="s">
        <v>1223</v>
      </c>
      <c r="C1172" t="s">
        <v>1253</v>
      </c>
      <c r="D1172" s="28">
        <v>764971134329</v>
      </c>
      <c r="E1172" s="29" t="s">
        <v>393</v>
      </c>
      <c r="F1172" s="29" t="s">
        <v>372</v>
      </c>
      <c r="G1172">
        <v>16</v>
      </c>
      <c r="H1172" t="s">
        <v>1051</v>
      </c>
      <c r="I1172" t="s">
        <v>45</v>
      </c>
      <c r="J1172" t="s">
        <v>1246</v>
      </c>
      <c r="K1172" t="s">
        <v>394</v>
      </c>
      <c r="L1172" t="s">
        <v>327</v>
      </c>
    </row>
    <row r="1173" spans="1:12">
      <c r="A1173" t="s">
        <v>318</v>
      </c>
      <c r="B1173" t="s">
        <v>1223</v>
      </c>
      <c r="C1173" t="s">
        <v>1254</v>
      </c>
      <c r="D1173" s="28">
        <v>764971134336</v>
      </c>
      <c r="E1173" s="29" t="s">
        <v>393</v>
      </c>
      <c r="F1173" s="29" t="s">
        <v>372</v>
      </c>
      <c r="G1173">
        <v>16</v>
      </c>
      <c r="H1173" t="s">
        <v>1051</v>
      </c>
      <c r="I1173" t="s">
        <v>45</v>
      </c>
      <c r="J1173" t="s">
        <v>1246</v>
      </c>
      <c r="K1173" t="s">
        <v>394</v>
      </c>
      <c r="L1173" t="s">
        <v>327</v>
      </c>
    </row>
    <row r="1174" spans="1:12">
      <c r="A1174" t="s">
        <v>318</v>
      </c>
      <c r="B1174" t="s">
        <v>1223</v>
      </c>
      <c r="C1174" t="s">
        <v>1255</v>
      </c>
      <c r="D1174" s="28">
        <v>764971134341</v>
      </c>
      <c r="E1174" s="29" t="s">
        <v>393</v>
      </c>
      <c r="F1174" s="29" t="s">
        <v>372</v>
      </c>
      <c r="G1174">
        <v>16</v>
      </c>
      <c r="H1174" t="s">
        <v>1051</v>
      </c>
      <c r="I1174" t="s">
        <v>45</v>
      </c>
      <c r="J1174" t="s">
        <v>1246</v>
      </c>
      <c r="K1174" t="s">
        <v>394</v>
      </c>
      <c r="L1174" t="s">
        <v>327</v>
      </c>
    </row>
    <row r="1175" spans="1:12">
      <c r="A1175" t="s">
        <v>318</v>
      </c>
      <c r="B1175" t="s">
        <v>1223</v>
      </c>
      <c r="C1175" t="s">
        <v>1256</v>
      </c>
      <c r="D1175" s="28">
        <v>764971134343</v>
      </c>
      <c r="E1175" s="29" t="s">
        <v>393</v>
      </c>
      <c r="F1175" s="29" t="s">
        <v>372</v>
      </c>
      <c r="G1175">
        <v>16</v>
      </c>
      <c r="H1175" t="s">
        <v>1051</v>
      </c>
      <c r="I1175" t="s">
        <v>45</v>
      </c>
      <c r="J1175" t="s">
        <v>1246</v>
      </c>
      <c r="K1175" t="s">
        <v>394</v>
      </c>
      <c r="L1175" t="s">
        <v>327</v>
      </c>
    </row>
    <row r="1176" spans="1:12">
      <c r="A1176" t="s">
        <v>318</v>
      </c>
      <c r="B1176" t="s">
        <v>1223</v>
      </c>
      <c r="C1176" t="s">
        <v>1257</v>
      </c>
      <c r="D1176" s="28">
        <v>7640300018496</v>
      </c>
      <c r="E1176" s="29" t="s">
        <v>393</v>
      </c>
      <c r="F1176" s="29" t="s">
        <v>372</v>
      </c>
      <c r="G1176">
        <v>37</v>
      </c>
      <c r="H1176" t="s">
        <v>1051</v>
      </c>
      <c r="I1176" t="s">
        <v>45</v>
      </c>
      <c r="J1176" t="s">
        <v>1239</v>
      </c>
      <c r="K1176" t="s">
        <v>394</v>
      </c>
      <c r="L1176" t="s">
        <v>327</v>
      </c>
    </row>
    <row r="1177" spans="1:12">
      <c r="A1177" t="s">
        <v>318</v>
      </c>
      <c r="B1177" t="s">
        <v>1223</v>
      </c>
      <c r="C1177" t="s">
        <v>1258</v>
      </c>
      <c r="D1177" s="28">
        <v>7640300135349</v>
      </c>
      <c r="E1177" s="29" t="s">
        <v>393</v>
      </c>
      <c r="F1177" s="29" t="s">
        <v>372</v>
      </c>
      <c r="G1177">
        <v>14</v>
      </c>
      <c r="H1177" t="s">
        <v>1051</v>
      </c>
      <c r="I1177" t="s">
        <v>45</v>
      </c>
      <c r="J1177" t="s">
        <v>1239</v>
      </c>
      <c r="K1177" t="s">
        <v>394</v>
      </c>
      <c r="L1177" t="s">
        <v>327</v>
      </c>
    </row>
    <row r="1178" spans="1:12">
      <c r="A1178" t="s">
        <v>318</v>
      </c>
      <c r="B1178" t="s">
        <v>1223</v>
      </c>
      <c r="C1178" t="s">
        <v>1259</v>
      </c>
      <c r="D1178" s="28">
        <v>764031126152</v>
      </c>
      <c r="E1178" s="29" t="s">
        <v>393</v>
      </c>
      <c r="F1178" s="29" t="s">
        <v>372</v>
      </c>
      <c r="G1178">
        <v>18</v>
      </c>
      <c r="H1178" t="s">
        <v>1051</v>
      </c>
      <c r="I1178" t="s">
        <v>45</v>
      </c>
      <c r="J1178" t="s">
        <v>1239</v>
      </c>
      <c r="K1178" t="s">
        <v>365</v>
      </c>
      <c r="L1178" t="s">
        <v>327</v>
      </c>
    </row>
    <row r="1179" spans="1:12">
      <c r="A1179" t="s">
        <v>318</v>
      </c>
      <c r="B1179" t="s">
        <v>1223</v>
      </c>
      <c r="C1179" t="s">
        <v>1260</v>
      </c>
      <c r="D1179" s="28">
        <v>764031126153</v>
      </c>
      <c r="E1179" s="29" t="s">
        <v>393</v>
      </c>
      <c r="F1179" s="29" t="s">
        <v>372</v>
      </c>
      <c r="G1179">
        <v>17</v>
      </c>
      <c r="H1179" t="s">
        <v>1051</v>
      </c>
      <c r="I1179" t="s">
        <v>45</v>
      </c>
      <c r="J1179" t="s">
        <v>1239</v>
      </c>
      <c r="K1179" t="s">
        <v>365</v>
      </c>
      <c r="L1179" t="s">
        <v>327</v>
      </c>
    </row>
    <row r="1180" spans="1:12">
      <c r="A1180" t="s">
        <v>318</v>
      </c>
      <c r="B1180" t="s">
        <v>1223</v>
      </c>
      <c r="C1180" t="s">
        <v>1261</v>
      </c>
      <c r="D1180" s="28">
        <v>764031127691</v>
      </c>
      <c r="E1180" s="29" t="s">
        <v>393</v>
      </c>
      <c r="F1180" s="29" t="s">
        <v>372</v>
      </c>
      <c r="G1180">
        <v>15</v>
      </c>
      <c r="H1180" t="s">
        <v>1051</v>
      </c>
      <c r="I1180" t="s">
        <v>45</v>
      </c>
      <c r="J1180" t="s">
        <v>1239</v>
      </c>
      <c r="K1180" t="s">
        <v>394</v>
      </c>
      <c r="L1180" t="s">
        <v>327</v>
      </c>
    </row>
    <row r="1181" spans="1:12">
      <c r="A1181" t="s">
        <v>318</v>
      </c>
      <c r="B1181" t="s">
        <v>1223</v>
      </c>
      <c r="C1181" t="s">
        <v>1262</v>
      </c>
      <c r="D1181" s="28">
        <v>764031127693</v>
      </c>
      <c r="E1181" s="29" t="s">
        <v>393</v>
      </c>
      <c r="F1181" s="29" t="s">
        <v>372</v>
      </c>
      <c r="G1181">
        <v>18</v>
      </c>
      <c r="H1181" t="s">
        <v>1051</v>
      </c>
      <c r="I1181" t="s">
        <v>45</v>
      </c>
      <c r="J1181" t="s">
        <v>1239</v>
      </c>
      <c r="K1181" t="s">
        <v>365</v>
      </c>
      <c r="L1181" t="s">
        <v>327</v>
      </c>
    </row>
    <row r="1182" spans="1:12">
      <c r="A1182" t="s">
        <v>318</v>
      </c>
      <c r="B1182" t="s">
        <v>1223</v>
      </c>
      <c r="C1182" t="s">
        <v>1243</v>
      </c>
      <c r="D1182" s="28">
        <v>764031134365</v>
      </c>
      <c r="E1182" s="29" t="s">
        <v>393</v>
      </c>
      <c r="F1182" s="29" t="s">
        <v>372</v>
      </c>
      <c r="G1182">
        <v>13</v>
      </c>
      <c r="H1182" t="s">
        <v>1051</v>
      </c>
      <c r="I1182" t="s">
        <v>45</v>
      </c>
      <c r="J1182" t="s">
        <v>1239</v>
      </c>
      <c r="K1182" t="s">
        <v>394</v>
      </c>
      <c r="L1182" t="s">
        <v>327</v>
      </c>
    </row>
    <row r="1183" spans="1:12">
      <c r="A1183" t="s">
        <v>318</v>
      </c>
      <c r="B1183" t="s">
        <v>1223</v>
      </c>
      <c r="C1183" t="s">
        <v>426</v>
      </c>
      <c r="D1183" s="28">
        <v>764031143745</v>
      </c>
      <c r="E1183" s="29" t="s">
        <v>393</v>
      </c>
      <c r="F1183" s="29" t="s">
        <v>372</v>
      </c>
      <c r="G1183">
        <v>18</v>
      </c>
      <c r="H1183" t="s">
        <v>1051</v>
      </c>
      <c r="I1183" t="s">
        <v>45</v>
      </c>
      <c r="J1183" t="s">
        <v>1239</v>
      </c>
      <c r="K1183" t="s">
        <v>394</v>
      </c>
      <c r="L1183" t="s">
        <v>327</v>
      </c>
    </row>
    <row r="1184" spans="1:12">
      <c r="A1184" t="s">
        <v>318</v>
      </c>
      <c r="B1184" t="s">
        <v>1223</v>
      </c>
      <c r="C1184" t="s">
        <v>385</v>
      </c>
      <c r="D1184" s="28">
        <v>7614700018443</v>
      </c>
      <c r="E1184" s="29" t="s">
        <v>368</v>
      </c>
      <c r="F1184" s="29" t="s">
        <v>364</v>
      </c>
      <c r="G1184">
        <v>119</v>
      </c>
      <c r="H1184" t="s">
        <v>1051</v>
      </c>
      <c r="I1184" t="s">
        <v>45</v>
      </c>
      <c r="J1184" t="s">
        <v>248</v>
      </c>
      <c r="K1184" t="s">
        <v>394</v>
      </c>
      <c r="L1184" t="s">
        <v>1090</v>
      </c>
    </row>
    <row r="1185" spans="1:12">
      <c r="A1185" t="s">
        <v>318</v>
      </c>
      <c r="B1185" t="s">
        <v>1223</v>
      </c>
      <c r="C1185" t="s">
        <v>1263</v>
      </c>
      <c r="D1185" s="28">
        <v>7614700109866</v>
      </c>
      <c r="E1185" s="29" t="s">
        <v>363</v>
      </c>
      <c r="F1185" s="29" t="s">
        <v>364</v>
      </c>
      <c r="G1185">
        <v>215</v>
      </c>
      <c r="H1185" t="s">
        <v>1051</v>
      </c>
      <c r="I1185" t="s">
        <v>45</v>
      </c>
      <c r="J1185" t="s">
        <v>248</v>
      </c>
      <c r="K1185" t="s">
        <v>365</v>
      </c>
      <c r="L1185" t="s">
        <v>1090</v>
      </c>
    </row>
    <row r="1186" spans="1:12">
      <c r="A1186" t="s">
        <v>318</v>
      </c>
      <c r="B1186" t="s">
        <v>1223</v>
      </c>
      <c r="C1186" t="s">
        <v>1264</v>
      </c>
      <c r="D1186" s="28">
        <v>7614700112606</v>
      </c>
      <c r="E1186" s="29" t="s">
        <v>368</v>
      </c>
      <c r="F1186" s="29" t="s">
        <v>364</v>
      </c>
      <c r="G1186">
        <v>224</v>
      </c>
      <c r="H1186" t="s">
        <v>1051</v>
      </c>
      <c r="I1186" t="s">
        <v>45</v>
      </c>
      <c r="J1186" t="s">
        <v>248</v>
      </c>
      <c r="K1186" t="s">
        <v>394</v>
      </c>
      <c r="L1186" t="s">
        <v>1090</v>
      </c>
    </row>
    <row r="1187" spans="1:12">
      <c r="A1187" t="s">
        <v>318</v>
      </c>
      <c r="B1187" t="s">
        <v>1223</v>
      </c>
      <c r="C1187" t="s">
        <v>1265</v>
      </c>
      <c r="D1187" s="28">
        <v>7614700114000</v>
      </c>
      <c r="E1187" s="29" t="s">
        <v>368</v>
      </c>
      <c r="F1187" s="29" t="s">
        <v>364</v>
      </c>
      <c r="G1187">
        <v>37</v>
      </c>
      <c r="H1187" t="s">
        <v>323</v>
      </c>
      <c r="I1187" t="s">
        <v>45</v>
      </c>
      <c r="J1187" t="s">
        <v>248</v>
      </c>
      <c r="K1187" t="s">
        <v>394</v>
      </c>
      <c r="L1187" t="s">
        <v>1090</v>
      </c>
    </row>
    <row r="1188" spans="1:12">
      <c r="A1188" t="s">
        <v>318</v>
      </c>
      <c r="B1188" t="s">
        <v>1223</v>
      </c>
      <c r="C1188" t="s">
        <v>1266</v>
      </c>
      <c r="D1188" s="28">
        <v>7605400018716</v>
      </c>
      <c r="E1188" s="29" t="s">
        <v>1248</v>
      </c>
      <c r="F1188" s="29" t="s">
        <v>322</v>
      </c>
      <c r="G1188">
        <v>14</v>
      </c>
      <c r="H1188" t="s">
        <v>1051</v>
      </c>
      <c r="I1188" t="s">
        <v>98</v>
      </c>
      <c r="J1188" t="s">
        <v>1267</v>
      </c>
      <c r="K1188" t="s">
        <v>394</v>
      </c>
      <c r="L1188" t="s">
        <v>327</v>
      </c>
    </row>
    <row r="1189" spans="1:12">
      <c r="A1189" t="s">
        <v>318</v>
      </c>
      <c r="B1189" t="s">
        <v>1223</v>
      </c>
      <c r="C1189" t="s">
        <v>1268</v>
      </c>
      <c r="D1189" s="28">
        <v>760541126154</v>
      </c>
      <c r="E1189" s="29" t="s">
        <v>393</v>
      </c>
      <c r="F1189" s="29" t="s">
        <v>372</v>
      </c>
      <c r="G1189">
        <v>16</v>
      </c>
      <c r="H1189" t="s">
        <v>1051</v>
      </c>
      <c r="I1189" t="s">
        <v>45</v>
      </c>
      <c r="J1189" t="s">
        <v>1267</v>
      </c>
      <c r="K1189" t="s">
        <v>365</v>
      </c>
      <c r="L1189" t="s">
        <v>327</v>
      </c>
    </row>
    <row r="1190" spans="1:12">
      <c r="A1190" t="s">
        <v>318</v>
      </c>
      <c r="B1190" t="s">
        <v>1223</v>
      </c>
      <c r="C1190" t="s">
        <v>1010</v>
      </c>
      <c r="D1190" s="28">
        <v>760541139262</v>
      </c>
      <c r="E1190" s="29" t="s">
        <v>1248</v>
      </c>
      <c r="F1190" s="29" t="s">
        <v>322</v>
      </c>
      <c r="G1190">
        <v>10</v>
      </c>
      <c r="H1190" t="s">
        <v>1051</v>
      </c>
      <c r="I1190" t="s">
        <v>45</v>
      </c>
      <c r="J1190" t="s">
        <v>1267</v>
      </c>
      <c r="K1190" t="s">
        <v>394</v>
      </c>
      <c r="L1190" t="s">
        <v>327</v>
      </c>
    </row>
    <row r="1191" spans="1:12">
      <c r="A1191" t="s">
        <v>318</v>
      </c>
      <c r="B1191" t="s">
        <v>1223</v>
      </c>
      <c r="C1191" t="s">
        <v>1269</v>
      </c>
      <c r="D1191" s="28">
        <v>7624300134487</v>
      </c>
      <c r="E1191" s="29" t="s">
        <v>1270</v>
      </c>
      <c r="F1191" s="29" t="s">
        <v>322</v>
      </c>
      <c r="G1191">
        <v>22</v>
      </c>
      <c r="H1191" t="s">
        <v>1051</v>
      </c>
      <c r="I1191" t="s">
        <v>98</v>
      </c>
      <c r="J1191" t="s">
        <v>1271</v>
      </c>
      <c r="K1191" t="s">
        <v>365</v>
      </c>
      <c r="L1191" t="s">
        <v>327</v>
      </c>
    </row>
    <row r="1192" spans="1:12">
      <c r="A1192" t="s">
        <v>318</v>
      </c>
      <c r="B1192" t="s">
        <v>1223</v>
      </c>
      <c r="C1192" t="s">
        <v>1272</v>
      </c>
      <c r="D1192" s="28">
        <v>7624300134519</v>
      </c>
      <c r="E1192" s="29" t="s">
        <v>1248</v>
      </c>
      <c r="F1192" s="29" t="s">
        <v>322</v>
      </c>
      <c r="G1192">
        <v>19</v>
      </c>
      <c r="H1192" t="s">
        <v>1051</v>
      </c>
      <c r="I1192" t="s">
        <v>45</v>
      </c>
      <c r="J1192" t="s">
        <v>1271</v>
      </c>
      <c r="K1192" t="s">
        <v>394</v>
      </c>
      <c r="L1192" t="s">
        <v>327</v>
      </c>
    </row>
    <row r="1193" spans="1:12">
      <c r="A1193" t="s">
        <v>318</v>
      </c>
      <c r="B1193" t="s">
        <v>1223</v>
      </c>
      <c r="C1193" t="s">
        <v>1273</v>
      </c>
      <c r="D1193" s="28">
        <v>762431126155</v>
      </c>
      <c r="E1193" s="29" t="s">
        <v>1248</v>
      </c>
      <c r="F1193" s="29" t="s">
        <v>322</v>
      </c>
      <c r="G1193">
        <v>16</v>
      </c>
      <c r="H1193" t="s">
        <v>1051</v>
      </c>
      <c r="I1193" t="s">
        <v>98</v>
      </c>
      <c r="J1193" t="s">
        <v>1271</v>
      </c>
      <c r="K1193" t="s">
        <v>394</v>
      </c>
      <c r="L1193" t="s">
        <v>327</v>
      </c>
    </row>
    <row r="1194" spans="1:12">
      <c r="A1194" t="s">
        <v>318</v>
      </c>
      <c r="B1194" t="s">
        <v>1223</v>
      </c>
      <c r="C1194" t="s">
        <v>1274</v>
      </c>
      <c r="D1194" s="28">
        <v>762431134273</v>
      </c>
      <c r="E1194" s="29" t="s">
        <v>393</v>
      </c>
      <c r="F1194" s="29" t="s">
        <v>372</v>
      </c>
      <c r="G1194">
        <v>16</v>
      </c>
      <c r="H1194" t="s">
        <v>1051</v>
      </c>
      <c r="I1194" t="s">
        <v>45</v>
      </c>
      <c r="J1194" t="s">
        <v>1271</v>
      </c>
      <c r="K1194" t="s">
        <v>394</v>
      </c>
      <c r="L1194" t="s">
        <v>327</v>
      </c>
    </row>
    <row r="1195" spans="1:12">
      <c r="A1195" t="s">
        <v>318</v>
      </c>
      <c r="B1195" t="s">
        <v>1223</v>
      </c>
      <c r="C1195" t="s">
        <v>1275</v>
      </c>
      <c r="D1195" s="28">
        <v>762431134278</v>
      </c>
      <c r="E1195" s="29" t="s">
        <v>1248</v>
      </c>
      <c r="F1195" s="29" t="s">
        <v>322</v>
      </c>
      <c r="G1195">
        <v>22</v>
      </c>
      <c r="H1195" t="s">
        <v>1051</v>
      </c>
      <c r="I1195" t="s">
        <v>98</v>
      </c>
      <c r="J1195" t="s">
        <v>1271</v>
      </c>
      <c r="K1195" t="s">
        <v>365</v>
      </c>
      <c r="L1195" t="s">
        <v>327</v>
      </c>
    </row>
    <row r="1196" spans="1:12">
      <c r="A1196" t="s">
        <v>318</v>
      </c>
      <c r="B1196" t="s">
        <v>1223</v>
      </c>
      <c r="C1196" t="s">
        <v>1276</v>
      </c>
      <c r="D1196" s="28">
        <v>7624600109867</v>
      </c>
      <c r="E1196" s="29" t="s">
        <v>368</v>
      </c>
      <c r="F1196" s="29" t="s">
        <v>364</v>
      </c>
      <c r="G1196">
        <v>30</v>
      </c>
      <c r="H1196" t="s">
        <v>323</v>
      </c>
      <c r="I1196" t="s">
        <v>45</v>
      </c>
      <c r="J1196" t="s">
        <v>1277</v>
      </c>
      <c r="K1196" t="s">
        <v>394</v>
      </c>
      <c r="L1196" t="s">
        <v>327</v>
      </c>
    </row>
    <row r="1197" spans="1:12">
      <c r="A1197" t="s">
        <v>318</v>
      </c>
      <c r="B1197" t="s">
        <v>1223</v>
      </c>
      <c r="C1197" t="s">
        <v>1278</v>
      </c>
      <c r="D1197" s="28">
        <v>7624600135340</v>
      </c>
      <c r="E1197" s="29" t="s">
        <v>1248</v>
      </c>
      <c r="F1197" s="29" t="s">
        <v>322</v>
      </c>
      <c r="G1197">
        <v>12</v>
      </c>
      <c r="H1197" t="s">
        <v>1051</v>
      </c>
      <c r="I1197" t="s">
        <v>45</v>
      </c>
      <c r="J1197" t="s">
        <v>1277</v>
      </c>
      <c r="K1197" t="s">
        <v>394</v>
      </c>
      <c r="L1197" t="s">
        <v>327</v>
      </c>
    </row>
    <row r="1198" spans="1:12">
      <c r="A1198" t="s">
        <v>318</v>
      </c>
      <c r="B1198" t="s">
        <v>1223</v>
      </c>
      <c r="C1198" t="s">
        <v>1279</v>
      </c>
      <c r="D1198" s="28">
        <v>762461134283</v>
      </c>
      <c r="E1198" s="29" t="s">
        <v>1248</v>
      </c>
      <c r="F1198" s="29" t="s">
        <v>322</v>
      </c>
      <c r="G1198">
        <v>10</v>
      </c>
      <c r="H1198" t="s">
        <v>1051</v>
      </c>
      <c r="I1198" t="s">
        <v>45</v>
      </c>
      <c r="J1198" t="s">
        <v>1277</v>
      </c>
      <c r="K1198" t="s">
        <v>394</v>
      </c>
      <c r="L1198" t="s">
        <v>327</v>
      </c>
    </row>
    <row r="1199" spans="1:12">
      <c r="A1199" t="s">
        <v>318</v>
      </c>
      <c r="B1199" t="s">
        <v>1223</v>
      </c>
      <c r="C1199" t="s">
        <v>1280</v>
      </c>
      <c r="D1199" s="28">
        <v>762461134286</v>
      </c>
      <c r="E1199" s="29" t="s">
        <v>393</v>
      </c>
      <c r="F1199" s="29" t="s">
        <v>372</v>
      </c>
      <c r="G1199">
        <v>13</v>
      </c>
      <c r="H1199" t="s">
        <v>323</v>
      </c>
      <c r="I1199" t="s">
        <v>45</v>
      </c>
      <c r="J1199" t="s">
        <v>1277</v>
      </c>
      <c r="K1199" t="s">
        <v>394</v>
      </c>
      <c r="L1199" t="s">
        <v>327</v>
      </c>
    </row>
    <row r="1200" spans="1:12">
      <c r="A1200" t="s">
        <v>318</v>
      </c>
      <c r="B1200" t="s">
        <v>1223</v>
      </c>
      <c r="C1200" t="s">
        <v>602</v>
      </c>
      <c r="D1200" s="28">
        <v>7604100036977</v>
      </c>
      <c r="E1200" s="29" t="s">
        <v>371</v>
      </c>
      <c r="F1200" s="29" t="s">
        <v>372</v>
      </c>
      <c r="G1200">
        <v>13</v>
      </c>
      <c r="H1200" t="s">
        <v>323</v>
      </c>
      <c r="I1200" t="s">
        <v>45</v>
      </c>
      <c r="J1200" t="s">
        <v>1281</v>
      </c>
      <c r="K1200" t="s">
        <v>285</v>
      </c>
      <c r="L1200" t="s">
        <v>327</v>
      </c>
    </row>
    <row r="1201" spans="1:12">
      <c r="A1201" t="s">
        <v>318</v>
      </c>
      <c r="B1201" t="s">
        <v>1223</v>
      </c>
      <c r="C1201" t="s">
        <v>1282</v>
      </c>
      <c r="D1201" s="28">
        <v>7604100036992</v>
      </c>
      <c r="E1201" s="29" t="s">
        <v>371</v>
      </c>
      <c r="F1201" s="29" t="s">
        <v>372</v>
      </c>
      <c r="G1201">
        <v>13</v>
      </c>
      <c r="H1201" t="s">
        <v>323</v>
      </c>
      <c r="I1201" t="s">
        <v>45</v>
      </c>
      <c r="J1201" t="s">
        <v>1281</v>
      </c>
      <c r="K1201" t="s">
        <v>285</v>
      </c>
      <c r="L1201" t="s">
        <v>327</v>
      </c>
    </row>
    <row r="1202" spans="1:12">
      <c r="A1202" t="s">
        <v>318</v>
      </c>
      <c r="B1202" t="s">
        <v>1223</v>
      </c>
      <c r="C1202" t="s">
        <v>1283</v>
      </c>
      <c r="D1202" s="28">
        <v>7604100037012</v>
      </c>
      <c r="E1202" s="29" t="s">
        <v>371</v>
      </c>
      <c r="F1202" s="29" t="s">
        <v>372</v>
      </c>
      <c r="G1202">
        <v>13</v>
      </c>
      <c r="H1202" t="s">
        <v>323</v>
      </c>
      <c r="I1202" t="s">
        <v>45</v>
      </c>
      <c r="J1202" t="s">
        <v>1281</v>
      </c>
      <c r="K1202" t="s">
        <v>1226</v>
      </c>
      <c r="L1202" t="s">
        <v>327</v>
      </c>
    </row>
    <row r="1203" spans="1:12">
      <c r="A1203" t="s">
        <v>318</v>
      </c>
      <c r="B1203" t="s">
        <v>1223</v>
      </c>
      <c r="C1203" t="s">
        <v>1284</v>
      </c>
      <c r="D1203" s="28">
        <v>7604100037035</v>
      </c>
      <c r="E1203" s="29" t="s">
        <v>371</v>
      </c>
      <c r="F1203" s="29" t="s">
        <v>372</v>
      </c>
      <c r="G1203">
        <v>13</v>
      </c>
      <c r="H1203" t="s">
        <v>323</v>
      </c>
      <c r="I1203" t="s">
        <v>45</v>
      </c>
      <c r="J1203" t="s">
        <v>1281</v>
      </c>
      <c r="K1203" t="s">
        <v>1226</v>
      </c>
      <c r="L1203" t="s">
        <v>327</v>
      </c>
    </row>
    <row r="1204" spans="1:12">
      <c r="A1204" t="s">
        <v>318</v>
      </c>
      <c r="B1204" t="s">
        <v>1223</v>
      </c>
      <c r="C1204" t="s">
        <v>497</v>
      </c>
      <c r="D1204" s="28">
        <v>7604100037040</v>
      </c>
      <c r="E1204" s="29" t="s">
        <v>371</v>
      </c>
      <c r="F1204" s="29" t="s">
        <v>372</v>
      </c>
      <c r="G1204">
        <v>13</v>
      </c>
      <c r="H1204" t="s">
        <v>323</v>
      </c>
      <c r="I1204" t="s">
        <v>45</v>
      </c>
      <c r="J1204" t="s">
        <v>1281</v>
      </c>
      <c r="K1204" t="s">
        <v>285</v>
      </c>
      <c r="L1204" t="s">
        <v>327</v>
      </c>
    </row>
    <row r="1205" spans="1:12">
      <c r="A1205" t="s">
        <v>318</v>
      </c>
      <c r="B1205" t="s">
        <v>1223</v>
      </c>
      <c r="C1205" t="s">
        <v>423</v>
      </c>
      <c r="D1205" s="28">
        <v>7604100037050</v>
      </c>
      <c r="E1205" s="29" t="s">
        <v>371</v>
      </c>
      <c r="F1205" s="29" t="s">
        <v>372</v>
      </c>
      <c r="G1205">
        <v>13</v>
      </c>
      <c r="H1205" t="s">
        <v>323</v>
      </c>
      <c r="I1205" t="s">
        <v>45</v>
      </c>
      <c r="J1205" t="s">
        <v>1281</v>
      </c>
      <c r="K1205" t="s">
        <v>285</v>
      </c>
      <c r="L1205" t="s">
        <v>327</v>
      </c>
    </row>
    <row r="1206" spans="1:12">
      <c r="A1206" t="s">
        <v>318</v>
      </c>
      <c r="B1206" t="s">
        <v>1223</v>
      </c>
      <c r="C1206" t="s">
        <v>1225</v>
      </c>
      <c r="D1206" s="28">
        <v>7604100037057</v>
      </c>
      <c r="E1206" s="29" t="s">
        <v>371</v>
      </c>
      <c r="F1206" s="29" t="s">
        <v>372</v>
      </c>
      <c r="G1206">
        <v>13</v>
      </c>
      <c r="H1206" t="s">
        <v>323</v>
      </c>
      <c r="I1206" t="s">
        <v>45</v>
      </c>
      <c r="J1206" t="s">
        <v>1281</v>
      </c>
      <c r="K1206" t="s">
        <v>285</v>
      </c>
      <c r="L1206" t="s">
        <v>327</v>
      </c>
    </row>
    <row r="1207" spans="1:12">
      <c r="A1207" t="s">
        <v>318</v>
      </c>
      <c r="B1207" t="s">
        <v>1223</v>
      </c>
      <c r="C1207" t="s">
        <v>450</v>
      </c>
      <c r="D1207" s="28">
        <v>7604100037168</v>
      </c>
      <c r="E1207" s="29" t="s">
        <v>371</v>
      </c>
      <c r="F1207" s="29" t="s">
        <v>372</v>
      </c>
      <c r="G1207">
        <v>13</v>
      </c>
      <c r="H1207" t="s">
        <v>323</v>
      </c>
      <c r="I1207" t="s">
        <v>45</v>
      </c>
      <c r="J1207" t="s">
        <v>1281</v>
      </c>
      <c r="K1207" t="s">
        <v>1226</v>
      </c>
      <c r="L1207" t="s">
        <v>327</v>
      </c>
    </row>
    <row r="1208" spans="1:12">
      <c r="A1208" t="s">
        <v>318</v>
      </c>
      <c r="B1208" t="s">
        <v>1223</v>
      </c>
      <c r="C1208" t="s">
        <v>507</v>
      </c>
      <c r="D1208" s="28">
        <v>7604100037191</v>
      </c>
      <c r="E1208" s="29" t="s">
        <v>371</v>
      </c>
      <c r="F1208" s="29" t="s">
        <v>372</v>
      </c>
      <c r="G1208">
        <v>13</v>
      </c>
      <c r="H1208" t="s">
        <v>323</v>
      </c>
      <c r="I1208" t="s">
        <v>45</v>
      </c>
      <c r="J1208" t="s">
        <v>1281</v>
      </c>
      <c r="K1208" t="s">
        <v>1226</v>
      </c>
      <c r="L1208" t="s">
        <v>327</v>
      </c>
    </row>
    <row r="1209" spans="1:12">
      <c r="A1209" t="s">
        <v>318</v>
      </c>
      <c r="B1209" t="s">
        <v>1223</v>
      </c>
      <c r="C1209" t="s">
        <v>536</v>
      </c>
      <c r="D1209" s="28">
        <v>7604100037230</v>
      </c>
      <c r="E1209" s="29" t="s">
        <v>371</v>
      </c>
      <c r="F1209" s="29" t="s">
        <v>372</v>
      </c>
      <c r="G1209">
        <v>13</v>
      </c>
      <c r="H1209" t="s">
        <v>323</v>
      </c>
      <c r="I1209" t="s">
        <v>45</v>
      </c>
      <c r="J1209" t="s">
        <v>1281</v>
      </c>
      <c r="K1209" t="s">
        <v>1226</v>
      </c>
      <c r="L1209" t="s">
        <v>327</v>
      </c>
    </row>
    <row r="1210" spans="1:12">
      <c r="A1210" t="s">
        <v>318</v>
      </c>
      <c r="B1210" t="s">
        <v>1223</v>
      </c>
      <c r="C1210" t="s">
        <v>1285</v>
      </c>
      <c r="D1210" s="28">
        <v>7604100071729</v>
      </c>
      <c r="E1210" s="29" t="s">
        <v>371</v>
      </c>
      <c r="F1210" s="29" t="s">
        <v>372</v>
      </c>
      <c r="G1210">
        <v>13</v>
      </c>
      <c r="H1210" t="s">
        <v>323</v>
      </c>
      <c r="I1210" t="s">
        <v>45</v>
      </c>
      <c r="J1210" t="s">
        <v>1281</v>
      </c>
      <c r="K1210" t="s">
        <v>285</v>
      </c>
      <c r="L1210" t="s">
        <v>327</v>
      </c>
    </row>
    <row r="1211" spans="1:12">
      <c r="A1211" t="s">
        <v>318</v>
      </c>
      <c r="B1211" t="s">
        <v>1223</v>
      </c>
      <c r="C1211" t="s">
        <v>1286</v>
      </c>
      <c r="D1211" s="28">
        <v>7604100071859</v>
      </c>
      <c r="E1211" s="29" t="s">
        <v>371</v>
      </c>
      <c r="F1211" s="29" t="s">
        <v>372</v>
      </c>
      <c r="G1211">
        <v>13</v>
      </c>
      <c r="H1211" t="s">
        <v>323</v>
      </c>
      <c r="I1211" t="s">
        <v>45</v>
      </c>
      <c r="J1211" t="s">
        <v>1281</v>
      </c>
      <c r="K1211" t="s">
        <v>1226</v>
      </c>
      <c r="L1211" t="s">
        <v>327</v>
      </c>
    </row>
    <row r="1212" spans="1:12">
      <c r="A1212" t="s">
        <v>318</v>
      </c>
      <c r="B1212" t="s">
        <v>1223</v>
      </c>
      <c r="C1212" t="s">
        <v>377</v>
      </c>
      <c r="D1212" s="28">
        <v>7604100071872</v>
      </c>
      <c r="E1212" s="29" t="s">
        <v>371</v>
      </c>
      <c r="F1212" s="29" t="s">
        <v>372</v>
      </c>
      <c r="G1212">
        <v>13</v>
      </c>
      <c r="H1212" t="s">
        <v>323</v>
      </c>
      <c r="I1212" t="s">
        <v>45</v>
      </c>
      <c r="J1212" t="s">
        <v>1281</v>
      </c>
      <c r="K1212" t="s">
        <v>285</v>
      </c>
      <c r="L1212" t="s">
        <v>327</v>
      </c>
    </row>
    <row r="1213" spans="1:12">
      <c r="A1213" t="s">
        <v>318</v>
      </c>
      <c r="B1213" t="s">
        <v>1223</v>
      </c>
      <c r="C1213" t="s">
        <v>1287</v>
      </c>
      <c r="D1213" s="28">
        <v>7604100110818</v>
      </c>
      <c r="E1213" s="29" t="s">
        <v>371</v>
      </c>
      <c r="F1213" s="29" t="s">
        <v>372</v>
      </c>
      <c r="G1213">
        <v>13</v>
      </c>
      <c r="H1213" t="s">
        <v>323</v>
      </c>
      <c r="I1213" t="s">
        <v>324</v>
      </c>
      <c r="J1213" t="s">
        <v>1281</v>
      </c>
      <c r="K1213" t="s">
        <v>285</v>
      </c>
      <c r="L1213" t="s">
        <v>327</v>
      </c>
    </row>
    <row r="1214" spans="1:12">
      <c r="A1214" t="s">
        <v>318</v>
      </c>
      <c r="B1214" t="s">
        <v>1223</v>
      </c>
      <c r="C1214" t="s">
        <v>1288</v>
      </c>
      <c r="D1214" s="28">
        <v>7604100110819</v>
      </c>
      <c r="E1214" s="29" t="s">
        <v>371</v>
      </c>
      <c r="F1214" s="29" t="s">
        <v>372</v>
      </c>
      <c r="G1214">
        <v>13</v>
      </c>
      <c r="H1214" t="s">
        <v>323</v>
      </c>
      <c r="I1214" t="s">
        <v>45</v>
      </c>
      <c r="J1214" t="s">
        <v>1281</v>
      </c>
      <c r="K1214" t="s">
        <v>1226</v>
      </c>
      <c r="L1214" t="s">
        <v>327</v>
      </c>
    </row>
    <row r="1215" spans="1:12">
      <c r="A1215" t="s">
        <v>318</v>
      </c>
      <c r="B1215" t="s">
        <v>1223</v>
      </c>
      <c r="C1215" t="s">
        <v>1289</v>
      </c>
      <c r="D1215" s="28">
        <v>7604100110820</v>
      </c>
      <c r="E1215" s="29" t="s">
        <v>371</v>
      </c>
      <c r="F1215" s="29" t="s">
        <v>372</v>
      </c>
      <c r="G1215">
        <v>13</v>
      </c>
      <c r="H1215" t="s">
        <v>323</v>
      </c>
      <c r="I1215" t="s">
        <v>45</v>
      </c>
      <c r="J1215" t="s">
        <v>1281</v>
      </c>
      <c r="K1215" t="s">
        <v>285</v>
      </c>
      <c r="L1215" t="s">
        <v>327</v>
      </c>
    </row>
    <row r="1216" spans="1:12">
      <c r="A1216" t="s">
        <v>318</v>
      </c>
      <c r="B1216" t="s">
        <v>1223</v>
      </c>
      <c r="C1216" t="s">
        <v>1290</v>
      </c>
      <c r="D1216" s="28">
        <v>760411121658</v>
      </c>
      <c r="E1216" s="29" t="s">
        <v>371</v>
      </c>
      <c r="F1216" s="29" t="s">
        <v>372</v>
      </c>
      <c r="G1216">
        <v>13</v>
      </c>
      <c r="H1216" t="s">
        <v>323</v>
      </c>
      <c r="I1216" t="s">
        <v>324</v>
      </c>
      <c r="J1216" t="s">
        <v>1281</v>
      </c>
      <c r="K1216" t="s">
        <v>285</v>
      </c>
      <c r="L1216" t="s">
        <v>327</v>
      </c>
    </row>
    <row r="1217" spans="1:12">
      <c r="A1217" t="s">
        <v>318</v>
      </c>
      <c r="B1217" t="s">
        <v>1223</v>
      </c>
      <c r="C1217" t="s">
        <v>1291</v>
      </c>
      <c r="D1217" s="28">
        <v>760411122859</v>
      </c>
      <c r="E1217" s="29" t="s">
        <v>371</v>
      </c>
      <c r="F1217" s="29" t="s">
        <v>372</v>
      </c>
      <c r="G1217">
        <v>13</v>
      </c>
      <c r="H1217" t="s">
        <v>323</v>
      </c>
      <c r="I1217" t="s">
        <v>45</v>
      </c>
      <c r="J1217" t="s">
        <v>1281</v>
      </c>
      <c r="K1217" t="s">
        <v>285</v>
      </c>
      <c r="L1217" t="s">
        <v>327</v>
      </c>
    </row>
    <row r="1218" spans="1:12">
      <c r="A1218" t="s">
        <v>318</v>
      </c>
      <c r="B1218" t="s">
        <v>1223</v>
      </c>
      <c r="C1218" t="s">
        <v>1292</v>
      </c>
      <c r="D1218" s="28">
        <v>760411151462</v>
      </c>
      <c r="E1218" s="29" t="s">
        <v>371</v>
      </c>
      <c r="F1218" s="29" t="s">
        <v>372</v>
      </c>
      <c r="G1218">
        <v>13</v>
      </c>
      <c r="H1218" t="s">
        <v>323</v>
      </c>
      <c r="I1218" t="s">
        <v>98</v>
      </c>
      <c r="J1218" t="s">
        <v>1281</v>
      </c>
      <c r="K1218" t="s">
        <v>285</v>
      </c>
      <c r="L1218" t="s">
        <v>327</v>
      </c>
    </row>
    <row r="1219" spans="1:12">
      <c r="A1219" t="s">
        <v>318</v>
      </c>
      <c r="B1219" t="s">
        <v>1223</v>
      </c>
      <c r="C1219" t="s">
        <v>1293</v>
      </c>
      <c r="D1219" s="28">
        <v>7605400036304</v>
      </c>
      <c r="E1219" s="29" t="s">
        <v>371</v>
      </c>
      <c r="F1219" s="29" t="s">
        <v>372</v>
      </c>
      <c r="G1219">
        <v>13</v>
      </c>
      <c r="H1219" t="s">
        <v>323</v>
      </c>
      <c r="I1219" t="s">
        <v>98</v>
      </c>
      <c r="J1219" t="s">
        <v>1267</v>
      </c>
      <c r="K1219" t="s">
        <v>285</v>
      </c>
      <c r="L1219" t="s">
        <v>327</v>
      </c>
    </row>
    <row r="1220" spans="1:12">
      <c r="A1220" t="s">
        <v>318</v>
      </c>
      <c r="B1220" t="s">
        <v>1223</v>
      </c>
      <c r="C1220" t="s">
        <v>1294</v>
      </c>
      <c r="D1220" s="28">
        <v>7605400036309</v>
      </c>
      <c r="E1220" s="29" t="s">
        <v>371</v>
      </c>
      <c r="F1220" s="29" t="s">
        <v>372</v>
      </c>
      <c r="G1220">
        <v>13</v>
      </c>
      <c r="H1220" t="s">
        <v>323</v>
      </c>
      <c r="I1220" t="s">
        <v>98</v>
      </c>
      <c r="J1220" t="s">
        <v>1267</v>
      </c>
      <c r="K1220" t="s">
        <v>285</v>
      </c>
      <c r="L1220" t="s">
        <v>327</v>
      </c>
    </row>
    <row r="1221" spans="1:12">
      <c r="A1221" t="s">
        <v>318</v>
      </c>
      <c r="B1221" t="s">
        <v>1223</v>
      </c>
      <c r="C1221" t="s">
        <v>421</v>
      </c>
      <c r="D1221" s="28">
        <v>7605400036311</v>
      </c>
      <c r="E1221" s="29" t="s">
        <v>371</v>
      </c>
      <c r="F1221" s="29" t="s">
        <v>372</v>
      </c>
      <c r="G1221">
        <v>13</v>
      </c>
      <c r="H1221" t="s">
        <v>323</v>
      </c>
      <c r="I1221" t="s">
        <v>98</v>
      </c>
      <c r="J1221" t="s">
        <v>1267</v>
      </c>
      <c r="K1221" t="s">
        <v>285</v>
      </c>
      <c r="L1221" t="s">
        <v>327</v>
      </c>
    </row>
    <row r="1222" spans="1:12">
      <c r="A1222" t="s">
        <v>318</v>
      </c>
      <c r="B1222" t="s">
        <v>1223</v>
      </c>
      <c r="C1222" t="s">
        <v>377</v>
      </c>
      <c r="D1222" s="28">
        <v>7605400036316</v>
      </c>
      <c r="E1222" s="29" t="s">
        <v>371</v>
      </c>
      <c r="F1222" s="29" t="s">
        <v>372</v>
      </c>
      <c r="G1222">
        <v>13</v>
      </c>
      <c r="H1222" t="s">
        <v>323</v>
      </c>
      <c r="I1222" t="s">
        <v>45</v>
      </c>
      <c r="J1222" t="s">
        <v>1267</v>
      </c>
      <c r="K1222" t="s">
        <v>285</v>
      </c>
      <c r="L1222" t="s">
        <v>327</v>
      </c>
    </row>
    <row r="1223" spans="1:12">
      <c r="A1223" t="s">
        <v>318</v>
      </c>
      <c r="B1223" t="s">
        <v>1223</v>
      </c>
      <c r="C1223" t="s">
        <v>1295</v>
      </c>
      <c r="D1223" s="28">
        <v>7605400036332</v>
      </c>
      <c r="E1223" s="29" t="s">
        <v>371</v>
      </c>
      <c r="F1223" s="29" t="s">
        <v>372</v>
      </c>
      <c r="G1223">
        <v>13</v>
      </c>
      <c r="H1223" t="s">
        <v>323</v>
      </c>
      <c r="I1223" t="s">
        <v>98</v>
      </c>
      <c r="J1223" t="s">
        <v>1267</v>
      </c>
      <c r="K1223" t="s">
        <v>285</v>
      </c>
      <c r="L1223" t="s">
        <v>327</v>
      </c>
    </row>
    <row r="1224" spans="1:12">
      <c r="A1224" t="s">
        <v>318</v>
      </c>
      <c r="B1224" t="s">
        <v>1223</v>
      </c>
      <c r="C1224" t="s">
        <v>575</v>
      </c>
      <c r="D1224" s="28">
        <v>7605400038119</v>
      </c>
      <c r="E1224" s="29" t="s">
        <v>371</v>
      </c>
      <c r="F1224" s="29" t="s">
        <v>372</v>
      </c>
      <c r="G1224">
        <v>13</v>
      </c>
      <c r="H1224" t="s">
        <v>323</v>
      </c>
      <c r="I1224" t="s">
        <v>45</v>
      </c>
      <c r="J1224" t="s">
        <v>1267</v>
      </c>
      <c r="K1224" t="s">
        <v>285</v>
      </c>
      <c r="L1224" t="s">
        <v>327</v>
      </c>
    </row>
    <row r="1225" spans="1:12">
      <c r="A1225" t="s">
        <v>318</v>
      </c>
      <c r="B1225" t="s">
        <v>1223</v>
      </c>
      <c r="C1225" t="s">
        <v>969</v>
      </c>
      <c r="D1225" s="28">
        <v>7624300070976</v>
      </c>
      <c r="E1225" s="29" t="s">
        <v>371</v>
      </c>
      <c r="F1225" s="29" t="s">
        <v>372</v>
      </c>
      <c r="G1225">
        <v>13</v>
      </c>
      <c r="H1225" t="s">
        <v>323</v>
      </c>
      <c r="I1225" t="s">
        <v>98</v>
      </c>
      <c r="J1225" t="s">
        <v>1271</v>
      </c>
      <c r="K1225" t="s">
        <v>285</v>
      </c>
      <c r="L1225" t="s">
        <v>327</v>
      </c>
    </row>
    <row r="1226" spans="1:12">
      <c r="A1226" t="s">
        <v>318</v>
      </c>
      <c r="B1226" t="s">
        <v>1223</v>
      </c>
      <c r="C1226" t="s">
        <v>1296</v>
      </c>
      <c r="D1226" s="28">
        <v>7624300070987</v>
      </c>
      <c r="E1226" s="29" t="s">
        <v>371</v>
      </c>
      <c r="F1226" s="29" t="s">
        <v>372</v>
      </c>
      <c r="G1226">
        <v>13</v>
      </c>
      <c r="H1226" t="s">
        <v>323</v>
      </c>
      <c r="I1226" t="s">
        <v>45</v>
      </c>
      <c r="J1226" t="s">
        <v>1271</v>
      </c>
      <c r="K1226" t="s">
        <v>285</v>
      </c>
      <c r="L1226" t="s">
        <v>327</v>
      </c>
    </row>
    <row r="1227" spans="1:12">
      <c r="A1227" t="s">
        <v>318</v>
      </c>
      <c r="B1227" t="s">
        <v>1223</v>
      </c>
      <c r="C1227" t="s">
        <v>1297</v>
      </c>
      <c r="D1227" s="28">
        <v>7624300070998</v>
      </c>
      <c r="E1227" s="29" t="s">
        <v>371</v>
      </c>
      <c r="F1227" s="29" t="s">
        <v>372</v>
      </c>
      <c r="G1227">
        <v>13</v>
      </c>
      <c r="H1227" t="s">
        <v>323</v>
      </c>
      <c r="I1227" t="s">
        <v>324</v>
      </c>
      <c r="J1227" t="s">
        <v>1271</v>
      </c>
      <c r="K1227" t="s">
        <v>285</v>
      </c>
      <c r="L1227" t="s">
        <v>327</v>
      </c>
    </row>
    <row r="1228" spans="1:12">
      <c r="A1228" t="s">
        <v>318</v>
      </c>
      <c r="B1228" t="s">
        <v>1223</v>
      </c>
      <c r="C1228" t="s">
        <v>1298</v>
      </c>
      <c r="D1228" s="28">
        <v>7624300071016</v>
      </c>
      <c r="E1228" s="29" t="s">
        <v>371</v>
      </c>
      <c r="F1228" s="29" t="s">
        <v>372</v>
      </c>
      <c r="G1228">
        <v>13</v>
      </c>
      <c r="H1228" t="s">
        <v>323</v>
      </c>
      <c r="I1228" t="s">
        <v>324</v>
      </c>
      <c r="J1228" t="s">
        <v>1271</v>
      </c>
      <c r="K1228" t="s">
        <v>285</v>
      </c>
      <c r="L1228" t="s">
        <v>327</v>
      </c>
    </row>
    <row r="1229" spans="1:12">
      <c r="A1229" t="s">
        <v>318</v>
      </c>
      <c r="B1229" t="s">
        <v>1223</v>
      </c>
      <c r="C1229" t="s">
        <v>1299</v>
      </c>
      <c r="D1229" s="28">
        <v>7624300071063</v>
      </c>
      <c r="E1229" s="29" t="s">
        <v>371</v>
      </c>
      <c r="F1229" s="29" t="s">
        <v>372</v>
      </c>
      <c r="G1229">
        <v>13</v>
      </c>
      <c r="H1229" t="s">
        <v>323</v>
      </c>
      <c r="I1229" t="s">
        <v>98</v>
      </c>
      <c r="J1229" t="s">
        <v>1271</v>
      </c>
      <c r="K1229" t="s">
        <v>285</v>
      </c>
      <c r="L1229" t="s">
        <v>327</v>
      </c>
    </row>
    <row r="1230" spans="1:12">
      <c r="A1230" t="s">
        <v>318</v>
      </c>
      <c r="B1230" t="s">
        <v>1223</v>
      </c>
      <c r="C1230" t="s">
        <v>1300</v>
      </c>
      <c r="D1230" s="28">
        <v>7624300071073</v>
      </c>
      <c r="E1230" s="29" t="s">
        <v>371</v>
      </c>
      <c r="F1230" s="29" t="s">
        <v>372</v>
      </c>
      <c r="G1230">
        <v>13</v>
      </c>
      <c r="H1230" t="s">
        <v>323</v>
      </c>
      <c r="I1230" t="s">
        <v>98</v>
      </c>
      <c r="J1230" t="s">
        <v>1271</v>
      </c>
      <c r="K1230" t="s">
        <v>285</v>
      </c>
      <c r="L1230" t="s">
        <v>327</v>
      </c>
    </row>
    <row r="1231" spans="1:12">
      <c r="A1231" t="s">
        <v>318</v>
      </c>
      <c r="B1231" t="s">
        <v>1223</v>
      </c>
      <c r="C1231" t="s">
        <v>488</v>
      </c>
      <c r="D1231" s="28">
        <v>7624300071079</v>
      </c>
      <c r="E1231" s="29" t="s">
        <v>371</v>
      </c>
      <c r="F1231" s="29" t="s">
        <v>372</v>
      </c>
      <c r="G1231">
        <v>13</v>
      </c>
      <c r="H1231" t="s">
        <v>323</v>
      </c>
      <c r="I1231" t="s">
        <v>98</v>
      </c>
      <c r="J1231" t="s">
        <v>1271</v>
      </c>
      <c r="K1231" t="s">
        <v>285</v>
      </c>
      <c r="L1231" t="s">
        <v>327</v>
      </c>
    </row>
    <row r="1232" spans="1:12">
      <c r="A1232" t="s">
        <v>318</v>
      </c>
      <c r="B1232" t="s">
        <v>1223</v>
      </c>
      <c r="C1232" t="s">
        <v>1301</v>
      </c>
      <c r="D1232" s="28">
        <v>7624600134098</v>
      </c>
      <c r="E1232" s="29" t="s">
        <v>371</v>
      </c>
      <c r="F1232" s="29" t="s">
        <v>372</v>
      </c>
      <c r="G1232">
        <v>13</v>
      </c>
      <c r="H1232" t="s">
        <v>323</v>
      </c>
      <c r="I1232" t="s">
        <v>98</v>
      </c>
      <c r="J1232" t="s">
        <v>1277</v>
      </c>
      <c r="K1232" t="s">
        <v>285</v>
      </c>
      <c r="L1232" t="s">
        <v>327</v>
      </c>
    </row>
    <row r="1233" spans="1:12">
      <c r="A1233" t="s">
        <v>318</v>
      </c>
      <c r="B1233" t="s">
        <v>1223</v>
      </c>
      <c r="C1233" t="s">
        <v>1302</v>
      </c>
      <c r="D1233" s="28">
        <v>762461119449</v>
      </c>
      <c r="E1233" s="29" t="s">
        <v>371</v>
      </c>
      <c r="F1233" s="29" t="s">
        <v>372</v>
      </c>
      <c r="G1233">
        <v>13</v>
      </c>
      <c r="H1233" t="s">
        <v>323</v>
      </c>
      <c r="I1233" t="s">
        <v>45</v>
      </c>
      <c r="J1233" t="s">
        <v>1277</v>
      </c>
      <c r="K1233" t="s">
        <v>285</v>
      </c>
      <c r="L1233" t="s">
        <v>327</v>
      </c>
    </row>
    <row r="1234" spans="1:12">
      <c r="A1234" t="s">
        <v>318</v>
      </c>
      <c r="B1234" t="s">
        <v>1223</v>
      </c>
      <c r="C1234" t="s">
        <v>1303</v>
      </c>
      <c r="D1234" s="28">
        <v>7602000018455</v>
      </c>
      <c r="E1234" s="29" t="s">
        <v>363</v>
      </c>
      <c r="F1234" s="29" t="s">
        <v>364</v>
      </c>
      <c r="G1234">
        <v>135</v>
      </c>
      <c r="H1234" t="s">
        <v>323</v>
      </c>
      <c r="I1234" t="s">
        <v>45</v>
      </c>
      <c r="J1234" t="s">
        <v>1304</v>
      </c>
      <c r="K1234" t="s">
        <v>365</v>
      </c>
      <c r="L1234" t="s">
        <v>327</v>
      </c>
    </row>
    <row r="1235" spans="1:12">
      <c r="A1235" t="s">
        <v>318</v>
      </c>
      <c r="B1235" t="s">
        <v>1223</v>
      </c>
      <c r="C1235" t="s">
        <v>1305</v>
      </c>
      <c r="D1235" s="28">
        <v>7602000020733</v>
      </c>
      <c r="E1235" s="29" t="s">
        <v>987</v>
      </c>
      <c r="F1235" s="29" t="s">
        <v>364</v>
      </c>
      <c r="G1235">
        <v>113</v>
      </c>
      <c r="H1235" t="s">
        <v>1051</v>
      </c>
      <c r="I1235" t="s">
        <v>45</v>
      </c>
      <c r="J1235" t="s">
        <v>1304</v>
      </c>
      <c r="K1235" t="s">
        <v>394</v>
      </c>
      <c r="L1235" t="s">
        <v>1090</v>
      </c>
    </row>
    <row r="1236" spans="1:12">
      <c r="A1236" t="s">
        <v>318</v>
      </c>
      <c r="B1236" t="s">
        <v>1223</v>
      </c>
      <c r="C1236" t="s">
        <v>1306</v>
      </c>
      <c r="D1236" s="28">
        <v>760201126151</v>
      </c>
      <c r="E1236" s="29" t="s">
        <v>393</v>
      </c>
      <c r="F1236" s="29" t="s">
        <v>372</v>
      </c>
      <c r="G1236">
        <v>37</v>
      </c>
      <c r="H1236" t="s">
        <v>1051</v>
      </c>
      <c r="I1236" t="s">
        <v>45</v>
      </c>
      <c r="J1236" t="s">
        <v>1304</v>
      </c>
      <c r="K1236" t="s">
        <v>365</v>
      </c>
      <c r="L1236" t="s">
        <v>327</v>
      </c>
    </row>
    <row r="1237" spans="1:12">
      <c r="A1237" t="s">
        <v>318</v>
      </c>
      <c r="B1237" t="s">
        <v>1223</v>
      </c>
      <c r="C1237" t="s">
        <v>1307</v>
      </c>
      <c r="D1237" s="28">
        <v>760411134259</v>
      </c>
      <c r="E1237" s="29" t="s">
        <v>393</v>
      </c>
      <c r="F1237" s="29" t="s">
        <v>372</v>
      </c>
      <c r="G1237">
        <v>22</v>
      </c>
      <c r="H1237" t="s">
        <v>1051</v>
      </c>
      <c r="I1237" t="s">
        <v>45</v>
      </c>
      <c r="J1237" t="s">
        <v>1281</v>
      </c>
      <c r="K1237" t="s">
        <v>394</v>
      </c>
      <c r="L1237" t="s">
        <v>327</v>
      </c>
    </row>
    <row r="1238" spans="1:12">
      <c r="A1238" t="s">
        <v>318</v>
      </c>
      <c r="B1238" t="s">
        <v>1223</v>
      </c>
      <c r="C1238" t="s">
        <v>1308</v>
      </c>
      <c r="D1238" s="28">
        <v>760411134262</v>
      </c>
      <c r="E1238" s="29" t="s">
        <v>393</v>
      </c>
      <c r="F1238" s="29" t="s">
        <v>372</v>
      </c>
      <c r="G1238">
        <v>13</v>
      </c>
      <c r="H1238" t="s">
        <v>1051</v>
      </c>
      <c r="I1238" t="s">
        <v>45</v>
      </c>
      <c r="J1238" t="s">
        <v>1281</v>
      </c>
      <c r="K1238" t="s">
        <v>394</v>
      </c>
      <c r="L1238" t="s">
        <v>327</v>
      </c>
    </row>
    <row r="1239" spans="1:12">
      <c r="A1239" t="s">
        <v>318</v>
      </c>
      <c r="B1239" t="s">
        <v>1223</v>
      </c>
      <c r="C1239" t="s">
        <v>1309</v>
      </c>
      <c r="D1239" s="28">
        <v>760411134265</v>
      </c>
      <c r="E1239" s="29" t="s">
        <v>393</v>
      </c>
      <c r="F1239" s="29" t="s">
        <v>372</v>
      </c>
      <c r="G1239">
        <v>26</v>
      </c>
      <c r="H1239" t="s">
        <v>1051</v>
      </c>
      <c r="I1239" t="s">
        <v>45</v>
      </c>
      <c r="J1239" t="s">
        <v>1281</v>
      </c>
      <c r="K1239" t="s">
        <v>394</v>
      </c>
      <c r="L1239" t="s">
        <v>327</v>
      </c>
    </row>
    <row r="1240" spans="1:12">
      <c r="A1240" t="s">
        <v>318</v>
      </c>
      <c r="B1240" t="s">
        <v>1223</v>
      </c>
      <c r="C1240" t="s">
        <v>1310</v>
      </c>
      <c r="D1240" s="28">
        <v>760411134266</v>
      </c>
      <c r="E1240" s="29" t="s">
        <v>393</v>
      </c>
      <c r="F1240" s="29" t="s">
        <v>372</v>
      </c>
      <c r="G1240">
        <v>11</v>
      </c>
      <c r="H1240" t="s">
        <v>1051</v>
      </c>
      <c r="I1240" t="s">
        <v>45</v>
      </c>
      <c r="J1240" t="s">
        <v>1281</v>
      </c>
      <c r="K1240" t="s">
        <v>394</v>
      </c>
      <c r="L1240" t="s">
        <v>327</v>
      </c>
    </row>
    <row r="1241" spans="1:12">
      <c r="A1241" t="s">
        <v>318</v>
      </c>
      <c r="B1241" t="s">
        <v>1223</v>
      </c>
      <c r="C1241" t="s">
        <v>1311</v>
      </c>
      <c r="D1241" s="28">
        <v>7684500018706</v>
      </c>
      <c r="E1241" s="29" t="s">
        <v>393</v>
      </c>
      <c r="F1241" s="29" t="s">
        <v>372</v>
      </c>
      <c r="G1241">
        <v>21</v>
      </c>
      <c r="H1241" t="s">
        <v>1051</v>
      </c>
      <c r="I1241" t="s">
        <v>98</v>
      </c>
      <c r="J1241" t="s">
        <v>1312</v>
      </c>
      <c r="K1241" t="s">
        <v>394</v>
      </c>
      <c r="L1241" t="s">
        <v>327</v>
      </c>
    </row>
    <row r="1242" spans="1:12">
      <c r="A1242" t="s">
        <v>318</v>
      </c>
      <c r="B1242" t="s">
        <v>1223</v>
      </c>
      <c r="C1242" t="s">
        <v>1313</v>
      </c>
      <c r="D1242" s="28">
        <v>7684500135364</v>
      </c>
      <c r="E1242" s="29" t="s">
        <v>393</v>
      </c>
      <c r="F1242" s="29" t="s">
        <v>372</v>
      </c>
      <c r="G1242">
        <v>18</v>
      </c>
      <c r="H1242" t="s">
        <v>1051</v>
      </c>
      <c r="I1242" t="s">
        <v>45</v>
      </c>
      <c r="J1242" t="s">
        <v>1312</v>
      </c>
      <c r="K1242" t="s">
        <v>394</v>
      </c>
      <c r="L1242" t="s">
        <v>327</v>
      </c>
    </row>
    <row r="1243" spans="1:12">
      <c r="A1243" t="s">
        <v>318</v>
      </c>
      <c r="B1243" t="s">
        <v>1223</v>
      </c>
      <c r="C1243" t="s">
        <v>1314</v>
      </c>
      <c r="D1243" s="28">
        <v>768451111464</v>
      </c>
      <c r="E1243" s="29" t="s">
        <v>368</v>
      </c>
      <c r="F1243" s="29" t="s">
        <v>364</v>
      </c>
      <c r="G1243">
        <v>20</v>
      </c>
      <c r="H1243" t="s">
        <v>323</v>
      </c>
      <c r="I1243" t="s">
        <v>98</v>
      </c>
      <c r="J1243" t="s">
        <v>1312</v>
      </c>
      <c r="K1243" t="s">
        <v>394</v>
      </c>
      <c r="L1243" t="s">
        <v>327</v>
      </c>
    </row>
    <row r="1244" spans="1:12">
      <c r="A1244" t="s">
        <v>318</v>
      </c>
      <c r="B1244" t="s">
        <v>1223</v>
      </c>
      <c r="C1244" t="s">
        <v>1315</v>
      </c>
      <c r="D1244" s="28">
        <v>768451134344</v>
      </c>
      <c r="E1244" s="29" t="s">
        <v>393</v>
      </c>
      <c r="F1244" s="29" t="s">
        <v>372</v>
      </c>
      <c r="G1244">
        <v>20</v>
      </c>
      <c r="H1244" t="s">
        <v>1051</v>
      </c>
      <c r="I1244" t="s">
        <v>98</v>
      </c>
      <c r="J1244" t="s">
        <v>1312</v>
      </c>
      <c r="K1244" t="s">
        <v>394</v>
      </c>
      <c r="L1244" t="s">
        <v>327</v>
      </c>
    </row>
    <row r="1245" spans="1:12">
      <c r="A1245" t="s">
        <v>318</v>
      </c>
      <c r="B1245" t="s">
        <v>1223</v>
      </c>
      <c r="C1245" t="s">
        <v>909</v>
      </c>
      <c r="D1245" s="28">
        <v>7602000037416</v>
      </c>
      <c r="E1245" s="29" t="s">
        <v>371</v>
      </c>
      <c r="F1245" s="29" t="s">
        <v>372</v>
      </c>
      <c r="G1245">
        <v>13</v>
      </c>
      <c r="H1245" t="s">
        <v>1051</v>
      </c>
      <c r="I1245" t="s">
        <v>98</v>
      </c>
      <c r="J1245" t="s">
        <v>1304</v>
      </c>
      <c r="K1245" t="s">
        <v>285</v>
      </c>
      <c r="L1245" t="s">
        <v>327</v>
      </c>
    </row>
    <row r="1246" spans="1:12">
      <c r="A1246" t="s">
        <v>318</v>
      </c>
      <c r="B1246" t="s">
        <v>1223</v>
      </c>
      <c r="C1246" t="s">
        <v>1316</v>
      </c>
      <c r="D1246" s="28">
        <v>7602000037447</v>
      </c>
      <c r="E1246" s="29" t="s">
        <v>371</v>
      </c>
      <c r="F1246" s="29" t="s">
        <v>372</v>
      </c>
      <c r="G1246">
        <v>13</v>
      </c>
      <c r="H1246" t="s">
        <v>1051</v>
      </c>
      <c r="I1246" t="s">
        <v>98</v>
      </c>
      <c r="J1246" t="s">
        <v>1304</v>
      </c>
      <c r="K1246" t="s">
        <v>285</v>
      </c>
      <c r="L1246" t="s">
        <v>327</v>
      </c>
    </row>
    <row r="1247" spans="1:12">
      <c r="A1247" t="s">
        <v>318</v>
      </c>
      <c r="B1247" t="s">
        <v>1223</v>
      </c>
      <c r="C1247" t="s">
        <v>1317</v>
      </c>
      <c r="D1247" s="28">
        <v>7602000037457</v>
      </c>
      <c r="E1247" s="29" t="s">
        <v>371</v>
      </c>
      <c r="F1247" s="29" t="s">
        <v>372</v>
      </c>
      <c r="G1247">
        <v>13</v>
      </c>
      <c r="H1247" t="s">
        <v>1051</v>
      </c>
      <c r="I1247" t="s">
        <v>98</v>
      </c>
      <c r="J1247" t="s">
        <v>1304</v>
      </c>
      <c r="K1247" t="s">
        <v>285</v>
      </c>
      <c r="L1247" t="s">
        <v>327</v>
      </c>
    </row>
    <row r="1248" spans="1:12">
      <c r="A1248" t="s">
        <v>318</v>
      </c>
      <c r="B1248" t="s">
        <v>1223</v>
      </c>
      <c r="C1248" t="s">
        <v>536</v>
      </c>
      <c r="D1248" s="28">
        <v>7602000037490</v>
      </c>
      <c r="E1248" s="29" t="s">
        <v>371</v>
      </c>
      <c r="F1248" s="29" t="s">
        <v>372</v>
      </c>
      <c r="G1248">
        <v>13</v>
      </c>
      <c r="H1248" t="s">
        <v>1051</v>
      </c>
      <c r="I1248" t="s">
        <v>98</v>
      </c>
      <c r="J1248" t="s">
        <v>1304</v>
      </c>
      <c r="K1248" t="s">
        <v>285</v>
      </c>
      <c r="L1248" t="s">
        <v>327</v>
      </c>
    </row>
    <row r="1249" spans="1:12">
      <c r="A1249" t="s">
        <v>318</v>
      </c>
      <c r="B1249" t="s">
        <v>1223</v>
      </c>
      <c r="C1249" t="s">
        <v>575</v>
      </c>
      <c r="D1249" s="28">
        <v>7614700021563</v>
      </c>
      <c r="E1249" s="29" t="s">
        <v>371</v>
      </c>
      <c r="F1249" s="29" t="s">
        <v>372</v>
      </c>
      <c r="G1249">
        <v>13</v>
      </c>
      <c r="H1249" t="s">
        <v>1051</v>
      </c>
      <c r="I1249" t="s">
        <v>98</v>
      </c>
      <c r="J1249" t="s">
        <v>248</v>
      </c>
      <c r="K1249" t="s">
        <v>285</v>
      </c>
      <c r="L1249" t="s">
        <v>327</v>
      </c>
    </row>
    <row r="1250" spans="1:12">
      <c r="A1250" t="s">
        <v>318</v>
      </c>
      <c r="B1250" t="s">
        <v>1223</v>
      </c>
      <c r="C1250" t="s">
        <v>377</v>
      </c>
      <c r="D1250" s="28">
        <v>7614700025020</v>
      </c>
      <c r="E1250" s="29" t="s">
        <v>371</v>
      </c>
      <c r="F1250" s="29" t="s">
        <v>372</v>
      </c>
      <c r="G1250">
        <v>13</v>
      </c>
      <c r="H1250" t="s">
        <v>1051</v>
      </c>
      <c r="I1250" t="s">
        <v>98</v>
      </c>
      <c r="J1250" t="s">
        <v>248</v>
      </c>
      <c r="K1250" t="s">
        <v>285</v>
      </c>
      <c r="L1250" t="s">
        <v>327</v>
      </c>
    </row>
    <row r="1251" spans="1:12">
      <c r="A1251" t="s">
        <v>318</v>
      </c>
      <c r="B1251" t="s">
        <v>1223</v>
      </c>
      <c r="C1251" t="s">
        <v>550</v>
      </c>
      <c r="D1251" s="28">
        <v>7614700026354</v>
      </c>
      <c r="E1251" s="29" t="s">
        <v>371</v>
      </c>
      <c r="F1251" s="29" t="s">
        <v>372</v>
      </c>
      <c r="G1251">
        <v>13</v>
      </c>
      <c r="H1251" t="s">
        <v>1051</v>
      </c>
      <c r="I1251" t="s">
        <v>98</v>
      </c>
      <c r="J1251" t="s">
        <v>248</v>
      </c>
      <c r="K1251" t="s">
        <v>1226</v>
      </c>
      <c r="L1251" t="s">
        <v>327</v>
      </c>
    </row>
    <row r="1252" spans="1:12">
      <c r="A1252" t="s">
        <v>318</v>
      </c>
      <c r="B1252" t="s">
        <v>1223</v>
      </c>
      <c r="C1252" t="s">
        <v>1318</v>
      </c>
      <c r="D1252" s="28">
        <v>7614700029475</v>
      </c>
      <c r="E1252" s="29" t="s">
        <v>371</v>
      </c>
      <c r="F1252" s="29" t="s">
        <v>372</v>
      </c>
      <c r="G1252">
        <v>13</v>
      </c>
      <c r="H1252" t="s">
        <v>1051</v>
      </c>
      <c r="I1252" t="s">
        <v>45</v>
      </c>
      <c r="J1252" t="s">
        <v>248</v>
      </c>
      <c r="K1252" t="s">
        <v>285</v>
      </c>
      <c r="L1252" t="s">
        <v>327</v>
      </c>
    </row>
    <row r="1253" spans="1:12">
      <c r="A1253" t="s">
        <v>318</v>
      </c>
      <c r="B1253" t="s">
        <v>1223</v>
      </c>
      <c r="C1253" t="s">
        <v>1319</v>
      </c>
      <c r="D1253" s="28">
        <v>7614700031144</v>
      </c>
      <c r="E1253" s="29" t="s">
        <v>371</v>
      </c>
      <c r="F1253" s="29" t="s">
        <v>372</v>
      </c>
      <c r="G1253">
        <v>13</v>
      </c>
      <c r="H1253" t="s">
        <v>1051</v>
      </c>
      <c r="I1253" t="s">
        <v>98</v>
      </c>
      <c r="J1253" t="s">
        <v>248</v>
      </c>
      <c r="K1253" t="s">
        <v>285</v>
      </c>
      <c r="L1253" t="s">
        <v>327</v>
      </c>
    </row>
    <row r="1254" spans="1:12">
      <c r="A1254" t="s">
        <v>318</v>
      </c>
      <c r="B1254" t="s">
        <v>1223</v>
      </c>
      <c r="C1254" t="s">
        <v>1320</v>
      </c>
      <c r="D1254" s="28">
        <v>7614700031320</v>
      </c>
      <c r="E1254" s="29" t="s">
        <v>371</v>
      </c>
      <c r="F1254" s="29" t="s">
        <v>372</v>
      </c>
      <c r="G1254">
        <v>13</v>
      </c>
      <c r="H1254" t="s">
        <v>1051</v>
      </c>
      <c r="I1254" t="s">
        <v>98</v>
      </c>
      <c r="J1254" t="s">
        <v>248</v>
      </c>
      <c r="K1254" t="s">
        <v>285</v>
      </c>
      <c r="L1254" t="s">
        <v>327</v>
      </c>
    </row>
    <row r="1255" spans="1:12">
      <c r="A1255" t="s">
        <v>318</v>
      </c>
      <c r="B1255" t="s">
        <v>1223</v>
      </c>
      <c r="C1255" t="s">
        <v>1285</v>
      </c>
      <c r="D1255" s="28">
        <v>7614700031410</v>
      </c>
      <c r="E1255" s="29" t="s">
        <v>371</v>
      </c>
      <c r="F1255" s="29" t="s">
        <v>372</v>
      </c>
      <c r="G1255">
        <v>13</v>
      </c>
      <c r="H1255" t="s">
        <v>1051</v>
      </c>
      <c r="I1255" t="s">
        <v>45</v>
      </c>
      <c r="J1255" t="s">
        <v>248</v>
      </c>
      <c r="K1255" t="s">
        <v>285</v>
      </c>
      <c r="L1255" t="s">
        <v>327</v>
      </c>
    </row>
    <row r="1256" spans="1:12">
      <c r="A1256" t="s">
        <v>318</v>
      </c>
      <c r="B1256" t="s">
        <v>1223</v>
      </c>
      <c r="C1256" t="s">
        <v>773</v>
      </c>
      <c r="D1256" s="28">
        <v>7614700031560</v>
      </c>
      <c r="E1256" s="29" t="s">
        <v>371</v>
      </c>
      <c r="F1256" s="29" t="s">
        <v>372</v>
      </c>
      <c r="G1256">
        <v>13</v>
      </c>
      <c r="H1256" t="s">
        <v>1051</v>
      </c>
      <c r="I1256" t="s">
        <v>98</v>
      </c>
      <c r="J1256" t="s">
        <v>248</v>
      </c>
      <c r="K1256" t="s">
        <v>285</v>
      </c>
      <c r="L1256" t="s">
        <v>327</v>
      </c>
    </row>
    <row r="1257" spans="1:12">
      <c r="A1257" t="s">
        <v>318</v>
      </c>
      <c r="B1257" t="s">
        <v>1223</v>
      </c>
      <c r="C1257" t="s">
        <v>1321</v>
      </c>
      <c r="D1257" s="28">
        <v>7614700068876</v>
      </c>
      <c r="E1257" s="29" t="s">
        <v>371</v>
      </c>
      <c r="F1257" s="29" t="s">
        <v>372</v>
      </c>
      <c r="G1257">
        <v>13</v>
      </c>
      <c r="H1257" t="s">
        <v>1051</v>
      </c>
      <c r="I1257" t="s">
        <v>98</v>
      </c>
      <c r="J1257" t="s">
        <v>248</v>
      </c>
      <c r="K1257" t="s">
        <v>285</v>
      </c>
      <c r="L1257" t="s">
        <v>327</v>
      </c>
    </row>
    <row r="1258" spans="1:12">
      <c r="A1258" t="s">
        <v>318</v>
      </c>
      <c r="B1258" t="s">
        <v>1223</v>
      </c>
      <c r="C1258" t="s">
        <v>1322</v>
      </c>
      <c r="D1258" s="28">
        <v>7614700068882</v>
      </c>
      <c r="E1258" s="29" t="s">
        <v>371</v>
      </c>
      <c r="F1258" s="29" t="s">
        <v>372</v>
      </c>
      <c r="G1258">
        <v>13</v>
      </c>
      <c r="H1258" t="s">
        <v>1051</v>
      </c>
      <c r="I1258" t="s">
        <v>45</v>
      </c>
      <c r="J1258" t="s">
        <v>248</v>
      </c>
      <c r="K1258" t="s">
        <v>285</v>
      </c>
      <c r="L1258" t="s">
        <v>327</v>
      </c>
    </row>
    <row r="1259" spans="1:12">
      <c r="A1259" t="s">
        <v>318</v>
      </c>
      <c r="B1259" t="s">
        <v>1223</v>
      </c>
      <c r="C1259" t="s">
        <v>1323</v>
      </c>
      <c r="D1259" s="28">
        <v>7614700068911</v>
      </c>
      <c r="E1259" s="29" t="s">
        <v>371</v>
      </c>
      <c r="F1259" s="29" t="s">
        <v>372</v>
      </c>
      <c r="G1259">
        <v>13</v>
      </c>
      <c r="H1259" t="s">
        <v>323</v>
      </c>
      <c r="I1259" t="s">
        <v>45</v>
      </c>
      <c r="J1259" t="s">
        <v>248</v>
      </c>
      <c r="K1259" t="s">
        <v>285</v>
      </c>
      <c r="L1259" t="s">
        <v>327</v>
      </c>
    </row>
    <row r="1260" spans="1:12">
      <c r="A1260" t="s">
        <v>318</v>
      </c>
      <c r="B1260" t="s">
        <v>1223</v>
      </c>
      <c r="C1260" t="s">
        <v>1324</v>
      </c>
      <c r="D1260" s="28">
        <v>7614700068931</v>
      </c>
      <c r="E1260" s="29" t="s">
        <v>371</v>
      </c>
      <c r="F1260" s="29" t="s">
        <v>372</v>
      </c>
      <c r="G1260">
        <v>13</v>
      </c>
      <c r="H1260" t="s">
        <v>1051</v>
      </c>
      <c r="I1260" t="s">
        <v>98</v>
      </c>
      <c r="J1260" t="s">
        <v>248</v>
      </c>
      <c r="K1260" t="s">
        <v>285</v>
      </c>
      <c r="L1260" t="s">
        <v>327</v>
      </c>
    </row>
    <row r="1261" spans="1:12">
      <c r="A1261" t="s">
        <v>318</v>
      </c>
      <c r="B1261" t="s">
        <v>1223</v>
      </c>
      <c r="C1261" t="s">
        <v>1325</v>
      </c>
      <c r="D1261" s="28">
        <v>7614700068937</v>
      </c>
      <c r="E1261" s="29" t="s">
        <v>371</v>
      </c>
      <c r="F1261" s="29" t="s">
        <v>372</v>
      </c>
      <c r="G1261">
        <v>13</v>
      </c>
      <c r="H1261" t="s">
        <v>1051</v>
      </c>
      <c r="I1261" t="s">
        <v>98</v>
      </c>
      <c r="J1261" t="s">
        <v>248</v>
      </c>
      <c r="K1261" t="s">
        <v>285</v>
      </c>
      <c r="L1261" t="s">
        <v>327</v>
      </c>
    </row>
    <row r="1262" spans="1:12">
      <c r="A1262" t="s">
        <v>318</v>
      </c>
      <c r="B1262" t="s">
        <v>1223</v>
      </c>
      <c r="C1262" t="s">
        <v>1326</v>
      </c>
      <c r="D1262" s="28">
        <v>7614700113342</v>
      </c>
      <c r="E1262" s="29" t="s">
        <v>371</v>
      </c>
      <c r="F1262" s="29" t="s">
        <v>372</v>
      </c>
      <c r="G1262">
        <v>13</v>
      </c>
      <c r="H1262" t="s">
        <v>1051</v>
      </c>
      <c r="I1262" t="s">
        <v>98</v>
      </c>
      <c r="J1262" t="s">
        <v>248</v>
      </c>
      <c r="K1262" t="s">
        <v>1226</v>
      </c>
      <c r="L1262" t="s">
        <v>327</v>
      </c>
    </row>
    <row r="1263" spans="1:12">
      <c r="A1263" t="s">
        <v>318</v>
      </c>
      <c r="B1263" t="s">
        <v>1223</v>
      </c>
      <c r="C1263" t="s">
        <v>1327</v>
      </c>
      <c r="D1263" s="28">
        <v>7614700113343</v>
      </c>
      <c r="E1263" s="29" t="s">
        <v>371</v>
      </c>
      <c r="F1263" s="29" t="s">
        <v>372</v>
      </c>
      <c r="G1263">
        <v>13</v>
      </c>
      <c r="H1263" t="s">
        <v>1051</v>
      </c>
      <c r="I1263" t="s">
        <v>45</v>
      </c>
      <c r="J1263" t="s">
        <v>248</v>
      </c>
      <c r="K1263" t="s">
        <v>1226</v>
      </c>
      <c r="L1263" t="s">
        <v>327</v>
      </c>
    </row>
    <row r="1264" spans="1:12">
      <c r="A1264" t="s">
        <v>318</v>
      </c>
      <c r="B1264" t="s">
        <v>1223</v>
      </c>
      <c r="C1264" t="s">
        <v>1328</v>
      </c>
      <c r="D1264" s="28">
        <v>7684500037527</v>
      </c>
      <c r="E1264" s="29" t="s">
        <v>371</v>
      </c>
      <c r="F1264" s="29" t="s">
        <v>372</v>
      </c>
      <c r="G1264">
        <v>13</v>
      </c>
      <c r="H1264" t="s">
        <v>1051</v>
      </c>
      <c r="I1264" t="s">
        <v>98</v>
      </c>
      <c r="J1264" t="s">
        <v>1312</v>
      </c>
      <c r="K1264" t="s">
        <v>285</v>
      </c>
      <c r="L1264" t="s">
        <v>1090</v>
      </c>
    </row>
    <row r="1265" spans="1:12">
      <c r="A1265" t="s">
        <v>318</v>
      </c>
      <c r="B1265" t="s">
        <v>1223</v>
      </c>
      <c r="C1265" t="s">
        <v>1329</v>
      </c>
      <c r="D1265" s="28">
        <v>7684500136587</v>
      </c>
      <c r="E1265" s="29" t="s">
        <v>371</v>
      </c>
      <c r="F1265" s="29" t="s">
        <v>372</v>
      </c>
      <c r="G1265">
        <v>13</v>
      </c>
      <c r="H1265" t="s">
        <v>1051</v>
      </c>
      <c r="I1265" t="s">
        <v>45</v>
      </c>
      <c r="J1265" t="s">
        <v>1312</v>
      </c>
      <c r="K1265" t="s">
        <v>285</v>
      </c>
      <c r="L1265" t="s">
        <v>1090</v>
      </c>
    </row>
    <row r="1266" spans="1:12">
      <c r="A1266" t="s">
        <v>318</v>
      </c>
      <c r="B1266" t="s">
        <v>1223</v>
      </c>
      <c r="C1266" t="s">
        <v>1330</v>
      </c>
      <c r="D1266" s="28">
        <v>768451119404</v>
      </c>
      <c r="E1266" s="29" t="s">
        <v>371</v>
      </c>
      <c r="F1266" s="29" t="s">
        <v>372</v>
      </c>
      <c r="G1266">
        <v>13</v>
      </c>
      <c r="H1266" t="s">
        <v>323</v>
      </c>
      <c r="I1266" t="s">
        <v>45</v>
      </c>
      <c r="J1266" t="s">
        <v>1312</v>
      </c>
      <c r="K1266" t="s">
        <v>285</v>
      </c>
      <c r="L1266" t="s">
        <v>1090</v>
      </c>
    </row>
    <row r="1267" spans="1:12">
      <c r="A1267" t="s">
        <v>318</v>
      </c>
      <c r="B1267" t="s">
        <v>1223</v>
      </c>
      <c r="C1267" t="s">
        <v>351</v>
      </c>
      <c r="D1267" s="28">
        <v>760201141561</v>
      </c>
      <c r="E1267" s="29" t="s">
        <v>1331</v>
      </c>
      <c r="F1267" s="29" t="s">
        <v>322</v>
      </c>
      <c r="G1267">
        <v>20</v>
      </c>
      <c r="H1267" t="s">
        <v>323</v>
      </c>
      <c r="I1267" t="s">
        <v>45</v>
      </c>
      <c r="J1267" t="s">
        <v>1304</v>
      </c>
      <c r="K1267" t="s">
        <v>337</v>
      </c>
      <c r="L1267" t="s">
        <v>327</v>
      </c>
    </row>
    <row r="1268" spans="1:12">
      <c r="A1268" t="s">
        <v>318</v>
      </c>
      <c r="B1268" t="s">
        <v>1223</v>
      </c>
      <c r="C1268" t="s">
        <v>1332</v>
      </c>
      <c r="D1268" s="28">
        <v>760201153551</v>
      </c>
      <c r="E1268" s="29" t="s">
        <v>1331</v>
      </c>
      <c r="F1268" s="29" t="s">
        <v>322</v>
      </c>
      <c r="G1268">
        <v>46</v>
      </c>
      <c r="H1268" t="s">
        <v>323</v>
      </c>
      <c r="I1268" t="s">
        <v>45</v>
      </c>
      <c r="J1268" t="s">
        <v>1304</v>
      </c>
      <c r="K1268" t="s">
        <v>337</v>
      </c>
      <c r="L1268" t="s">
        <v>327</v>
      </c>
    </row>
    <row r="1269" spans="1:12">
      <c r="A1269" t="s">
        <v>318</v>
      </c>
      <c r="B1269" t="s">
        <v>1223</v>
      </c>
      <c r="C1269" t="s">
        <v>1333</v>
      </c>
      <c r="D1269" s="28">
        <v>760411141557</v>
      </c>
      <c r="E1269" s="29" t="s">
        <v>1331</v>
      </c>
      <c r="F1269" s="29" t="s">
        <v>322</v>
      </c>
      <c r="G1269">
        <v>37</v>
      </c>
      <c r="H1269" t="s">
        <v>323</v>
      </c>
      <c r="I1269" t="s">
        <v>45</v>
      </c>
      <c r="J1269" t="s">
        <v>1281</v>
      </c>
      <c r="K1269" t="s">
        <v>337</v>
      </c>
      <c r="L1269" t="s">
        <v>327</v>
      </c>
    </row>
    <row r="1270" spans="1:12">
      <c r="A1270" t="s">
        <v>318</v>
      </c>
      <c r="B1270" t="s">
        <v>1223</v>
      </c>
      <c r="C1270" t="s">
        <v>1334</v>
      </c>
      <c r="D1270" s="28">
        <v>760541141548</v>
      </c>
      <c r="E1270" s="29" t="s">
        <v>1331</v>
      </c>
      <c r="F1270" s="29" t="s">
        <v>322</v>
      </c>
      <c r="G1270">
        <v>38</v>
      </c>
      <c r="H1270" t="s">
        <v>323</v>
      </c>
      <c r="I1270" t="s">
        <v>45</v>
      </c>
      <c r="J1270" t="s">
        <v>1267</v>
      </c>
      <c r="K1270" t="s">
        <v>337</v>
      </c>
      <c r="L1270" t="s">
        <v>327</v>
      </c>
    </row>
    <row r="1271" spans="1:12">
      <c r="A1271" t="s">
        <v>318</v>
      </c>
      <c r="B1271" t="s">
        <v>1223</v>
      </c>
      <c r="C1271" t="s">
        <v>1335</v>
      </c>
      <c r="D1271" s="28">
        <v>760541141549</v>
      </c>
      <c r="E1271" s="29" t="s">
        <v>1331</v>
      </c>
      <c r="F1271" s="29" t="s">
        <v>322</v>
      </c>
      <c r="G1271">
        <v>11</v>
      </c>
      <c r="H1271" t="s">
        <v>323</v>
      </c>
      <c r="I1271" t="s">
        <v>98</v>
      </c>
      <c r="J1271" t="s">
        <v>1267</v>
      </c>
      <c r="K1271" t="s">
        <v>337</v>
      </c>
      <c r="L1271" t="s">
        <v>327</v>
      </c>
    </row>
    <row r="1272" spans="1:12">
      <c r="A1272" t="s">
        <v>318</v>
      </c>
      <c r="B1272" t="s">
        <v>1223</v>
      </c>
      <c r="C1272" t="s">
        <v>1336</v>
      </c>
      <c r="D1272" s="28">
        <v>762431153550</v>
      </c>
      <c r="E1272" s="29" t="s">
        <v>1331</v>
      </c>
      <c r="F1272" s="29" t="s">
        <v>322</v>
      </c>
      <c r="G1272">
        <v>16</v>
      </c>
      <c r="H1272" t="s">
        <v>323</v>
      </c>
      <c r="I1272" t="s">
        <v>45</v>
      </c>
      <c r="J1272" t="s">
        <v>1271</v>
      </c>
      <c r="K1272" t="s">
        <v>337</v>
      </c>
      <c r="L1272" t="s">
        <v>327</v>
      </c>
    </row>
    <row r="1273" spans="1:12">
      <c r="A1273" t="s">
        <v>318</v>
      </c>
      <c r="B1273" t="s">
        <v>1223</v>
      </c>
      <c r="C1273" t="s">
        <v>1337</v>
      </c>
      <c r="D1273" s="28">
        <v>762461141552</v>
      </c>
      <c r="E1273" s="29" t="s">
        <v>1331</v>
      </c>
      <c r="F1273" s="29" t="s">
        <v>322</v>
      </c>
      <c r="G1273">
        <v>10</v>
      </c>
      <c r="H1273" t="s">
        <v>323</v>
      </c>
      <c r="I1273" t="s">
        <v>45</v>
      </c>
      <c r="J1273" t="s">
        <v>1277</v>
      </c>
      <c r="K1273" t="s">
        <v>337</v>
      </c>
      <c r="L1273" t="s">
        <v>327</v>
      </c>
    </row>
    <row r="1274" spans="1:12">
      <c r="A1274" t="s">
        <v>318</v>
      </c>
      <c r="B1274" t="s">
        <v>1223</v>
      </c>
      <c r="C1274" t="s">
        <v>1338</v>
      </c>
      <c r="D1274" s="28">
        <v>764971141558</v>
      </c>
      <c r="E1274" s="29" t="s">
        <v>1331</v>
      </c>
      <c r="F1274" s="29" t="s">
        <v>322</v>
      </c>
      <c r="G1274">
        <v>9</v>
      </c>
      <c r="H1274" t="s">
        <v>323</v>
      </c>
      <c r="I1274" t="s">
        <v>98</v>
      </c>
      <c r="J1274" t="s">
        <v>1246</v>
      </c>
      <c r="K1274" t="s">
        <v>337</v>
      </c>
      <c r="L1274" t="s">
        <v>327</v>
      </c>
    </row>
    <row r="1275" spans="1:12">
      <c r="A1275" t="s">
        <v>318</v>
      </c>
      <c r="B1275" t="s">
        <v>1223</v>
      </c>
      <c r="C1275" t="s">
        <v>1339</v>
      </c>
      <c r="D1275" s="28">
        <v>764971141560</v>
      </c>
      <c r="E1275" s="29" t="s">
        <v>1331</v>
      </c>
      <c r="F1275" s="29" t="s">
        <v>322</v>
      </c>
      <c r="G1275">
        <v>9</v>
      </c>
      <c r="H1275" t="s">
        <v>323</v>
      </c>
      <c r="I1275" t="s">
        <v>45</v>
      </c>
      <c r="J1275" t="s">
        <v>1246</v>
      </c>
      <c r="K1275" t="s">
        <v>337</v>
      </c>
      <c r="L1275" t="s">
        <v>327</v>
      </c>
    </row>
    <row r="1276" spans="1:12">
      <c r="A1276" t="s">
        <v>318</v>
      </c>
      <c r="B1276" t="s">
        <v>1223</v>
      </c>
      <c r="C1276" t="s">
        <v>1340</v>
      </c>
      <c r="D1276" s="28">
        <v>7604100018438</v>
      </c>
      <c r="E1276" s="29" t="s">
        <v>368</v>
      </c>
      <c r="F1276" s="29" t="s">
        <v>364</v>
      </c>
      <c r="G1276">
        <v>40</v>
      </c>
      <c r="H1276" t="s">
        <v>323</v>
      </c>
      <c r="I1276" t="s">
        <v>45</v>
      </c>
      <c r="J1276" t="s">
        <v>1281</v>
      </c>
      <c r="K1276" t="s">
        <v>394</v>
      </c>
      <c r="L1276" t="s">
        <v>327</v>
      </c>
    </row>
    <row r="1277" spans="1:12">
      <c r="A1277" t="s">
        <v>318</v>
      </c>
      <c r="B1277" t="s">
        <v>1223</v>
      </c>
      <c r="C1277" t="s">
        <v>1341</v>
      </c>
      <c r="D1277" s="28">
        <v>7614700062205</v>
      </c>
      <c r="E1277" s="29" t="s">
        <v>987</v>
      </c>
      <c r="F1277" s="29" t="s">
        <v>364</v>
      </c>
      <c r="G1277">
        <v>105</v>
      </c>
      <c r="H1277" t="s">
        <v>1051</v>
      </c>
      <c r="I1277" t="s">
        <v>98</v>
      </c>
      <c r="J1277" t="s">
        <v>248</v>
      </c>
      <c r="K1277" t="s">
        <v>989</v>
      </c>
      <c r="L1277" t="s">
        <v>1090</v>
      </c>
    </row>
    <row r="1278" spans="1:12">
      <c r="A1278" t="s">
        <v>318</v>
      </c>
      <c r="B1278" t="s">
        <v>1223</v>
      </c>
      <c r="C1278" t="s">
        <v>1342</v>
      </c>
      <c r="D1278" s="28">
        <v>7640300025323</v>
      </c>
      <c r="E1278" s="29" t="s">
        <v>987</v>
      </c>
      <c r="F1278" s="29" t="s">
        <v>364</v>
      </c>
      <c r="G1278">
        <v>105</v>
      </c>
      <c r="H1278" t="s">
        <v>1051</v>
      </c>
      <c r="I1278" t="s">
        <v>98</v>
      </c>
      <c r="J1278" t="s">
        <v>1239</v>
      </c>
      <c r="K1278" t="s">
        <v>989</v>
      </c>
      <c r="L1278" t="s">
        <v>1090</v>
      </c>
    </row>
    <row r="1279" spans="1:12">
      <c r="A1279" t="s">
        <v>318</v>
      </c>
      <c r="B1279" t="s">
        <v>1223</v>
      </c>
      <c r="C1279" t="s">
        <v>1343</v>
      </c>
      <c r="D1279" s="28">
        <v>7614700018605</v>
      </c>
      <c r="E1279" s="29" t="s">
        <v>987</v>
      </c>
      <c r="F1279" s="29" t="s">
        <v>364</v>
      </c>
      <c r="G1279">
        <v>200</v>
      </c>
      <c r="H1279" t="s">
        <v>1051</v>
      </c>
      <c r="I1279" t="s">
        <v>98</v>
      </c>
      <c r="J1279" t="s">
        <v>248</v>
      </c>
      <c r="K1279" t="s">
        <v>337</v>
      </c>
      <c r="L1279" t="s">
        <v>1090</v>
      </c>
    </row>
    <row r="1280" spans="1:12">
      <c r="A1280" t="s">
        <v>318</v>
      </c>
      <c r="B1280" t="s">
        <v>1223</v>
      </c>
      <c r="C1280" t="s">
        <v>1344</v>
      </c>
      <c r="D1280" s="28">
        <v>7649700024103</v>
      </c>
      <c r="E1280" s="29" t="s">
        <v>987</v>
      </c>
      <c r="F1280" s="29" t="s">
        <v>364</v>
      </c>
      <c r="G1280">
        <v>106</v>
      </c>
      <c r="H1280" t="s">
        <v>1051</v>
      </c>
      <c r="I1280" t="s">
        <v>98</v>
      </c>
      <c r="J1280" t="s">
        <v>1246</v>
      </c>
      <c r="K1280" t="s">
        <v>337</v>
      </c>
      <c r="L1280" t="s">
        <v>1090</v>
      </c>
    </row>
    <row r="1281" spans="1:12">
      <c r="A1281" t="s">
        <v>318</v>
      </c>
      <c r="B1281" t="s">
        <v>1223</v>
      </c>
      <c r="C1281" t="s">
        <v>1345</v>
      </c>
      <c r="D1281" s="28">
        <v>7614700018005</v>
      </c>
      <c r="E1281" s="29" t="s">
        <v>987</v>
      </c>
      <c r="F1281" s="29" t="s">
        <v>364</v>
      </c>
      <c r="G1281">
        <v>195</v>
      </c>
      <c r="H1281" t="s">
        <v>1051</v>
      </c>
      <c r="I1281" t="s">
        <v>98</v>
      </c>
      <c r="J1281" t="s">
        <v>248</v>
      </c>
      <c r="K1281" t="s">
        <v>337</v>
      </c>
      <c r="L1281" t="s">
        <v>1090</v>
      </c>
    </row>
    <row r="1282" spans="1:12">
      <c r="A1282" t="s">
        <v>318</v>
      </c>
      <c r="B1282" t="s">
        <v>1223</v>
      </c>
      <c r="C1282" t="s">
        <v>1346</v>
      </c>
      <c r="D1282" s="28">
        <v>7614700062243</v>
      </c>
      <c r="E1282" s="29" t="s">
        <v>987</v>
      </c>
      <c r="F1282" s="29" t="s">
        <v>364</v>
      </c>
      <c r="G1282">
        <v>105</v>
      </c>
      <c r="H1282" t="s">
        <v>1051</v>
      </c>
      <c r="I1282" t="s">
        <v>98</v>
      </c>
      <c r="J1282" t="s">
        <v>248</v>
      </c>
      <c r="K1282" t="s">
        <v>394</v>
      </c>
      <c r="L1282" t="s">
        <v>1090</v>
      </c>
    </row>
    <row r="1283" spans="1:12">
      <c r="A1283" t="s">
        <v>318</v>
      </c>
      <c r="B1283" t="s">
        <v>1223</v>
      </c>
      <c r="C1283" t="s">
        <v>1347</v>
      </c>
      <c r="D1283" s="28">
        <v>761471111402</v>
      </c>
      <c r="E1283" s="29" t="s">
        <v>393</v>
      </c>
      <c r="F1283" s="29" t="s">
        <v>372</v>
      </c>
      <c r="G1283">
        <v>48</v>
      </c>
      <c r="H1283" t="s">
        <v>1051</v>
      </c>
      <c r="I1283" t="s">
        <v>45</v>
      </c>
      <c r="J1283" t="s">
        <v>248</v>
      </c>
      <c r="K1283" t="s">
        <v>394</v>
      </c>
      <c r="L1283" t="s">
        <v>327</v>
      </c>
    </row>
    <row r="1284" spans="1:12">
      <c r="A1284" t="s">
        <v>318</v>
      </c>
      <c r="B1284" t="s">
        <v>1223</v>
      </c>
      <c r="C1284" t="s">
        <v>1348</v>
      </c>
      <c r="D1284" s="28">
        <v>761471111408</v>
      </c>
      <c r="E1284" s="29" t="s">
        <v>393</v>
      </c>
      <c r="F1284" s="29" t="s">
        <v>372</v>
      </c>
      <c r="G1284">
        <v>49</v>
      </c>
      <c r="H1284" t="s">
        <v>1051</v>
      </c>
      <c r="I1284" t="s">
        <v>45</v>
      </c>
      <c r="J1284" t="s">
        <v>248</v>
      </c>
      <c r="K1284" t="s">
        <v>394</v>
      </c>
      <c r="L1284" t="s">
        <v>327</v>
      </c>
    </row>
    <row r="1285" spans="1:12">
      <c r="A1285" t="s">
        <v>318</v>
      </c>
      <c r="B1285" t="s">
        <v>1223</v>
      </c>
      <c r="C1285" t="s">
        <v>1349</v>
      </c>
      <c r="D1285" s="28">
        <v>761471111415</v>
      </c>
      <c r="E1285" s="29" t="s">
        <v>393</v>
      </c>
      <c r="F1285" s="29" t="s">
        <v>372</v>
      </c>
      <c r="G1285">
        <v>48</v>
      </c>
      <c r="H1285" t="s">
        <v>1051</v>
      </c>
      <c r="I1285" t="s">
        <v>45</v>
      </c>
      <c r="J1285" t="s">
        <v>248</v>
      </c>
      <c r="K1285" t="s">
        <v>394</v>
      </c>
      <c r="L1285" t="s">
        <v>327</v>
      </c>
    </row>
    <row r="1286" spans="1:12">
      <c r="A1286" t="s">
        <v>318</v>
      </c>
      <c r="B1286" t="s">
        <v>1223</v>
      </c>
      <c r="C1286" t="s">
        <v>1350</v>
      </c>
      <c r="D1286" s="28">
        <v>761471111426</v>
      </c>
      <c r="E1286" s="29" t="s">
        <v>393</v>
      </c>
      <c r="F1286" s="29" t="s">
        <v>372</v>
      </c>
      <c r="G1286">
        <v>48</v>
      </c>
      <c r="H1286" t="s">
        <v>1051</v>
      </c>
      <c r="I1286" t="s">
        <v>45</v>
      </c>
      <c r="J1286" t="s">
        <v>248</v>
      </c>
      <c r="K1286" t="s">
        <v>394</v>
      </c>
      <c r="L1286" t="s">
        <v>327</v>
      </c>
    </row>
    <row r="1287" spans="1:12">
      <c r="A1287" t="s">
        <v>318</v>
      </c>
      <c r="B1287" t="s">
        <v>1223</v>
      </c>
      <c r="C1287" t="s">
        <v>1351</v>
      </c>
      <c r="D1287" s="28">
        <v>761471113949</v>
      </c>
      <c r="E1287" s="29" t="s">
        <v>393</v>
      </c>
      <c r="F1287" s="29" t="s">
        <v>372</v>
      </c>
      <c r="G1287">
        <v>49</v>
      </c>
      <c r="H1287" t="s">
        <v>1051</v>
      </c>
      <c r="I1287" t="s">
        <v>45</v>
      </c>
      <c r="J1287" t="s">
        <v>248</v>
      </c>
      <c r="K1287" t="s">
        <v>394</v>
      </c>
      <c r="L1287" t="s">
        <v>327</v>
      </c>
    </row>
    <row r="1288" spans="1:12">
      <c r="A1288" t="s">
        <v>318</v>
      </c>
      <c r="B1288" t="s">
        <v>1223</v>
      </c>
      <c r="C1288" t="s">
        <v>1352</v>
      </c>
      <c r="D1288" s="28">
        <v>761471113950</v>
      </c>
      <c r="E1288" s="29" t="s">
        <v>393</v>
      </c>
      <c r="F1288" s="29" t="s">
        <v>372</v>
      </c>
      <c r="G1288">
        <v>49</v>
      </c>
      <c r="H1288" t="s">
        <v>1051</v>
      </c>
      <c r="I1288" t="s">
        <v>98</v>
      </c>
      <c r="J1288" t="s">
        <v>248</v>
      </c>
      <c r="K1288" t="s">
        <v>394</v>
      </c>
      <c r="L1288" t="s">
        <v>327</v>
      </c>
    </row>
    <row r="1289" spans="1:12">
      <c r="A1289" t="s">
        <v>318</v>
      </c>
      <c r="B1289" t="s">
        <v>1223</v>
      </c>
      <c r="C1289" t="s">
        <v>1353</v>
      </c>
      <c r="D1289" s="28">
        <v>761471113953</v>
      </c>
      <c r="E1289" s="29" t="s">
        <v>393</v>
      </c>
      <c r="F1289" s="29" t="s">
        <v>372</v>
      </c>
      <c r="G1289">
        <v>47</v>
      </c>
      <c r="H1289" t="s">
        <v>1051</v>
      </c>
      <c r="I1289" t="s">
        <v>45</v>
      </c>
      <c r="J1289" t="s">
        <v>248</v>
      </c>
      <c r="K1289" t="s">
        <v>394</v>
      </c>
      <c r="L1289" t="s">
        <v>327</v>
      </c>
    </row>
    <row r="1290" spans="1:12">
      <c r="A1290" t="s">
        <v>318</v>
      </c>
      <c r="B1290" t="s">
        <v>1223</v>
      </c>
      <c r="C1290" t="s">
        <v>1354</v>
      </c>
      <c r="D1290" s="28">
        <v>761471126157</v>
      </c>
      <c r="E1290" s="29" t="s">
        <v>393</v>
      </c>
      <c r="F1290" s="29" t="s">
        <v>372</v>
      </c>
      <c r="G1290">
        <v>49</v>
      </c>
      <c r="H1290" t="s">
        <v>1051</v>
      </c>
      <c r="I1290" t="s">
        <v>45</v>
      </c>
      <c r="J1290" t="s">
        <v>248</v>
      </c>
      <c r="K1290" t="s">
        <v>365</v>
      </c>
      <c r="L1290" t="s">
        <v>327</v>
      </c>
    </row>
    <row r="1291" spans="1:12">
      <c r="A1291" t="s">
        <v>318</v>
      </c>
      <c r="B1291" t="s">
        <v>1223</v>
      </c>
      <c r="C1291" t="s">
        <v>1355</v>
      </c>
      <c r="D1291" s="28">
        <v>761471127688</v>
      </c>
      <c r="E1291" s="29" t="s">
        <v>393</v>
      </c>
      <c r="F1291" s="29" t="s">
        <v>372</v>
      </c>
      <c r="G1291">
        <v>48</v>
      </c>
      <c r="H1291" t="s">
        <v>1051</v>
      </c>
      <c r="I1291" t="s">
        <v>45</v>
      </c>
      <c r="J1291" t="s">
        <v>248</v>
      </c>
      <c r="K1291" t="s">
        <v>394</v>
      </c>
      <c r="L1291" t="s">
        <v>327</v>
      </c>
    </row>
    <row r="1292" spans="1:12">
      <c r="A1292" t="s">
        <v>318</v>
      </c>
      <c r="B1292" t="s">
        <v>1223</v>
      </c>
      <c r="C1292" t="s">
        <v>1356</v>
      </c>
      <c r="D1292" s="28">
        <v>761471134316</v>
      </c>
      <c r="E1292" s="29" t="s">
        <v>393</v>
      </c>
      <c r="F1292" s="29" t="s">
        <v>372</v>
      </c>
      <c r="G1292">
        <v>48</v>
      </c>
      <c r="H1292" t="s">
        <v>1051</v>
      </c>
      <c r="I1292" t="s">
        <v>45</v>
      </c>
      <c r="J1292" t="s">
        <v>248</v>
      </c>
      <c r="K1292" t="s">
        <v>394</v>
      </c>
      <c r="L1292" t="s">
        <v>327</v>
      </c>
    </row>
    <row r="1293" spans="1:12">
      <c r="A1293" t="s">
        <v>318</v>
      </c>
      <c r="B1293" t="s">
        <v>1357</v>
      </c>
      <c r="C1293" t="s">
        <v>1358</v>
      </c>
      <c r="D1293" s="28">
        <v>7636400094207</v>
      </c>
      <c r="E1293" s="29" t="s">
        <v>1359</v>
      </c>
      <c r="F1293" s="29" t="s">
        <v>364</v>
      </c>
      <c r="G1293">
        <v>13</v>
      </c>
      <c r="H1293" t="s">
        <v>1051</v>
      </c>
      <c r="I1293" t="s">
        <v>98</v>
      </c>
      <c r="J1293" t="s">
        <v>1360</v>
      </c>
      <c r="K1293" t="s">
        <v>394</v>
      </c>
      <c r="L1293" t="s">
        <v>327</v>
      </c>
    </row>
    <row r="1294" spans="1:12">
      <c r="A1294" t="s">
        <v>318</v>
      </c>
      <c r="B1294" t="s">
        <v>1357</v>
      </c>
      <c r="C1294" t="s">
        <v>1361</v>
      </c>
      <c r="D1294" s="28">
        <v>7636400114897</v>
      </c>
      <c r="E1294" s="29" t="s">
        <v>368</v>
      </c>
      <c r="F1294" s="29" t="s">
        <v>364</v>
      </c>
      <c r="G1294">
        <v>77</v>
      </c>
      <c r="H1294" t="s">
        <v>323</v>
      </c>
      <c r="I1294" t="s">
        <v>98</v>
      </c>
      <c r="J1294" t="s">
        <v>1360</v>
      </c>
      <c r="K1294" t="s">
        <v>394</v>
      </c>
      <c r="L1294" t="s">
        <v>1090</v>
      </c>
    </row>
    <row r="1295" spans="1:12">
      <c r="A1295" t="s">
        <v>318</v>
      </c>
      <c r="B1295" t="s">
        <v>1357</v>
      </c>
      <c r="C1295" t="s">
        <v>1362</v>
      </c>
      <c r="D1295" s="28">
        <v>763641143205</v>
      </c>
      <c r="E1295" s="29" t="s">
        <v>987</v>
      </c>
      <c r="F1295" s="29" t="s">
        <v>364</v>
      </c>
      <c r="G1295">
        <v>93</v>
      </c>
      <c r="H1295" t="s">
        <v>1051</v>
      </c>
      <c r="I1295" t="s">
        <v>98</v>
      </c>
      <c r="J1295" t="s">
        <v>1360</v>
      </c>
      <c r="K1295" t="s">
        <v>365</v>
      </c>
      <c r="L1295" t="s">
        <v>1090</v>
      </c>
    </row>
    <row r="1296" spans="1:12">
      <c r="A1296" t="s">
        <v>318</v>
      </c>
      <c r="B1296" t="s">
        <v>1357</v>
      </c>
      <c r="C1296" t="s">
        <v>1363</v>
      </c>
      <c r="D1296" s="28">
        <v>763641143424</v>
      </c>
      <c r="E1296" s="29" t="s">
        <v>987</v>
      </c>
      <c r="F1296" s="29" t="s">
        <v>364</v>
      </c>
      <c r="G1296">
        <v>77</v>
      </c>
      <c r="H1296" t="s">
        <v>1051</v>
      </c>
      <c r="I1296" t="s">
        <v>98</v>
      </c>
      <c r="J1296" t="s">
        <v>1360</v>
      </c>
      <c r="K1296" t="s">
        <v>365</v>
      </c>
      <c r="L1296" t="s">
        <v>1090</v>
      </c>
    </row>
    <row r="1297" spans="1:12">
      <c r="A1297" t="s">
        <v>318</v>
      </c>
      <c r="B1297" t="s">
        <v>1357</v>
      </c>
      <c r="C1297" t="s">
        <v>1364</v>
      </c>
      <c r="D1297" s="28">
        <v>7636400114589</v>
      </c>
      <c r="E1297" s="29" t="s">
        <v>368</v>
      </c>
      <c r="F1297" s="29" t="s">
        <v>364</v>
      </c>
      <c r="G1297">
        <v>240</v>
      </c>
      <c r="H1297" t="s">
        <v>323</v>
      </c>
      <c r="I1297" t="s">
        <v>45</v>
      </c>
      <c r="J1297" t="s">
        <v>1360</v>
      </c>
      <c r="K1297" t="s">
        <v>394</v>
      </c>
      <c r="L1297" t="s">
        <v>1090</v>
      </c>
    </row>
    <row r="1298" spans="1:12">
      <c r="A1298" t="s">
        <v>318</v>
      </c>
      <c r="B1298" t="s">
        <v>1357</v>
      </c>
      <c r="C1298" t="s">
        <v>1365</v>
      </c>
      <c r="D1298" s="28">
        <v>7636400114588</v>
      </c>
      <c r="E1298" s="29" t="s">
        <v>368</v>
      </c>
      <c r="F1298" s="29" t="s">
        <v>364</v>
      </c>
      <c r="G1298">
        <v>39</v>
      </c>
      <c r="H1298" t="s">
        <v>323</v>
      </c>
      <c r="I1298" t="s">
        <v>98</v>
      </c>
      <c r="J1298" t="s">
        <v>1360</v>
      </c>
      <c r="K1298" t="s">
        <v>394</v>
      </c>
      <c r="L1298" t="s">
        <v>1090</v>
      </c>
    </row>
    <row r="1299" spans="1:12">
      <c r="A1299" t="s">
        <v>318</v>
      </c>
      <c r="B1299" t="s">
        <v>1357</v>
      </c>
      <c r="C1299" t="s">
        <v>1366</v>
      </c>
      <c r="D1299" s="28">
        <v>7636400114591</v>
      </c>
      <c r="E1299" s="29" t="s">
        <v>368</v>
      </c>
      <c r="F1299" s="29" t="s">
        <v>364</v>
      </c>
      <c r="G1299">
        <v>39</v>
      </c>
      <c r="H1299" t="s">
        <v>323</v>
      </c>
      <c r="I1299" t="s">
        <v>98</v>
      </c>
      <c r="J1299" t="s">
        <v>1360</v>
      </c>
      <c r="K1299" t="s">
        <v>365</v>
      </c>
      <c r="L1299" t="s">
        <v>1090</v>
      </c>
    </row>
    <row r="1300" spans="1:12">
      <c r="A1300" t="s">
        <v>318</v>
      </c>
      <c r="B1300" t="s">
        <v>1357</v>
      </c>
      <c r="C1300" t="s">
        <v>1367</v>
      </c>
      <c r="D1300" s="28">
        <v>7636400114593</v>
      </c>
      <c r="E1300" s="29" t="s">
        <v>368</v>
      </c>
      <c r="F1300" s="29" t="s">
        <v>364</v>
      </c>
      <c r="G1300">
        <v>55</v>
      </c>
      <c r="H1300" t="s">
        <v>323</v>
      </c>
      <c r="I1300" t="s">
        <v>98</v>
      </c>
      <c r="J1300" t="s">
        <v>1360</v>
      </c>
      <c r="K1300" t="s">
        <v>394</v>
      </c>
      <c r="L1300" t="s">
        <v>1090</v>
      </c>
    </row>
    <row r="1301" spans="1:12">
      <c r="A1301" t="s">
        <v>318</v>
      </c>
      <c r="B1301" t="s">
        <v>1357</v>
      </c>
      <c r="C1301" t="s">
        <v>1368</v>
      </c>
      <c r="D1301" s="28">
        <v>7636400123418</v>
      </c>
      <c r="E1301" s="29" t="s">
        <v>368</v>
      </c>
      <c r="F1301" s="29" t="s">
        <v>364</v>
      </c>
      <c r="G1301">
        <v>60</v>
      </c>
      <c r="H1301" t="s">
        <v>323</v>
      </c>
      <c r="I1301" t="s">
        <v>98</v>
      </c>
      <c r="J1301" t="s">
        <v>1360</v>
      </c>
      <c r="K1301" t="s">
        <v>365</v>
      </c>
      <c r="L1301" t="s">
        <v>1090</v>
      </c>
    </row>
    <row r="1302" spans="1:12">
      <c r="A1302" t="s">
        <v>318</v>
      </c>
      <c r="B1302" t="s">
        <v>1357</v>
      </c>
      <c r="C1302" t="s">
        <v>1369</v>
      </c>
      <c r="D1302" s="28">
        <v>763641151506</v>
      </c>
      <c r="E1302" s="29" t="s">
        <v>368</v>
      </c>
      <c r="F1302" s="29" t="s">
        <v>364</v>
      </c>
      <c r="G1302">
        <v>356</v>
      </c>
      <c r="H1302" t="s">
        <v>323</v>
      </c>
      <c r="I1302" t="s">
        <v>98</v>
      </c>
      <c r="J1302" t="s">
        <v>1360</v>
      </c>
      <c r="K1302" t="s">
        <v>394</v>
      </c>
      <c r="L1302" t="s">
        <v>1090</v>
      </c>
    </row>
    <row r="1303" spans="1:12">
      <c r="A1303" t="s">
        <v>318</v>
      </c>
      <c r="B1303" t="s">
        <v>1357</v>
      </c>
      <c r="C1303" t="s">
        <v>1370</v>
      </c>
      <c r="D1303" s="28">
        <v>7636400114596</v>
      </c>
      <c r="E1303" s="29" t="s">
        <v>393</v>
      </c>
      <c r="F1303" s="29" t="s">
        <v>372</v>
      </c>
      <c r="G1303">
        <v>50</v>
      </c>
      <c r="H1303" t="s">
        <v>323</v>
      </c>
      <c r="I1303" t="s">
        <v>98</v>
      </c>
      <c r="J1303" t="s">
        <v>1360</v>
      </c>
      <c r="K1303" t="s">
        <v>394</v>
      </c>
      <c r="L1303" t="s">
        <v>327</v>
      </c>
    </row>
    <row r="1304" spans="1:12">
      <c r="A1304" t="s">
        <v>318</v>
      </c>
      <c r="B1304" t="s">
        <v>1357</v>
      </c>
      <c r="C1304" t="s">
        <v>1371</v>
      </c>
      <c r="D1304" s="28">
        <v>7636400129904</v>
      </c>
      <c r="E1304" s="29" t="s">
        <v>393</v>
      </c>
      <c r="F1304" s="29" t="s">
        <v>372</v>
      </c>
      <c r="G1304">
        <v>33</v>
      </c>
      <c r="H1304" t="s">
        <v>323</v>
      </c>
      <c r="I1304" t="s">
        <v>98</v>
      </c>
      <c r="J1304" t="s">
        <v>1360</v>
      </c>
      <c r="K1304" t="s">
        <v>394</v>
      </c>
      <c r="L1304" t="s">
        <v>327</v>
      </c>
    </row>
    <row r="1305" spans="1:12">
      <c r="A1305" t="s">
        <v>318</v>
      </c>
      <c r="B1305" t="s">
        <v>1357</v>
      </c>
      <c r="C1305" t="s">
        <v>1372</v>
      </c>
      <c r="D1305" s="28">
        <v>7636400129909</v>
      </c>
      <c r="E1305" s="29" t="s">
        <v>393</v>
      </c>
      <c r="F1305" s="29" t="s">
        <v>372</v>
      </c>
      <c r="G1305">
        <v>20</v>
      </c>
      <c r="H1305" t="s">
        <v>323</v>
      </c>
      <c r="I1305" t="s">
        <v>98</v>
      </c>
      <c r="J1305" t="s">
        <v>1360</v>
      </c>
      <c r="K1305" t="s">
        <v>394</v>
      </c>
      <c r="L1305" t="s">
        <v>327</v>
      </c>
    </row>
    <row r="1306" spans="1:12">
      <c r="A1306" t="s">
        <v>318</v>
      </c>
      <c r="B1306" t="s">
        <v>1357</v>
      </c>
      <c r="C1306" t="s">
        <v>1373</v>
      </c>
      <c r="D1306" s="28">
        <v>7636400129916</v>
      </c>
      <c r="E1306" s="29" t="s">
        <v>393</v>
      </c>
      <c r="F1306" s="29" t="s">
        <v>372</v>
      </c>
      <c r="G1306">
        <v>48</v>
      </c>
      <c r="H1306" t="s">
        <v>323</v>
      </c>
      <c r="I1306" t="s">
        <v>98</v>
      </c>
      <c r="J1306" t="s">
        <v>1360</v>
      </c>
      <c r="K1306" t="s">
        <v>394</v>
      </c>
      <c r="L1306" t="s">
        <v>327</v>
      </c>
    </row>
    <row r="1307" spans="1:12">
      <c r="A1307" t="s">
        <v>318</v>
      </c>
      <c r="B1307" t="s">
        <v>1357</v>
      </c>
      <c r="C1307" t="s">
        <v>1374</v>
      </c>
      <c r="D1307" s="28">
        <v>7636400129919</v>
      </c>
      <c r="E1307" s="29" t="s">
        <v>393</v>
      </c>
      <c r="F1307" s="29" t="s">
        <v>372</v>
      </c>
      <c r="G1307">
        <v>42</v>
      </c>
      <c r="H1307" t="s">
        <v>323</v>
      </c>
      <c r="I1307" t="s">
        <v>98</v>
      </c>
      <c r="J1307" t="s">
        <v>1360</v>
      </c>
      <c r="K1307" t="s">
        <v>394</v>
      </c>
      <c r="L1307" t="s">
        <v>327</v>
      </c>
    </row>
    <row r="1308" spans="1:12">
      <c r="A1308" t="s">
        <v>318</v>
      </c>
      <c r="B1308" t="s">
        <v>1357</v>
      </c>
      <c r="C1308" t="s">
        <v>1375</v>
      </c>
      <c r="D1308" s="28">
        <v>7636400129932</v>
      </c>
      <c r="E1308" s="29" t="s">
        <v>393</v>
      </c>
      <c r="F1308" s="29" t="s">
        <v>372</v>
      </c>
      <c r="G1308">
        <v>15</v>
      </c>
      <c r="H1308" t="s">
        <v>323</v>
      </c>
      <c r="I1308" t="s">
        <v>98</v>
      </c>
      <c r="J1308" t="s">
        <v>1360</v>
      </c>
      <c r="K1308" t="s">
        <v>394</v>
      </c>
      <c r="L1308" t="s">
        <v>327</v>
      </c>
    </row>
    <row r="1309" spans="1:12">
      <c r="A1309" t="s">
        <v>318</v>
      </c>
      <c r="B1309" t="s">
        <v>1357</v>
      </c>
      <c r="C1309" t="s">
        <v>1376</v>
      </c>
      <c r="D1309" s="28">
        <v>7636400129940</v>
      </c>
      <c r="E1309" s="29" t="s">
        <v>393</v>
      </c>
      <c r="F1309" s="29" t="s">
        <v>372</v>
      </c>
      <c r="G1309">
        <v>49</v>
      </c>
      <c r="H1309" t="s">
        <v>323</v>
      </c>
      <c r="I1309" t="s">
        <v>98</v>
      </c>
      <c r="J1309" t="s">
        <v>1360</v>
      </c>
      <c r="K1309" t="s">
        <v>394</v>
      </c>
      <c r="L1309" t="s">
        <v>327</v>
      </c>
    </row>
    <row r="1310" spans="1:12">
      <c r="A1310" t="s">
        <v>318</v>
      </c>
      <c r="B1310" t="s">
        <v>1357</v>
      </c>
      <c r="C1310" t="s">
        <v>1377</v>
      </c>
      <c r="D1310" s="28">
        <v>763641130258</v>
      </c>
      <c r="E1310" s="29" t="s">
        <v>393</v>
      </c>
      <c r="F1310" s="29" t="s">
        <v>372</v>
      </c>
      <c r="G1310">
        <v>35</v>
      </c>
      <c r="H1310" t="s">
        <v>323</v>
      </c>
      <c r="I1310" t="s">
        <v>98</v>
      </c>
      <c r="J1310" t="s">
        <v>1360</v>
      </c>
      <c r="K1310" t="s">
        <v>394</v>
      </c>
      <c r="L1310" t="s">
        <v>327</v>
      </c>
    </row>
    <row r="1311" spans="1:12">
      <c r="A1311" t="s">
        <v>318</v>
      </c>
      <c r="B1311" t="s">
        <v>1357</v>
      </c>
      <c r="C1311" t="s">
        <v>1378</v>
      </c>
      <c r="D1311" s="28">
        <v>763641148794</v>
      </c>
      <c r="E1311" s="29" t="s">
        <v>393</v>
      </c>
      <c r="F1311" s="29" t="s">
        <v>372</v>
      </c>
      <c r="G1311">
        <v>31</v>
      </c>
      <c r="H1311" t="s">
        <v>323</v>
      </c>
      <c r="I1311" t="s">
        <v>98</v>
      </c>
      <c r="J1311" t="s">
        <v>1360</v>
      </c>
      <c r="K1311" t="s">
        <v>394</v>
      </c>
      <c r="L1311" t="s">
        <v>327</v>
      </c>
    </row>
    <row r="1312" spans="1:12">
      <c r="A1312" t="s">
        <v>318</v>
      </c>
      <c r="B1312" t="s">
        <v>1357</v>
      </c>
      <c r="C1312" t="s">
        <v>1379</v>
      </c>
      <c r="D1312" s="28">
        <v>7636400085006</v>
      </c>
      <c r="E1312" s="29" t="s">
        <v>329</v>
      </c>
      <c r="F1312" s="29" t="s">
        <v>322</v>
      </c>
      <c r="G1312">
        <v>16</v>
      </c>
      <c r="H1312" t="s">
        <v>323</v>
      </c>
      <c r="I1312" t="s">
        <v>98</v>
      </c>
      <c r="J1312" t="s">
        <v>1360</v>
      </c>
      <c r="K1312" t="s">
        <v>337</v>
      </c>
      <c r="L1312" t="s">
        <v>327</v>
      </c>
    </row>
    <row r="1313" spans="1:12">
      <c r="A1313" t="s">
        <v>318</v>
      </c>
      <c r="B1313" t="s">
        <v>1357</v>
      </c>
      <c r="C1313" t="s">
        <v>1380</v>
      </c>
      <c r="D1313" s="28">
        <v>7636400085007</v>
      </c>
      <c r="E1313" s="29" t="s">
        <v>329</v>
      </c>
      <c r="F1313" s="29" t="s">
        <v>322</v>
      </c>
      <c r="G1313">
        <v>17</v>
      </c>
      <c r="H1313" t="s">
        <v>323</v>
      </c>
      <c r="I1313" t="s">
        <v>98</v>
      </c>
      <c r="J1313" t="s">
        <v>1360</v>
      </c>
      <c r="K1313" t="s">
        <v>337</v>
      </c>
      <c r="L1313" t="s">
        <v>327</v>
      </c>
    </row>
    <row r="1314" spans="1:12">
      <c r="A1314" t="s">
        <v>318</v>
      </c>
      <c r="B1314" t="s">
        <v>1357</v>
      </c>
      <c r="C1314" t="s">
        <v>1381</v>
      </c>
      <c r="D1314" s="28">
        <v>7636400085011</v>
      </c>
      <c r="E1314" s="29" t="s">
        <v>329</v>
      </c>
      <c r="F1314" s="29" t="s">
        <v>322</v>
      </c>
      <c r="G1314">
        <v>16</v>
      </c>
      <c r="H1314" t="s">
        <v>323</v>
      </c>
      <c r="I1314" t="s">
        <v>98</v>
      </c>
      <c r="J1314" t="s">
        <v>1360</v>
      </c>
      <c r="K1314" t="s">
        <v>337</v>
      </c>
      <c r="L1314" t="s">
        <v>327</v>
      </c>
    </row>
    <row r="1315" spans="1:12">
      <c r="A1315" t="s">
        <v>318</v>
      </c>
      <c r="B1315" t="s">
        <v>1357</v>
      </c>
      <c r="C1315" t="s">
        <v>1382</v>
      </c>
      <c r="D1315" s="28">
        <v>7636400085014</v>
      </c>
      <c r="E1315" s="29" t="s">
        <v>329</v>
      </c>
      <c r="F1315" s="29" t="s">
        <v>322</v>
      </c>
      <c r="G1315">
        <v>17</v>
      </c>
      <c r="H1315" t="s">
        <v>323</v>
      </c>
      <c r="I1315" t="s">
        <v>98</v>
      </c>
      <c r="J1315" t="s">
        <v>1360</v>
      </c>
      <c r="K1315" t="s">
        <v>337</v>
      </c>
      <c r="L1315" t="s">
        <v>327</v>
      </c>
    </row>
    <row r="1316" spans="1:12">
      <c r="A1316" t="s">
        <v>318</v>
      </c>
      <c r="B1316" t="s">
        <v>1357</v>
      </c>
      <c r="C1316" t="s">
        <v>1383</v>
      </c>
      <c r="D1316" s="28">
        <v>7636400085016</v>
      </c>
      <c r="E1316" s="29" t="s">
        <v>329</v>
      </c>
      <c r="F1316" s="29" t="s">
        <v>322</v>
      </c>
      <c r="G1316">
        <v>16</v>
      </c>
      <c r="H1316" t="s">
        <v>323</v>
      </c>
      <c r="I1316" t="s">
        <v>98</v>
      </c>
      <c r="J1316" t="s">
        <v>1360</v>
      </c>
      <c r="K1316" t="s">
        <v>337</v>
      </c>
      <c r="L1316" t="s">
        <v>327</v>
      </c>
    </row>
    <row r="1317" spans="1:12">
      <c r="A1317" t="s">
        <v>318</v>
      </c>
      <c r="B1317" t="s">
        <v>1357</v>
      </c>
      <c r="C1317" t="s">
        <v>1384</v>
      </c>
      <c r="D1317" s="28">
        <v>7636400085021</v>
      </c>
      <c r="E1317" s="29" t="s">
        <v>329</v>
      </c>
      <c r="F1317" s="29" t="s">
        <v>322</v>
      </c>
      <c r="G1317">
        <v>16</v>
      </c>
      <c r="H1317" t="s">
        <v>323</v>
      </c>
      <c r="I1317" t="s">
        <v>98</v>
      </c>
      <c r="J1317" t="s">
        <v>1360</v>
      </c>
      <c r="K1317" t="s">
        <v>337</v>
      </c>
      <c r="L1317" t="s">
        <v>327</v>
      </c>
    </row>
    <row r="1318" spans="1:12">
      <c r="A1318" t="s">
        <v>318</v>
      </c>
      <c r="B1318" t="s">
        <v>1357</v>
      </c>
      <c r="C1318" t="s">
        <v>1385</v>
      </c>
      <c r="D1318" s="28">
        <v>7636400085025</v>
      </c>
      <c r="E1318" s="29" t="s">
        <v>329</v>
      </c>
      <c r="F1318" s="29" t="s">
        <v>322</v>
      </c>
      <c r="G1318">
        <v>16</v>
      </c>
      <c r="H1318" t="s">
        <v>323</v>
      </c>
      <c r="I1318" t="s">
        <v>98</v>
      </c>
      <c r="J1318" t="s">
        <v>1360</v>
      </c>
      <c r="K1318" t="s">
        <v>337</v>
      </c>
      <c r="L1318" t="s">
        <v>327</v>
      </c>
    </row>
    <row r="1319" spans="1:12">
      <c r="A1319" t="s">
        <v>318</v>
      </c>
      <c r="B1319" t="s">
        <v>1357</v>
      </c>
      <c r="C1319" t="s">
        <v>1386</v>
      </c>
      <c r="D1319" s="28">
        <v>7636400085027</v>
      </c>
      <c r="E1319" s="29" t="s">
        <v>329</v>
      </c>
      <c r="F1319" s="29" t="s">
        <v>322</v>
      </c>
      <c r="G1319">
        <v>16</v>
      </c>
      <c r="H1319" t="s">
        <v>323</v>
      </c>
      <c r="I1319" t="s">
        <v>98</v>
      </c>
      <c r="J1319" t="s">
        <v>1360</v>
      </c>
      <c r="K1319" t="s">
        <v>337</v>
      </c>
      <c r="L1319" t="s">
        <v>327</v>
      </c>
    </row>
    <row r="1320" spans="1:12">
      <c r="A1320" t="s">
        <v>318</v>
      </c>
      <c r="B1320" t="s">
        <v>1357</v>
      </c>
      <c r="C1320" t="s">
        <v>1387</v>
      </c>
      <c r="D1320" s="28">
        <v>7636400085029</v>
      </c>
      <c r="E1320" s="29" t="s">
        <v>329</v>
      </c>
      <c r="F1320" s="29" t="s">
        <v>322</v>
      </c>
      <c r="G1320">
        <v>16</v>
      </c>
      <c r="H1320" t="s">
        <v>323</v>
      </c>
      <c r="I1320" t="s">
        <v>98</v>
      </c>
      <c r="J1320" t="s">
        <v>1360</v>
      </c>
      <c r="K1320" t="s">
        <v>337</v>
      </c>
      <c r="L1320" t="s">
        <v>327</v>
      </c>
    </row>
    <row r="1321" spans="1:12">
      <c r="A1321" t="s">
        <v>318</v>
      </c>
      <c r="B1321" t="s">
        <v>1357</v>
      </c>
      <c r="C1321" t="s">
        <v>1388</v>
      </c>
      <c r="D1321" s="28">
        <v>7636400085031</v>
      </c>
      <c r="E1321" s="29" t="s">
        <v>329</v>
      </c>
      <c r="F1321" s="29" t="s">
        <v>322</v>
      </c>
      <c r="G1321">
        <v>16</v>
      </c>
      <c r="H1321" t="s">
        <v>323</v>
      </c>
      <c r="I1321" t="s">
        <v>98</v>
      </c>
      <c r="J1321" t="s">
        <v>1360</v>
      </c>
      <c r="K1321" t="s">
        <v>337</v>
      </c>
      <c r="L1321" t="s">
        <v>327</v>
      </c>
    </row>
    <row r="1322" spans="1:12">
      <c r="A1322" t="s">
        <v>318</v>
      </c>
      <c r="B1322" t="s">
        <v>1357</v>
      </c>
      <c r="C1322" t="s">
        <v>1389</v>
      </c>
      <c r="D1322" s="28">
        <v>7636400085034</v>
      </c>
      <c r="E1322" s="29" t="s">
        <v>329</v>
      </c>
      <c r="F1322" s="29" t="s">
        <v>322</v>
      </c>
      <c r="G1322">
        <v>16</v>
      </c>
      <c r="H1322" t="s">
        <v>323</v>
      </c>
      <c r="I1322" t="s">
        <v>98</v>
      </c>
      <c r="J1322" t="s">
        <v>1360</v>
      </c>
      <c r="K1322" t="s">
        <v>337</v>
      </c>
      <c r="L1322" t="s">
        <v>327</v>
      </c>
    </row>
    <row r="1323" spans="1:12">
      <c r="A1323" t="s">
        <v>318</v>
      </c>
      <c r="B1323" t="s">
        <v>1357</v>
      </c>
      <c r="C1323" t="s">
        <v>1390</v>
      </c>
      <c r="D1323" s="28">
        <v>7636400085035</v>
      </c>
      <c r="E1323" s="29" t="s">
        <v>329</v>
      </c>
      <c r="F1323" s="29" t="s">
        <v>322</v>
      </c>
      <c r="G1323">
        <v>16</v>
      </c>
      <c r="H1323" t="s">
        <v>323</v>
      </c>
      <c r="I1323" t="s">
        <v>98</v>
      </c>
      <c r="J1323" t="s">
        <v>1360</v>
      </c>
      <c r="K1323" t="s">
        <v>337</v>
      </c>
      <c r="L1323" t="s">
        <v>327</v>
      </c>
    </row>
    <row r="1324" spans="1:12">
      <c r="A1324" t="s">
        <v>318</v>
      </c>
      <c r="B1324" t="s">
        <v>1391</v>
      </c>
      <c r="C1324" t="s">
        <v>951</v>
      </c>
      <c r="D1324" s="28">
        <v>7600100013471</v>
      </c>
      <c r="E1324" s="29" t="s">
        <v>371</v>
      </c>
      <c r="F1324" s="29" t="s">
        <v>372</v>
      </c>
      <c r="G1324">
        <v>13</v>
      </c>
      <c r="H1324" t="s">
        <v>1051</v>
      </c>
      <c r="I1324" t="s">
        <v>98</v>
      </c>
      <c r="J1324" t="s">
        <v>185</v>
      </c>
      <c r="K1324" t="s">
        <v>285</v>
      </c>
      <c r="L1324" t="s">
        <v>1090</v>
      </c>
    </row>
    <row r="1325" spans="1:12">
      <c r="A1325" t="s">
        <v>318</v>
      </c>
      <c r="B1325" t="s">
        <v>1391</v>
      </c>
      <c r="C1325" t="s">
        <v>550</v>
      </c>
      <c r="D1325" s="28">
        <v>7600100013480</v>
      </c>
      <c r="E1325" s="29" t="s">
        <v>371</v>
      </c>
      <c r="F1325" s="29" t="s">
        <v>372</v>
      </c>
      <c r="G1325">
        <v>13</v>
      </c>
      <c r="H1325" t="s">
        <v>1051</v>
      </c>
      <c r="I1325" t="s">
        <v>98</v>
      </c>
      <c r="J1325" t="s">
        <v>185</v>
      </c>
      <c r="K1325" t="s">
        <v>285</v>
      </c>
      <c r="L1325" t="s">
        <v>1090</v>
      </c>
    </row>
    <row r="1326" spans="1:12">
      <c r="A1326" t="s">
        <v>318</v>
      </c>
      <c r="B1326" t="s">
        <v>1391</v>
      </c>
      <c r="C1326" t="s">
        <v>1392</v>
      </c>
      <c r="D1326" s="28">
        <v>7600100013484</v>
      </c>
      <c r="E1326" s="29" t="s">
        <v>371</v>
      </c>
      <c r="F1326" s="29" t="s">
        <v>372</v>
      </c>
      <c r="G1326">
        <v>13</v>
      </c>
      <c r="H1326" t="s">
        <v>1051</v>
      </c>
      <c r="I1326" t="s">
        <v>98</v>
      </c>
      <c r="J1326" t="s">
        <v>185</v>
      </c>
      <c r="K1326" t="s">
        <v>1226</v>
      </c>
      <c r="L1326" t="s">
        <v>1090</v>
      </c>
    </row>
    <row r="1327" spans="1:12">
      <c r="A1327" t="s">
        <v>318</v>
      </c>
      <c r="B1327" t="s">
        <v>1391</v>
      </c>
      <c r="C1327" t="s">
        <v>1393</v>
      </c>
      <c r="D1327" s="28">
        <v>7600100013492</v>
      </c>
      <c r="E1327" s="29" t="s">
        <v>371</v>
      </c>
      <c r="F1327" s="29" t="s">
        <v>372</v>
      </c>
      <c r="G1327">
        <v>13</v>
      </c>
      <c r="H1327" t="s">
        <v>1051</v>
      </c>
      <c r="I1327" t="s">
        <v>98</v>
      </c>
      <c r="J1327" t="s">
        <v>185</v>
      </c>
      <c r="K1327" t="s">
        <v>285</v>
      </c>
      <c r="L1327" t="s">
        <v>1090</v>
      </c>
    </row>
    <row r="1328" spans="1:12">
      <c r="A1328" t="s">
        <v>318</v>
      </c>
      <c r="B1328" t="s">
        <v>1391</v>
      </c>
      <c r="C1328" t="s">
        <v>1394</v>
      </c>
      <c r="D1328" s="28">
        <v>7600100013502</v>
      </c>
      <c r="E1328" s="29" t="s">
        <v>371</v>
      </c>
      <c r="F1328" s="29" t="s">
        <v>372</v>
      </c>
      <c r="G1328">
        <v>13</v>
      </c>
      <c r="H1328" t="s">
        <v>1051</v>
      </c>
      <c r="I1328" t="s">
        <v>98</v>
      </c>
      <c r="J1328" t="s">
        <v>185</v>
      </c>
      <c r="K1328" t="s">
        <v>1226</v>
      </c>
      <c r="L1328" t="s">
        <v>1090</v>
      </c>
    </row>
    <row r="1329" spans="1:12">
      <c r="A1329" t="s">
        <v>318</v>
      </c>
      <c r="B1329" t="s">
        <v>1391</v>
      </c>
      <c r="C1329" t="s">
        <v>1395</v>
      </c>
      <c r="D1329" s="28">
        <v>7600100013507</v>
      </c>
      <c r="E1329" s="29" t="s">
        <v>371</v>
      </c>
      <c r="F1329" s="29" t="s">
        <v>372</v>
      </c>
      <c r="G1329">
        <v>13</v>
      </c>
      <c r="H1329" t="s">
        <v>1051</v>
      </c>
      <c r="I1329" t="s">
        <v>98</v>
      </c>
      <c r="J1329" t="s">
        <v>185</v>
      </c>
      <c r="K1329" t="s">
        <v>1226</v>
      </c>
      <c r="L1329" t="s">
        <v>1090</v>
      </c>
    </row>
    <row r="1330" spans="1:12">
      <c r="A1330" t="s">
        <v>318</v>
      </c>
      <c r="B1330" t="s">
        <v>1391</v>
      </c>
      <c r="C1330" t="s">
        <v>1396</v>
      </c>
      <c r="D1330" s="28">
        <v>7600100013555</v>
      </c>
      <c r="E1330" s="29" t="s">
        <v>371</v>
      </c>
      <c r="F1330" s="29" t="s">
        <v>372</v>
      </c>
      <c r="G1330">
        <v>13</v>
      </c>
      <c r="H1330" t="s">
        <v>1051</v>
      </c>
      <c r="I1330" t="s">
        <v>98</v>
      </c>
      <c r="J1330" t="s">
        <v>185</v>
      </c>
      <c r="K1330" t="s">
        <v>1226</v>
      </c>
      <c r="L1330" t="s">
        <v>1090</v>
      </c>
    </row>
    <row r="1331" spans="1:12">
      <c r="A1331" t="s">
        <v>318</v>
      </c>
      <c r="B1331" t="s">
        <v>1391</v>
      </c>
      <c r="C1331" t="s">
        <v>1397</v>
      </c>
      <c r="D1331" s="28">
        <v>7600100013566</v>
      </c>
      <c r="E1331" s="29" t="s">
        <v>371</v>
      </c>
      <c r="F1331" s="29" t="s">
        <v>372</v>
      </c>
      <c r="G1331">
        <v>10</v>
      </c>
      <c r="H1331" t="s">
        <v>1051</v>
      </c>
      <c r="I1331" t="s">
        <v>98</v>
      </c>
      <c r="J1331" t="s">
        <v>185</v>
      </c>
      <c r="K1331" t="s">
        <v>1226</v>
      </c>
      <c r="L1331" t="s">
        <v>1090</v>
      </c>
    </row>
    <row r="1332" spans="1:12">
      <c r="A1332" t="s">
        <v>318</v>
      </c>
      <c r="B1332" t="s">
        <v>1391</v>
      </c>
      <c r="C1332" t="s">
        <v>1398</v>
      </c>
      <c r="D1332" s="28">
        <v>7600100013579</v>
      </c>
      <c r="E1332" s="29" t="s">
        <v>371</v>
      </c>
      <c r="F1332" s="29" t="s">
        <v>372</v>
      </c>
      <c r="G1332">
        <v>13</v>
      </c>
      <c r="H1332" t="s">
        <v>1051</v>
      </c>
      <c r="I1332" t="s">
        <v>98</v>
      </c>
      <c r="J1332" t="s">
        <v>185</v>
      </c>
      <c r="K1332" t="s">
        <v>285</v>
      </c>
      <c r="L1332" t="s">
        <v>1090</v>
      </c>
    </row>
    <row r="1333" spans="1:12">
      <c r="A1333" t="s">
        <v>318</v>
      </c>
      <c r="B1333" t="s">
        <v>1391</v>
      </c>
      <c r="C1333" t="s">
        <v>711</v>
      </c>
      <c r="D1333" s="28">
        <v>7600100013597</v>
      </c>
      <c r="E1333" s="29" t="s">
        <v>371</v>
      </c>
      <c r="F1333" s="29" t="s">
        <v>372</v>
      </c>
      <c r="G1333">
        <v>12</v>
      </c>
      <c r="H1333" t="s">
        <v>1051</v>
      </c>
      <c r="I1333" t="s">
        <v>98</v>
      </c>
      <c r="J1333" t="s">
        <v>185</v>
      </c>
      <c r="K1333" t="s">
        <v>1226</v>
      </c>
      <c r="L1333" t="s">
        <v>1090</v>
      </c>
    </row>
    <row r="1334" spans="1:12">
      <c r="A1334" t="s">
        <v>318</v>
      </c>
      <c r="B1334" t="s">
        <v>1391</v>
      </c>
      <c r="C1334" t="s">
        <v>1399</v>
      </c>
      <c r="D1334" s="28">
        <v>7600100114635</v>
      </c>
      <c r="E1334" s="29" t="s">
        <v>371</v>
      </c>
      <c r="F1334" s="29" t="s">
        <v>372</v>
      </c>
      <c r="G1334">
        <v>13</v>
      </c>
      <c r="H1334" t="s">
        <v>1051</v>
      </c>
      <c r="I1334" t="s">
        <v>98</v>
      </c>
      <c r="J1334" t="s">
        <v>185</v>
      </c>
      <c r="K1334" t="s">
        <v>285</v>
      </c>
      <c r="L1334" t="s">
        <v>1090</v>
      </c>
    </row>
    <row r="1335" spans="1:12">
      <c r="A1335" t="s">
        <v>318</v>
      </c>
      <c r="B1335" t="s">
        <v>1391</v>
      </c>
      <c r="C1335" t="s">
        <v>1400</v>
      </c>
      <c r="D1335" s="28">
        <v>760011124265</v>
      </c>
      <c r="E1335" s="29" t="s">
        <v>371</v>
      </c>
      <c r="F1335" s="29" t="s">
        <v>372</v>
      </c>
      <c r="G1335">
        <v>12</v>
      </c>
      <c r="H1335" t="s">
        <v>323</v>
      </c>
      <c r="I1335" t="s">
        <v>45</v>
      </c>
      <c r="J1335" t="s">
        <v>185</v>
      </c>
      <c r="K1335" t="s">
        <v>285</v>
      </c>
      <c r="L1335" t="s">
        <v>1090</v>
      </c>
    </row>
    <row r="1336" spans="1:12">
      <c r="A1336" t="s">
        <v>318</v>
      </c>
      <c r="B1336" t="s">
        <v>1391</v>
      </c>
      <c r="C1336" t="s">
        <v>395</v>
      </c>
      <c r="D1336" s="28">
        <v>760011133614</v>
      </c>
      <c r="E1336" s="29" t="s">
        <v>371</v>
      </c>
      <c r="F1336" s="29" t="s">
        <v>372</v>
      </c>
      <c r="G1336">
        <v>13</v>
      </c>
      <c r="H1336" t="s">
        <v>1051</v>
      </c>
      <c r="I1336" t="s">
        <v>98</v>
      </c>
      <c r="J1336" t="s">
        <v>185</v>
      </c>
      <c r="K1336" t="s">
        <v>285</v>
      </c>
      <c r="L1336" t="s">
        <v>1090</v>
      </c>
    </row>
    <row r="1337" spans="1:12">
      <c r="A1337" t="s">
        <v>318</v>
      </c>
      <c r="B1337" t="s">
        <v>1391</v>
      </c>
      <c r="C1337" t="s">
        <v>970</v>
      </c>
      <c r="D1337" s="28">
        <v>7600100023926</v>
      </c>
      <c r="E1337" s="29" t="s">
        <v>371</v>
      </c>
      <c r="F1337" s="29" t="s">
        <v>372</v>
      </c>
      <c r="G1337">
        <v>12</v>
      </c>
      <c r="H1337" t="s">
        <v>323</v>
      </c>
      <c r="I1337" t="s">
        <v>98</v>
      </c>
      <c r="J1337" t="s">
        <v>185</v>
      </c>
      <c r="K1337" t="s">
        <v>1226</v>
      </c>
      <c r="L1337" t="s">
        <v>327</v>
      </c>
    </row>
    <row r="1338" spans="1:12">
      <c r="A1338" t="s">
        <v>318</v>
      </c>
      <c r="B1338" t="s">
        <v>1391</v>
      </c>
      <c r="C1338" t="s">
        <v>1401</v>
      </c>
      <c r="D1338" s="28">
        <v>7600100042368</v>
      </c>
      <c r="E1338" s="29" t="s">
        <v>371</v>
      </c>
      <c r="F1338" s="29" t="s">
        <v>372</v>
      </c>
      <c r="G1338">
        <v>11</v>
      </c>
      <c r="H1338" t="s">
        <v>323</v>
      </c>
      <c r="I1338" t="s">
        <v>98</v>
      </c>
      <c r="J1338" t="s">
        <v>185</v>
      </c>
      <c r="K1338" t="s">
        <v>285</v>
      </c>
      <c r="L1338" t="s">
        <v>327</v>
      </c>
    </row>
    <row r="1339" spans="1:12">
      <c r="A1339" t="s">
        <v>318</v>
      </c>
      <c r="B1339" t="s">
        <v>1391</v>
      </c>
      <c r="C1339" t="s">
        <v>1402</v>
      </c>
      <c r="D1339" s="28">
        <v>7600100042391</v>
      </c>
      <c r="E1339" s="29" t="s">
        <v>371</v>
      </c>
      <c r="F1339" s="29" t="s">
        <v>372</v>
      </c>
      <c r="G1339">
        <v>9</v>
      </c>
      <c r="H1339" t="s">
        <v>323</v>
      </c>
      <c r="I1339" t="s">
        <v>98</v>
      </c>
      <c r="J1339" t="s">
        <v>185</v>
      </c>
      <c r="K1339" t="s">
        <v>285</v>
      </c>
      <c r="L1339" t="s">
        <v>327</v>
      </c>
    </row>
    <row r="1340" spans="1:12">
      <c r="A1340" t="s">
        <v>318</v>
      </c>
      <c r="B1340" t="s">
        <v>1391</v>
      </c>
      <c r="C1340" t="s">
        <v>490</v>
      </c>
      <c r="D1340" s="28">
        <v>7600100042420</v>
      </c>
      <c r="E1340" s="29" t="s">
        <v>371</v>
      </c>
      <c r="F1340" s="29" t="s">
        <v>372</v>
      </c>
      <c r="G1340">
        <v>12</v>
      </c>
      <c r="H1340" t="s">
        <v>323</v>
      </c>
      <c r="I1340" t="s">
        <v>98</v>
      </c>
      <c r="J1340" t="s">
        <v>185</v>
      </c>
      <c r="K1340" t="s">
        <v>285</v>
      </c>
      <c r="L1340" t="s">
        <v>327</v>
      </c>
    </row>
    <row r="1341" spans="1:12">
      <c r="A1341" t="s">
        <v>318</v>
      </c>
      <c r="B1341" t="s">
        <v>1391</v>
      </c>
      <c r="C1341" t="s">
        <v>1403</v>
      </c>
      <c r="D1341" s="28">
        <v>7600100042427</v>
      </c>
      <c r="E1341" s="29" t="s">
        <v>371</v>
      </c>
      <c r="F1341" s="29" t="s">
        <v>372</v>
      </c>
      <c r="G1341">
        <v>13</v>
      </c>
      <c r="H1341" t="s">
        <v>323</v>
      </c>
      <c r="I1341" t="s">
        <v>98</v>
      </c>
      <c r="J1341" t="s">
        <v>185</v>
      </c>
      <c r="K1341" t="s">
        <v>285</v>
      </c>
      <c r="L1341" t="s">
        <v>327</v>
      </c>
    </row>
    <row r="1342" spans="1:12">
      <c r="A1342" t="s">
        <v>318</v>
      </c>
      <c r="B1342" t="s">
        <v>1391</v>
      </c>
      <c r="C1342" t="s">
        <v>493</v>
      </c>
      <c r="D1342" s="28">
        <v>7600100045404</v>
      </c>
      <c r="E1342" s="29" t="s">
        <v>371</v>
      </c>
      <c r="F1342" s="29" t="s">
        <v>372</v>
      </c>
      <c r="G1342">
        <v>12</v>
      </c>
      <c r="H1342" t="s">
        <v>323</v>
      </c>
      <c r="I1342" t="s">
        <v>98</v>
      </c>
      <c r="J1342" t="s">
        <v>185</v>
      </c>
      <c r="K1342" t="s">
        <v>285</v>
      </c>
      <c r="L1342" t="s">
        <v>327</v>
      </c>
    </row>
    <row r="1343" spans="1:12">
      <c r="A1343" t="s">
        <v>318</v>
      </c>
      <c r="B1343" t="s">
        <v>1391</v>
      </c>
      <c r="C1343" t="s">
        <v>1404</v>
      </c>
      <c r="D1343" s="28">
        <v>7600100045415</v>
      </c>
      <c r="E1343" s="29" t="s">
        <v>371</v>
      </c>
      <c r="F1343" s="29" t="s">
        <v>372</v>
      </c>
      <c r="G1343">
        <v>11</v>
      </c>
      <c r="H1343" t="s">
        <v>323</v>
      </c>
      <c r="I1343" t="s">
        <v>98</v>
      </c>
      <c r="J1343" t="s">
        <v>185</v>
      </c>
      <c r="K1343" t="s">
        <v>285</v>
      </c>
      <c r="L1343" t="s">
        <v>327</v>
      </c>
    </row>
    <row r="1344" spans="1:12">
      <c r="A1344" t="s">
        <v>318</v>
      </c>
      <c r="B1344" t="s">
        <v>1391</v>
      </c>
      <c r="C1344" t="s">
        <v>1405</v>
      </c>
      <c r="D1344" s="28">
        <v>7600100045418</v>
      </c>
      <c r="E1344" s="29" t="s">
        <v>371</v>
      </c>
      <c r="F1344" s="29" t="s">
        <v>372</v>
      </c>
      <c r="G1344">
        <v>13</v>
      </c>
      <c r="H1344" t="s">
        <v>323</v>
      </c>
      <c r="I1344" t="s">
        <v>98</v>
      </c>
      <c r="J1344" t="s">
        <v>185</v>
      </c>
      <c r="K1344" t="s">
        <v>285</v>
      </c>
      <c r="L1344" t="s">
        <v>327</v>
      </c>
    </row>
    <row r="1345" spans="1:12">
      <c r="A1345" t="s">
        <v>318</v>
      </c>
      <c r="B1345" t="s">
        <v>1391</v>
      </c>
      <c r="C1345" t="s">
        <v>1392</v>
      </c>
      <c r="D1345" s="28">
        <v>7600100045442</v>
      </c>
      <c r="E1345" s="29" t="s">
        <v>371</v>
      </c>
      <c r="F1345" s="29" t="s">
        <v>372</v>
      </c>
      <c r="G1345">
        <v>12</v>
      </c>
      <c r="H1345" t="s">
        <v>323</v>
      </c>
      <c r="I1345" t="s">
        <v>98</v>
      </c>
      <c r="J1345" t="s">
        <v>185</v>
      </c>
      <c r="K1345" t="s">
        <v>285</v>
      </c>
      <c r="L1345" t="s">
        <v>327</v>
      </c>
    </row>
    <row r="1346" spans="1:12">
      <c r="A1346" t="s">
        <v>318</v>
      </c>
      <c r="B1346" t="s">
        <v>1391</v>
      </c>
      <c r="C1346" t="s">
        <v>568</v>
      </c>
      <c r="D1346" s="28">
        <v>7600100045507</v>
      </c>
      <c r="E1346" s="29" t="s">
        <v>371</v>
      </c>
      <c r="F1346" s="29" t="s">
        <v>372</v>
      </c>
      <c r="G1346">
        <v>13</v>
      </c>
      <c r="H1346" t="s">
        <v>323</v>
      </c>
      <c r="I1346" t="s">
        <v>98</v>
      </c>
      <c r="J1346" t="s">
        <v>185</v>
      </c>
      <c r="K1346" t="s">
        <v>285</v>
      </c>
      <c r="L1346" t="s">
        <v>327</v>
      </c>
    </row>
    <row r="1347" spans="1:12">
      <c r="A1347" t="s">
        <v>318</v>
      </c>
      <c r="B1347" t="s">
        <v>1391</v>
      </c>
      <c r="C1347" t="s">
        <v>1406</v>
      </c>
      <c r="D1347" s="28">
        <v>7600100047470</v>
      </c>
      <c r="E1347" s="29" t="s">
        <v>371</v>
      </c>
      <c r="F1347" s="29" t="s">
        <v>372</v>
      </c>
      <c r="G1347">
        <v>11</v>
      </c>
      <c r="H1347" t="s">
        <v>323</v>
      </c>
      <c r="I1347" t="s">
        <v>98</v>
      </c>
      <c r="J1347" t="s">
        <v>185</v>
      </c>
      <c r="K1347" t="s">
        <v>285</v>
      </c>
      <c r="L1347" t="s">
        <v>327</v>
      </c>
    </row>
    <row r="1348" spans="1:12">
      <c r="A1348" t="s">
        <v>318</v>
      </c>
      <c r="B1348" t="s">
        <v>1391</v>
      </c>
      <c r="C1348" t="s">
        <v>440</v>
      </c>
      <c r="D1348" s="28">
        <v>7600100051729</v>
      </c>
      <c r="E1348" s="29" t="s">
        <v>371</v>
      </c>
      <c r="F1348" s="29" t="s">
        <v>372</v>
      </c>
      <c r="G1348">
        <v>9</v>
      </c>
      <c r="H1348" t="s">
        <v>323</v>
      </c>
      <c r="I1348" t="s">
        <v>98</v>
      </c>
      <c r="J1348" t="s">
        <v>185</v>
      </c>
      <c r="K1348" t="s">
        <v>285</v>
      </c>
      <c r="L1348" t="s">
        <v>327</v>
      </c>
    </row>
    <row r="1349" spans="1:12">
      <c r="A1349" t="s">
        <v>318</v>
      </c>
      <c r="B1349" t="s">
        <v>1391</v>
      </c>
      <c r="C1349" t="s">
        <v>374</v>
      </c>
      <c r="D1349" s="28">
        <v>7600100054295</v>
      </c>
      <c r="E1349" s="29" t="s">
        <v>371</v>
      </c>
      <c r="F1349" s="29" t="s">
        <v>372</v>
      </c>
      <c r="G1349">
        <v>13</v>
      </c>
      <c r="H1349" t="s">
        <v>323</v>
      </c>
      <c r="I1349" t="s">
        <v>98</v>
      </c>
      <c r="J1349" t="s">
        <v>185</v>
      </c>
      <c r="K1349" t="s">
        <v>285</v>
      </c>
      <c r="L1349" t="s">
        <v>327</v>
      </c>
    </row>
    <row r="1350" spans="1:12">
      <c r="A1350" t="s">
        <v>318</v>
      </c>
      <c r="B1350" t="s">
        <v>1391</v>
      </c>
      <c r="C1350" t="s">
        <v>780</v>
      </c>
      <c r="D1350" s="28">
        <v>7600100054310</v>
      </c>
      <c r="E1350" s="29" t="s">
        <v>371</v>
      </c>
      <c r="F1350" s="29" t="s">
        <v>372</v>
      </c>
      <c r="G1350">
        <v>6</v>
      </c>
      <c r="H1350" t="s">
        <v>323</v>
      </c>
      <c r="I1350" t="s">
        <v>98</v>
      </c>
      <c r="J1350" t="s">
        <v>185</v>
      </c>
      <c r="K1350" t="s">
        <v>285</v>
      </c>
      <c r="L1350" t="s">
        <v>327</v>
      </c>
    </row>
    <row r="1351" spans="1:12">
      <c r="A1351" t="s">
        <v>318</v>
      </c>
      <c r="B1351" t="s">
        <v>1391</v>
      </c>
      <c r="C1351" t="s">
        <v>1152</v>
      </c>
      <c r="D1351" s="28">
        <v>7600100054356</v>
      </c>
      <c r="E1351" s="29" t="s">
        <v>371</v>
      </c>
      <c r="F1351" s="29" t="s">
        <v>372</v>
      </c>
      <c r="G1351">
        <v>11</v>
      </c>
      <c r="H1351" t="s">
        <v>323</v>
      </c>
      <c r="I1351" t="s">
        <v>98</v>
      </c>
      <c r="J1351" t="s">
        <v>185</v>
      </c>
      <c r="K1351" t="s">
        <v>1226</v>
      </c>
      <c r="L1351" t="s">
        <v>327</v>
      </c>
    </row>
    <row r="1352" spans="1:12">
      <c r="A1352" t="s">
        <v>318</v>
      </c>
      <c r="B1352" t="s">
        <v>1391</v>
      </c>
      <c r="C1352" t="s">
        <v>1407</v>
      </c>
      <c r="D1352" s="28">
        <v>7600100054367</v>
      </c>
      <c r="E1352" s="29" t="s">
        <v>371</v>
      </c>
      <c r="F1352" s="29" t="s">
        <v>372</v>
      </c>
      <c r="G1352">
        <v>11</v>
      </c>
      <c r="H1352" t="s">
        <v>323</v>
      </c>
      <c r="I1352" t="s">
        <v>98</v>
      </c>
      <c r="J1352" t="s">
        <v>185</v>
      </c>
      <c r="K1352" t="s">
        <v>285</v>
      </c>
      <c r="L1352" t="s">
        <v>327</v>
      </c>
    </row>
    <row r="1353" spans="1:12">
      <c r="A1353" t="s">
        <v>318</v>
      </c>
      <c r="B1353" t="s">
        <v>1391</v>
      </c>
      <c r="C1353" t="s">
        <v>1408</v>
      </c>
      <c r="D1353" s="28">
        <v>7600100054372</v>
      </c>
      <c r="E1353" s="29" t="s">
        <v>371</v>
      </c>
      <c r="F1353" s="29" t="s">
        <v>372</v>
      </c>
      <c r="G1353">
        <v>13</v>
      </c>
      <c r="H1353" t="s">
        <v>323</v>
      </c>
      <c r="I1353" t="s">
        <v>98</v>
      </c>
      <c r="J1353" t="s">
        <v>185</v>
      </c>
      <c r="K1353" t="s">
        <v>1226</v>
      </c>
      <c r="L1353" t="s">
        <v>327</v>
      </c>
    </row>
    <row r="1354" spans="1:12">
      <c r="A1354" t="s">
        <v>318</v>
      </c>
      <c r="B1354" t="s">
        <v>1391</v>
      </c>
      <c r="C1354" t="s">
        <v>1409</v>
      </c>
      <c r="D1354" s="28">
        <v>7600100054376</v>
      </c>
      <c r="E1354" s="29" t="s">
        <v>371</v>
      </c>
      <c r="F1354" s="29" t="s">
        <v>372</v>
      </c>
      <c r="G1354">
        <v>10</v>
      </c>
      <c r="H1354" t="s">
        <v>323</v>
      </c>
      <c r="I1354" t="s">
        <v>98</v>
      </c>
      <c r="J1354" t="s">
        <v>185</v>
      </c>
      <c r="K1354" t="s">
        <v>285</v>
      </c>
      <c r="L1354" t="s">
        <v>327</v>
      </c>
    </row>
    <row r="1355" spans="1:12">
      <c r="A1355" t="s">
        <v>318</v>
      </c>
      <c r="B1355" t="s">
        <v>1391</v>
      </c>
      <c r="C1355" t="s">
        <v>1410</v>
      </c>
      <c r="D1355" s="28">
        <v>7600100063316</v>
      </c>
      <c r="E1355" s="29" t="s">
        <v>371</v>
      </c>
      <c r="F1355" s="29" t="s">
        <v>372</v>
      </c>
      <c r="G1355">
        <v>13</v>
      </c>
      <c r="H1355" t="s">
        <v>323</v>
      </c>
      <c r="I1355" t="s">
        <v>98</v>
      </c>
      <c r="J1355" t="s">
        <v>185</v>
      </c>
      <c r="K1355" t="s">
        <v>1226</v>
      </c>
      <c r="L1355" t="s">
        <v>327</v>
      </c>
    </row>
    <row r="1356" spans="1:12">
      <c r="A1356" t="s">
        <v>318</v>
      </c>
      <c r="B1356" t="s">
        <v>1391</v>
      </c>
      <c r="C1356" t="s">
        <v>377</v>
      </c>
      <c r="D1356" s="28">
        <v>760011120362</v>
      </c>
      <c r="E1356" s="29" t="s">
        <v>371</v>
      </c>
      <c r="F1356" s="29" t="s">
        <v>372</v>
      </c>
      <c r="G1356">
        <v>13</v>
      </c>
      <c r="H1356" t="s">
        <v>323</v>
      </c>
      <c r="I1356" t="s">
        <v>98</v>
      </c>
      <c r="J1356" t="s">
        <v>185</v>
      </c>
      <c r="K1356" t="s">
        <v>285</v>
      </c>
      <c r="L1356" t="s">
        <v>327</v>
      </c>
    </row>
    <row r="1357" spans="1:12">
      <c r="A1357" t="s">
        <v>318</v>
      </c>
      <c r="B1357" t="s">
        <v>1391</v>
      </c>
      <c r="C1357" t="s">
        <v>790</v>
      </c>
      <c r="D1357" s="28">
        <v>7623300049842</v>
      </c>
      <c r="E1357" s="29" t="s">
        <v>371</v>
      </c>
      <c r="F1357" s="29" t="s">
        <v>372</v>
      </c>
      <c r="G1357">
        <v>13</v>
      </c>
      <c r="H1357" t="s">
        <v>1051</v>
      </c>
      <c r="I1357" t="s">
        <v>98</v>
      </c>
      <c r="J1357" t="s">
        <v>1411</v>
      </c>
      <c r="K1357" t="s">
        <v>1226</v>
      </c>
      <c r="L1357" t="s">
        <v>327</v>
      </c>
    </row>
    <row r="1358" spans="1:12">
      <c r="A1358" t="s">
        <v>318</v>
      </c>
      <c r="B1358" t="s">
        <v>1391</v>
      </c>
      <c r="C1358" t="s">
        <v>1412</v>
      </c>
      <c r="D1358" s="28">
        <v>7623300049848</v>
      </c>
      <c r="E1358" s="29" t="s">
        <v>371</v>
      </c>
      <c r="F1358" s="29" t="s">
        <v>372</v>
      </c>
      <c r="G1358">
        <v>11</v>
      </c>
      <c r="H1358" t="s">
        <v>1051</v>
      </c>
      <c r="I1358" t="s">
        <v>98</v>
      </c>
      <c r="J1358" t="s">
        <v>1411</v>
      </c>
      <c r="K1358" t="s">
        <v>1226</v>
      </c>
      <c r="L1358" t="s">
        <v>327</v>
      </c>
    </row>
    <row r="1359" spans="1:12">
      <c r="A1359" t="s">
        <v>318</v>
      </c>
      <c r="B1359" t="s">
        <v>1391</v>
      </c>
      <c r="C1359" t="s">
        <v>1413</v>
      </c>
      <c r="D1359" s="28">
        <v>7623300065591</v>
      </c>
      <c r="E1359" s="29" t="s">
        <v>371</v>
      </c>
      <c r="F1359" s="29" t="s">
        <v>372</v>
      </c>
      <c r="G1359">
        <v>13</v>
      </c>
      <c r="H1359" t="s">
        <v>1051</v>
      </c>
      <c r="I1359" t="s">
        <v>98</v>
      </c>
      <c r="J1359" t="s">
        <v>1411</v>
      </c>
      <c r="K1359" t="s">
        <v>285</v>
      </c>
      <c r="L1359" t="s">
        <v>327</v>
      </c>
    </row>
    <row r="1360" spans="1:12">
      <c r="A1360" t="s">
        <v>318</v>
      </c>
      <c r="B1360" t="s">
        <v>1391</v>
      </c>
      <c r="C1360" t="s">
        <v>440</v>
      </c>
      <c r="D1360" s="28">
        <v>7623300065592</v>
      </c>
      <c r="E1360" s="29" t="s">
        <v>371</v>
      </c>
      <c r="F1360" s="29" t="s">
        <v>372</v>
      </c>
      <c r="G1360">
        <v>13</v>
      </c>
      <c r="H1360" t="s">
        <v>1051</v>
      </c>
      <c r="I1360" t="s">
        <v>98</v>
      </c>
      <c r="J1360" t="s">
        <v>1411</v>
      </c>
      <c r="K1360" t="s">
        <v>285</v>
      </c>
      <c r="L1360" t="s">
        <v>327</v>
      </c>
    </row>
    <row r="1361" spans="1:12">
      <c r="A1361" t="s">
        <v>318</v>
      </c>
      <c r="B1361" t="s">
        <v>1391</v>
      </c>
      <c r="C1361" t="s">
        <v>1414</v>
      </c>
      <c r="D1361" s="28">
        <v>7623300065598</v>
      </c>
      <c r="E1361" s="29" t="s">
        <v>441</v>
      </c>
      <c r="F1361" s="29" t="s">
        <v>372</v>
      </c>
      <c r="G1361">
        <v>13</v>
      </c>
      <c r="H1361" t="s">
        <v>1051</v>
      </c>
      <c r="I1361" t="s">
        <v>98</v>
      </c>
      <c r="J1361" t="s">
        <v>1411</v>
      </c>
      <c r="K1361" t="s">
        <v>1226</v>
      </c>
      <c r="L1361" t="s">
        <v>327</v>
      </c>
    </row>
    <row r="1362" spans="1:12">
      <c r="A1362" t="s">
        <v>318</v>
      </c>
      <c r="B1362" t="s">
        <v>1391</v>
      </c>
      <c r="C1362" t="s">
        <v>491</v>
      </c>
      <c r="D1362" s="28">
        <v>7623300065603</v>
      </c>
      <c r="E1362" s="29" t="s">
        <v>371</v>
      </c>
      <c r="F1362" s="29" t="s">
        <v>372</v>
      </c>
      <c r="G1362">
        <v>13</v>
      </c>
      <c r="H1362" t="s">
        <v>1051</v>
      </c>
      <c r="I1362" t="s">
        <v>98</v>
      </c>
      <c r="J1362" t="s">
        <v>1411</v>
      </c>
      <c r="K1362" t="s">
        <v>285</v>
      </c>
      <c r="L1362" t="s">
        <v>327</v>
      </c>
    </row>
    <row r="1363" spans="1:12">
      <c r="A1363" t="s">
        <v>318</v>
      </c>
      <c r="B1363" t="s">
        <v>1391</v>
      </c>
      <c r="C1363" t="s">
        <v>494</v>
      </c>
      <c r="D1363" s="28">
        <v>7623300065604</v>
      </c>
      <c r="E1363" s="29" t="s">
        <v>371</v>
      </c>
      <c r="F1363" s="29" t="s">
        <v>372</v>
      </c>
      <c r="G1363">
        <v>13</v>
      </c>
      <c r="H1363" t="s">
        <v>1051</v>
      </c>
      <c r="I1363" t="s">
        <v>98</v>
      </c>
      <c r="J1363" t="s">
        <v>1411</v>
      </c>
      <c r="K1363" t="s">
        <v>285</v>
      </c>
      <c r="L1363" t="s">
        <v>327</v>
      </c>
    </row>
    <row r="1364" spans="1:12">
      <c r="A1364" t="s">
        <v>318</v>
      </c>
      <c r="B1364" t="s">
        <v>1391</v>
      </c>
      <c r="C1364" t="s">
        <v>1415</v>
      </c>
      <c r="D1364" s="28">
        <v>762331147330</v>
      </c>
      <c r="E1364" s="29" t="s">
        <v>371</v>
      </c>
      <c r="F1364" s="29" t="s">
        <v>372</v>
      </c>
      <c r="G1364">
        <v>13</v>
      </c>
      <c r="H1364" t="s">
        <v>1051</v>
      </c>
      <c r="I1364" t="s">
        <v>98</v>
      </c>
      <c r="J1364" t="s">
        <v>1411</v>
      </c>
      <c r="K1364" t="s">
        <v>285</v>
      </c>
      <c r="L1364" t="s">
        <v>327</v>
      </c>
    </row>
    <row r="1365" spans="1:12">
      <c r="A1365" t="s">
        <v>318</v>
      </c>
      <c r="B1365" t="s">
        <v>1391</v>
      </c>
      <c r="C1365" t="s">
        <v>718</v>
      </c>
      <c r="D1365" s="28">
        <v>762331147332</v>
      </c>
      <c r="E1365" s="29" t="s">
        <v>371</v>
      </c>
      <c r="F1365" s="29" t="s">
        <v>372</v>
      </c>
      <c r="G1365">
        <v>13</v>
      </c>
      <c r="H1365" t="s">
        <v>1051</v>
      </c>
      <c r="I1365" t="s">
        <v>98</v>
      </c>
      <c r="J1365" t="s">
        <v>1411</v>
      </c>
      <c r="K1365" t="s">
        <v>1226</v>
      </c>
      <c r="L1365" t="s">
        <v>327</v>
      </c>
    </row>
    <row r="1366" spans="1:12">
      <c r="A1366" t="s">
        <v>318</v>
      </c>
      <c r="B1366" t="s">
        <v>1391</v>
      </c>
      <c r="C1366" t="s">
        <v>1416</v>
      </c>
      <c r="D1366" s="28">
        <v>762331147333</v>
      </c>
      <c r="E1366" s="29" t="s">
        <v>371</v>
      </c>
      <c r="F1366" s="29" t="s">
        <v>372</v>
      </c>
      <c r="G1366">
        <v>13</v>
      </c>
      <c r="H1366" t="s">
        <v>323</v>
      </c>
      <c r="I1366" t="s">
        <v>45</v>
      </c>
      <c r="J1366" t="s">
        <v>1411</v>
      </c>
      <c r="K1366" t="s">
        <v>1226</v>
      </c>
      <c r="L1366" t="s">
        <v>327</v>
      </c>
    </row>
    <row r="1367" spans="1:12">
      <c r="A1367" t="s">
        <v>318</v>
      </c>
      <c r="B1367" t="s">
        <v>1391</v>
      </c>
      <c r="C1367" t="s">
        <v>1417</v>
      </c>
      <c r="D1367" s="28">
        <v>762331147336</v>
      </c>
      <c r="E1367" s="29" t="s">
        <v>371</v>
      </c>
      <c r="F1367" s="29" t="s">
        <v>372</v>
      </c>
      <c r="G1367">
        <v>10</v>
      </c>
      <c r="H1367" t="s">
        <v>1051</v>
      </c>
      <c r="I1367" t="s">
        <v>98</v>
      </c>
      <c r="J1367" t="s">
        <v>1411</v>
      </c>
      <c r="K1367" t="s">
        <v>1226</v>
      </c>
      <c r="L1367" t="s">
        <v>327</v>
      </c>
    </row>
    <row r="1368" spans="1:12">
      <c r="A1368" t="s">
        <v>318</v>
      </c>
      <c r="B1368" t="s">
        <v>1391</v>
      </c>
      <c r="C1368" t="s">
        <v>1418</v>
      </c>
      <c r="D1368" s="28">
        <v>762331147343</v>
      </c>
      <c r="E1368" s="29" t="s">
        <v>371</v>
      </c>
      <c r="F1368" s="29" t="s">
        <v>372</v>
      </c>
      <c r="G1368">
        <v>12</v>
      </c>
      <c r="H1368" t="s">
        <v>1051</v>
      </c>
      <c r="I1368" t="s">
        <v>98</v>
      </c>
      <c r="J1368" t="s">
        <v>1411</v>
      </c>
      <c r="K1368" t="s">
        <v>1226</v>
      </c>
      <c r="L1368" t="s">
        <v>327</v>
      </c>
    </row>
    <row r="1369" spans="1:12">
      <c r="A1369" t="s">
        <v>318</v>
      </c>
      <c r="B1369" t="s">
        <v>1391</v>
      </c>
      <c r="C1369" t="s">
        <v>1419</v>
      </c>
      <c r="D1369" s="28">
        <v>762331147349</v>
      </c>
      <c r="E1369" s="29" t="s">
        <v>441</v>
      </c>
      <c r="F1369" s="29" t="s">
        <v>372</v>
      </c>
      <c r="G1369">
        <v>6</v>
      </c>
      <c r="H1369" t="s">
        <v>1051</v>
      </c>
      <c r="I1369" t="s">
        <v>98</v>
      </c>
      <c r="J1369" t="s">
        <v>1411</v>
      </c>
      <c r="K1369" t="s">
        <v>285</v>
      </c>
      <c r="L1369" t="s">
        <v>327</v>
      </c>
    </row>
    <row r="1370" spans="1:12">
      <c r="A1370" t="s">
        <v>318</v>
      </c>
      <c r="B1370" t="s">
        <v>1391</v>
      </c>
      <c r="C1370" t="s">
        <v>1420</v>
      </c>
      <c r="D1370" s="28">
        <v>7600100034480</v>
      </c>
      <c r="E1370" s="29" t="s">
        <v>371</v>
      </c>
      <c r="F1370" s="29" t="s">
        <v>372</v>
      </c>
      <c r="G1370">
        <v>12</v>
      </c>
      <c r="H1370" t="s">
        <v>1051</v>
      </c>
      <c r="I1370" t="s">
        <v>98</v>
      </c>
      <c r="J1370" t="s">
        <v>185</v>
      </c>
      <c r="K1370" t="s">
        <v>285</v>
      </c>
      <c r="L1370" t="s">
        <v>327</v>
      </c>
    </row>
    <row r="1371" spans="1:12">
      <c r="A1371" t="s">
        <v>318</v>
      </c>
      <c r="B1371" t="s">
        <v>1391</v>
      </c>
      <c r="C1371" t="s">
        <v>383</v>
      </c>
      <c r="D1371" s="28">
        <v>7600100034513</v>
      </c>
      <c r="E1371" s="29" t="s">
        <v>371</v>
      </c>
      <c r="F1371" s="29" t="s">
        <v>372</v>
      </c>
      <c r="G1371">
        <v>48</v>
      </c>
      <c r="H1371" t="s">
        <v>1051</v>
      </c>
      <c r="I1371" t="s">
        <v>45</v>
      </c>
      <c r="J1371" t="s">
        <v>185</v>
      </c>
      <c r="K1371" t="s">
        <v>285</v>
      </c>
      <c r="L1371" t="s">
        <v>327</v>
      </c>
    </row>
    <row r="1372" spans="1:12">
      <c r="A1372" t="s">
        <v>318</v>
      </c>
      <c r="B1372" t="s">
        <v>1391</v>
      </c>
      <c r="C1372" t="s">
        <v>575</v>
      </c>
      <c r="D1372" s="28">
        <v>7600100034516</v>
      </c>
      <c r="E1372" s="29" t="s">
        <v>371</v>
      </c>
      <c r="F1372" s="29" t="s">
        <v>372</v>
      </c>
      <c r="G1372">
        <v>13</v>
      </c>
      <c r="H1372" t="s">
        <v>1051</v>
      </c>
      <c r="I1372" t="s">
        <v>98</v>
      </c>
      <c r="J1372" t="s">
        <v>185</v>
      </c>
      <c r="K1372" t="s">
        <v>285</v>
      </c>
      <c r="L1372" t="s">
        <v>327</v>
      </c>
    </row>
    <row r="1373" spans="1:12">
      <c r="A1373" t="s">
        <v>318</v>
      </c>
      <c r="B1373" t="s">
        <v>1391</v>
      </c>
      <c r="C1373" t="s">
        <v>554</v>
      </c>
      <c r="D1373" s="28">
        <v>7600100034518</v>
      </c>
      <c r="E1373" s="29" t="s">
        <v>371</v>
      </c>
      <c r="F1373" s="29" t="s">
        <v>372</v>
      </c>
      <c r="G1373">
        <v>13</v>
      </c>
      <c r="H1373" t="s">
        <v>1051</v>
      </c>
      <c r="I1373" t="s">
        <v>98</v>
      </c>
      <c r="J1373" t="s">
        <v>185</v>
      </c>
      <c r="K1373" t="s">
        <v>285</v>
      </c>
      <c r="L1373" t="s">
        <v>327</v>
      </c>
    </row>
    <row r="1374" spans="1:12">
      <c r="A1374" t="s">
        <v>318</v>
      </c>
      <c r="B1374" t="s">
        <v>1391</v>
      </c>
      <c r="C1374" t="s">
        <v>1182</v>
      </c>
      <c r="D1374" s="28">
        <v>7600100034524</v>
      </c>
      <c r="E1374" s="29" t="s">
        <v>371</v>
      </c>
      <c r="F1374" s="29" t="s">
        <v>372</v>
      </c>
      <c r="G1374">
        <v>13</v>
      </c>
      <c r="H1374" t="s">
        <v>1051</v>
      </c>
      <c r="I1374" t="s">
        <v>98</v>
      </c>
      <c r="J1374" t="s">
        <v>185</v>
      </c>
      <c r="K1374" t="s">
        <v>285</v>
      </c>
      <c r="L1374" t="s">
        <v>327</v>
      </c>
    </row>
    <row r="1375" spans="1:12">
      <c r="A1375" t="s">
        <v>318</v>
      </c>
      <c r="B1375" t="s">
        <v>1391</v>
      </c>
      <c r="C1375" t="s">
        <v>351</v>
      </c>
      <c r="D1375" s="28">
        <v>7600100034525</v>
      </c>
      <c r="E1375" s="29" t="s">
        <v>371</v>
      </c>
      <c r="F1375" s="29" t="s">
        <v>372</v>
      </c>
      <c r="G1375">
        <v>13</v>
      </c>
      <c r="H1375" t="s">
        <v>1051</v>
      </c>
      <c r="I1375" t="s">
        <v>98</v>
      </c>
      <c r="J1375" t="s">
        <v>185</v>
      </c>
      <c r="K1375" t="s">
        <v>285</v>
      </c>
      <c r="L1375" t="s">
        <v>327</v>
      </c>
    </row>
    <row r="1376" spans="1:12">
      <c r="A1376" t="s">
        <v>318</v>
      </c>
      <c r="B1376" t="s">
        <v>1391</v>
      </c>
      <c r="C1376" t="s">
        <v>1421</v>
      </c>
      <c r="D1376" s="28">
        <v>7600100034528</v>
      </c>
      <c r="E1376" s="29" t="s">
        <v>371</v>
      </c>
      <c r="F1376" s="29" t="s">
        <v>372</v>
      </c>
      <c r="G1376">
        <v>13</v>
      </c>
      <c r="H1376" t="s">
        <v>1051</v>
      </c>
      <c r="I1376" t="s">
        <v>98</v>
      </c>
      <c r="J1376" t="s">
        <v>185</v>
      </c>
      <c r="K1376" t="s">
        <v>285</v>
      </c>
      <c r="L1376" t="s">
        <v>327</v>
      </c>
    </row>
    <row r="1377" spans="1:12">
      <c r="A1377" t="s">
        <v>318</v>
      </c>
      <c r="B1377" t="s">
        <v>1391</v>
      </c>
      <c r="C1377" t="s">
        <v>1083</v>
      </c>
      <c r="D1377" s="28">
        <v>7600100035923</v>
      </c>
      <c r="E1377" s="29" t="s">
        <v>371</v>
      </c>
      <c r="F1377" s="29" t="s">
        <v>372</v>
      </c>
      <c r="G1377">
        <v>13</v>
      </c>
      <c r="H1377" t="s">
        <v>1051</v>
      </c>
      <c r="I1377" t="s">
        <v>98</v>
      </c>
      <c r="J1377" t="s">
        <v>185</v>
      </c>
      <c r="K1377" t="s">
        <v>285</v>
      </c>
      <c r="L1377" t="s">
        <v>327</v>
      </c>
    </row>
    <row r="1378" spans="1:12">
      <c r="A1378" t="s">
        <v>318</v>
      </c>
      <c r="B1378" t="s">
        <v>1391</v>
      </c>
      <c r="C1378" t="s">
        <v>727</v>
      </c>
      <c r="D1378" s="28">
        <v>7600100035957</v>
      </c>
      <c r="E1378" s="29" t="s">
        <v>1045</v>
      </c>
      <c r="F1378" s="29" t="s">
        <v>372</v>
      </c>
      <c r="G1378">
        <v>13</v>
      </c>
      <c r="H1378" t="s">
        <v>1051</v>
      </c>
      <c r="I1378" t="s">
        <v>98</v>
      </c>
      <c r="J1378" t="s">
        <v>185</v>
      </c>
      <c r="K1378" t="s">
        <v>285</v>
      </c>
      <c r="L1378" t="s">
        <v>327</v>
      </c>
    </row>
    <row r="1379" spans="1:12">
      <c r="A1379" t="s">
        <v>318</v>
      </c>
      <c r="B1379" t="s">
        <v>1391</v>
      </c>
      <c r="C1379" t="s">
        <v>377</v>
      </c>
      <c r="D1379" s="28">
        <v>7600100037176</v>
      </c>
      <c r="E1379" s="29" t="s">
        <v>371</v>
      </c>
      <c r="F1379" s="29" t="s">
        <v>372</v>
      </c>
      <c r="G1379">
        <v>13</v>
      </c>
      <c r="H1379" t="s">
        <v>1051</v>
      </c>
      <c r="I1379" t="s">
        <v>98</v>
      </c>
      <c r="J1379" t="s">
        <v>185</v>
      </c>
      <c r="K1379" t="s">
        <v>1226</v>
      </c>
      <c r="L1379" t="s">
        <v>327</v>
      </c>
    </row>
    <row r="1380" spans="1:12">
      <c r="A1380" t="s">
        <v>318</v>
      </c>
      <c r="B1380" t="s">
        <v>1391</v>
      </c>
      <c r="C1380" t="s">
        <v>446</v>
      </c>
      <c r="D1380" s="28">
        <v>7600100037283</v>
      </c>
      <c r="E1380" s="29" t="s">
        <v>371</v>
      </c>
      <c r="F1380" s="29" t="s">
        <v>372</v>
      </c>
      <c r="G1380">
        <v>13</v>
      </c>
      <c r="H1380" t="s">
        <v>1051</v>
      </c>
      <c r="I1380" t="s">
        <v>98</v>
      </c>
      <c r="J1380" t="s">
        <v>185</v>
      </c>
      <c r="K1380" t="s">
        <v>1226</v>
      </c>
      <c r="L1380" t="s">
        <v>327</v>
      </c>
    </row>
    <row r="1381" spans="1:12">
      <c r="A1381" t="s">
        <v>318</v>
      </c>
      <c r="B1381" t="s">
        <v>1391</v>
      </c>
      <c r="C1381" t="s">
        <v>1422</v>
      </c>
      <c r="D1381" s="28">
        <v>7600100040211</v>
      </c>
      <c r="E1381" s="29" t="s">
        <v>371</v>
      </c>
      <c r="F1381" s="29" t="s">
        <v>372</v>
      </c>
      <c r="G1381">
        <v>13</v>
      </c>
      <c r="H1381" t="s">
        <v>1051</v>
      </c>
      <c r="I1381" t="s">
        <v>98</v>
      </c>
      <c r="J1381" t="s">
        <v>185</v>
      </c>
      <c r="K1381" t="s">
        <v>285</v>
      </c>
      <c r="L1381" t="s">
        <v>327</v>
      </c>
    </row>
    <row r="1382" spans="1:12">
      <c r="A1382" t="s">
        <v>318</v>
      </c>
      <c r="B1382" t="s">
        <v>1391</v>
      </c>
      <c r="C1382" t="s">
        <v>1423</v>
      </c>
      <c r="D1382" s="28">
        <v>7600100047552</v>
      </c>
      <c r="E1382" s="29" t="s">
        <v>371</v>
      </c>
      <c r="F1382" s="29" t="s">
        <v>372</v>
      </c>
      <c r="G1382">
        <v>13</v>
      </c>
      <c r="H1382" t="s">
        <v>1051</v>
      </c>
      <c r="I1382" t="s">
        <v>98</v>
      </c>
      <c r="J1382" t="s">
        <v>185</v>
      </c>
      <c r="K1382" t="s">
        <v>285</v>
      </c>
      <c r="L1382" t="s">
        <v>327</v>
      </c>
    </row>
    <row r="1383" spans="1:12">
      <c r="A1383" t="s">
        <v>318</v>
      </c>
      <c r="B1383" t="s">
        <v>1391</v>
      </c>
      <c r="C1383" t="s">
        <v>1162</v>
      </c>
      <c r="D1383" s="28">
        <v>7600100047569</v>
      </c>
      <c r="E1383" s="29" t="s">
        <v>371</v>
      </c>
      <c r="F1383" s="29" t="s">
        <v>372</v>
      </c>
      <c r="G1383">
        <v>13</v>
      </c>
      <c r="H1383" t="s">
        <v>1051</v>
      </c>
      <c r="I1383" t="s">
        <v>98</v>
      </c>
      <c r="J1383" t="s">
        <v>185</v>
      </c>
      <c r="K1383" t="s">
        <v>285</v>
      </c>
      <c r="L1383" t="s">
        <v>327</v>
      </c>
    </row>
    <row r="1384" spans="1:12">
      <c r="A1384" t="s">
        <v>318</v>
      </c>
      <c r="B1384" t="s">
        <v>1391</v>
      </c>
      <c r="C1384" t="s">
        <v>855</v>
      </c>
      <c r="D1384" s="28">
        <v>760011121900</v>
      </c>
      <c r="E1384" s="29" t="s">
        <v>371</v>
      </c>
      <c r="F1384" s="29" t="s">
        <v>372</v>
      </c>
      <c r="G1384">
        <v>13</v>
      </c>
      <c r="H1384" t="s">
        <v>1051</v>
      </c>
      <c r="I1384" t="s">
        <v>98</v>
      </c>
      <c r="J1384" t="s">
        <v>185</v>
      </c>
      <c r="K1384" t="s">
        <v>285</v>
      </c>
      <c r="L1384" t="s">
        <v>327</v>
      </c>
    </row>
    <row r="1385" spans="1:12">
      <c r="A1385" t="s">
        <v>318</v>
      </c>
      <c r="B1385" t="s">
        <v>1391</v>
      </c>
      <c r="C1385" t="s">
        <v>1292</v>
      </c>
      <c r="D1385" s="28">
        <v>760011122511</v>
      </c>
      <c r="E1385" s="29" t="s">
        <v>371</v>
      </c>
      <c r="F1385" s="29" t="s">
        <v>372</v>
      </c>
      <c r="G1385">
        <v>13</v>
      </c>
      <c r="H1385" t="s">
        <v>1051</v>
      </c>
      <c r="I1385" t="s">
        <v>98</v>
      </c>
      <c r="J1385" t="s">
        <v>185</v>
      </c>
      <c r="K1385" t="s">
        <v>1226</v>
      </c>
      <c r="L1385" t="s">
        <v>327</v>
      </c>
    </row>
    <row r="1386" spans="1:12">
      <c r="A1386" t="s">
        <v>318</v>
      </c>
      <c r="B1386" t="s">
        <v>1391</v>
      </c>
      <c r="C1386" t="s">
        <v>1410</v>
      </c>
      <c r="D1386" s="28">
        <v>7600100028672</v>
      </c>
      <c r="E1386" s="29" t="s">
        <v>371</v>
      </c>
      <c r="F1386" s="29" t="s">
        <v>372</v>
      </c>
      <c r="G1386">
        <v>10</v>
      </c>
      <c r="H1386" t="s">
        <v>1051</v>
      </c>
      <c r="I1386" t="s">
        <v>98</v>
      </c>
      <c r="J1386" t="s">
        <v>185</v>
      </c>
      <c r="K1386" t="s">
        <v>285</v>
      </c>
      <c r="L1386" t="s">
        <v>327</v>
      </c>
    </row>
    <row r="1387" spans="1:12">
      <c r="A1387" t="s">
        <v>318</v>
      </c>
      <c r="B1387" t="s">
        <v>1391</v>
      </c>
      <c r="C1387" t="s">
        <v>1424</v>
      </c>
      <c r="D1387" s="28">
        <v>7600100036373</v>
      </c>
      <c r="E1387" s="29" t="s">
        <v>371</v>
      </c>
      <c r="F1387" s="29" t="s">
        <v>372</v>
      </c>
      <c r="G1387">
        <v>10</v>
      </c>
      <c r="H1387" t="s">
        <v>1051</v>
      </c>
      <c r="I1387" t="s">
        <v>98</v>
      </c>
      <c r="J1387" t="s">
        <v>185</v>
      </c>
      <c r="K1387" t="s">
        <v>285</v>
      </c>
      <c r="L1387" t="s">
        <v>327</v>
      </c>
    </row>
    <row r="1388" spans="1:12">
      <c r="A1388" t="s">
        <v>318</v>
      </c>
      <c r="B1388" t="s">
        <v>1391</v>
      </c>
      <c r="C1388" t="s">
        <v>1425</v>
      </c>
      <c r="D1388" s="28">
        <v>7600100036391</v>
      </c>
      <c r="E1388" s="29" t="s">
        <v>371</v>
      </c>
      <c r="F1388" s="29" t="s">
        <v>372</v>
      </c>
      <c r="G1388">
        <v>11</v>
      </c>
      <c r="H1388" t="s">
        <v>1051</v>
      </c>
      <c r="I1388" t="s">
        <v>98</v>
      </c>
      <c r="J1388" t="s">
        <v>185</v>
      </c>
      <c r="K1388" t="s">
        <v>285</v>
      </c>
      <c r="L1388" t="s">
        <v>327</v>
      </c>
    </row>
    <row r="1389" spans="1:12">
      <c r="A1389" t="s">
        <v>318</v>
      </c>
      <c r="B1389" t="s">
        <v>1391</v>
      </c>
      <c r="C1389" t="s">
        <v>1426</v>
      </c>
      <c r="D1389" s="28">
        <v>7600100036399</v>
      </c>
      <c r="E1389" s="29" t="s">
        <v>371</v>
      </c>
      <c r="F1389" s="29" t="s">
        <v>372</v>
      </c>
      <c r="G1389">
        <v>13</v>
      </c>
      <c r="H1389" t="s">
        <v>1051</v>
      </c>
      <c r="I1389" t="s">
        <v>98</v>
      </c>
      <c r="J1389" t="s">
        <v>185</v>
      </c>
      <c r="K1389" t="s">
        <v>285</v>
      </c>
      <c r="L1389" t="s">
        <v>327</v>
      </c>
    </row>
    <row r="1390" spans="1:12">
      <c r="A1390" t="s">
        <v>318</v>
      </c>
      <c r="B1390" t="s">
        <v>1391</v>
      </c>
      <c r="C1390" t="s">
        <v>1302</v>
      </c>
      <c r="D1390" s="28">
        <v>7600100036433</v>
      </c>
      <c r="E1390" s="29" t="s">
        <v>371</v>
      </c>
      <c r="F1390" s="29" t="s">
        <v>372</v>
      </c>
      <c r="G1390">
        <v>11</v>
      </c>
      <c r="H1390" t="s">
        <v>1051</v>
      </c>
      <c r="I1390" t="s">
        <v>98</v>
      </c>
      <c r="J1390" t="s">
        <v>185</v>
      </c>
      <c r="K1390" t="s">
        <v>285</v>
      </c>
      <c r="L1390" t="s">
        <v>327</v>
      </c>
    </row>
    <row r="1391" spans="1:12">
      <c r="A1391" t="s">
        <v>318</v>
      </c>
      <c r="B1391" t="s">
        <v>1391</v>
      </c>
      <c r="C1391" t="s">
        <v>1427</v>
      </c>
      <c r="D1391" s="28">
        <v>7600100037258</v>
      </c>
      <c r="E1391" s="29" t="s">
        <v>371</v>
      </c>
      <c r="F1391" s="29" t="s">
        <v>372</v>
      </c>
      <c r="G1391">
        <v>12</v>
      </c>
      <c r="H1391" t="s">
        <v>1051</v>
      </c>
      <c r="I1391" t="s">
        <v>98</v>
      </c>
      <c r="J1391" t="s">
        <v>185</v>
      </c>
      <c r="K1391" t="s">
        <v>1226</v>
      </c>
      <c r="L1391" t="s">
        <v>327</v>
      </c>
    </row>
    <row r="1392" spans="1:12">
      <c r="A1392" t="s">
        <v>318</v>
      </c>
      <c r="B1392" t="s">
        <v>1391</v>
      </c>
      <c r="C1392" t="s">
        <v>1428</v>
      </c>
      <c r="D1392" s="28">
        <v>7600100037272</v>
      </c>
      <c r="E1392" s="29" t="s">
        <v>371</v>
      </c>
      <c r="F1392" s="29" t="s">
        <v>372</v>
      </c>
      <c r="G1392">
        <v>12</v>
      </c>
      <c r="H1392" t="s">
        <v>1051</v>
      </c>
      <c r="I1392" t="s">
        <v>98</v>
      </c>
      <c r="J1392" t="s">
        <v>185</v>
      </c>
      <c r="K1392" t="s">
        <v>1226</v>
      </c>
      <c r="L1392" t="s">
        <v>327</v>
      </c>
    </row>
    <row r="1393" spans="1:12">
      <c r="A1393" t="s">
        <v>318</v>
      </c>
      <c r="B1393" t="s">
        <v>1391</v>
      </c>
      <c r="C1393" t="s">
        <v>1429</v>
      </c>
      <c r="D1393" s="28">
        <v>760011124263</v>
      </c>
      <c r="E1393" s="29" t="s">
        <v>371</v>
      </c>
      <c r="F1393" s="29" t="s">
        <v>372</v>
      </c>
      <c r="G1393">
        <v>8</v>
      </c>
      <c r="H1393" t="s">
        <v>1051</v>
      </c>
      <c r="I1393" t="s">
        <v>98</v>
      </c>
      <c r="J1393" t="s">
        <v>185</v>
      </c>
      <c r="K1393" t="s">
        <v>285</v>
      </c>
      <c r="L1393" t="s">
        <v>327</v>
      </c>
    </row>
    <row r="1394" spans="1:12">
      <c r="A1394" t="s">
        <v>318</v>
      </c>
      <c r="B1394" t="s">
        <v>1391</v>
      </c>
      <c r="C1394" t="s">
        <v>439</v>
      </c>
      <c r="D1394" s="28">
        <v>7600100023216</v>
      </c>
      <c r="E1394" s="29" t="s">
        <v>371</v>
      </c>
      <c r="F1394" s="29" t="s">
        <v>372</v>
      </c>
      <c r="G1394">
        <v>10</v>
      </c>
      <c r="H1394" t="s">
        <v>323</v>
      </c>
      <c r="I1394" t="s">
        <v>45</v>
      </c>
      <c r="J1394" t="s">
        <v>185</v>
      </c>
      <c r="K1394" t="s">
        <v>285</v>
      </c>
    </row>
    <row r="1395" spans="1:12">
      <c r="A1395" t="s">
        <v>318</v>
      </c>
      <c r="B1395" t="s">
        <v>1391</v>
      </c>
      <c r="C1395" t="s">
        <v>1430</v>
      </c>
      <c r="D1395" s="28">
        <v>7600100023290</v>
      </c>
      <c r="E1395" s="29" t="s">
        <v>371</v>
      </c>
      <c r="F1395" s="29" t="s">
        <v>372</v>
      </c>
      <c r="G1395">
        <v>7</v>
      </c>
      <c r="H1395" t="s">
        <v>323</v>
      </c>
      <c r="I1395" t="s">
        <v>98</v>
      </c>
      <c r="J1395" t="s">
        <v>185</v>
      </c>
      <c r="K1395" t="s">
        <v>1226</v>
      </c>
    </row>
    <row r="1396" spans="1:12">
      <c r="A1396" t="s">
        <v>318</v>
      </c>
      <c r="B1396" t="s">
        <v>1391</v>
      </c>
      <c r="C1396" t="s">
        <v>1408</v>
      </c>
      <c r="D1396" s="28">
        <v>7600100023520</v>
      </c>
      <c r="E1396" s="29" t="s">
        <v>371</v>
      </c>
      <c r="F1396" s="29" t="s">
        <v>372</v>
      </c>
      <c r="G1396">
        <v>12</v>
      </c>
      <c r="H1396" t="s">
        <v>323</v>
      </c>
      <c r="I1396" t="s">
        <v>45</v>
      </c>
      <c r="J1396" t="s">
        <v>185</v>
      </c>
      <c r="K1396" t="s">
        <v>285</v>
      </c>
    </row>
    <row r="1397" spans="1:12">
      <c r="A1397" t="s">
        <v>318</v>
      </c>
      <c r="B1397" t="s">
        <v>1391</v>
      </c>
      <c r="C1397" t="s">
        <v>602</v>
      </c>
      <c r="D1397" s="28">
        <v>7600100023679</v>
      </c>
      <c r="E1397" s="29" t="s">
        <v>371</v>
      </c>
      <c r="F1397" s="29" t="s">
        <v>372</v>
      </c>
      <c r="G1397">
        <v>4</v>
      </c>
      <c r="H1397" t="s">
        <v>1051</v>
      </c>
      <c r="I1397" t="s">
        <v>98</v>
      </c>
      <c r="J1397" t="s">
        <v>185</v>
      </c>
      <c r="K1397" t="s">
        <v>285</v>
      </c>
    </row>
    <row r="1398" spans="1:12">
      <c r="A1398" t="s">
        <v>318</v>
      </c>
      <c r="B1398" t="s">
        <v>1391</v>
      </c>
      <c r="C1398" t="s">
        <v>1431</v>
      </c>
      <c r="D1398" s="28">
        <v>7600100023837</v>
      </c>
      <c r="E1398" s="29" t="s">
        <v>371</v>
      </c>
      <c r="F1398" s="29" t="s">
        <v>372</v>
      </c>
      <c r="G1398">
        <v>12</v>
      </c>
      <c r="H1398" t="s">
        <v>323</v>
      </c>
      <c r="I1398" t="s">
        <v>45</v>
      </c>
      <c r="J1398" t="s">
        <v>185</v>
      </c>
      <c r="K1398" t="s">
        <v>285</v>
      </c>
    </row>
    <row r="1399" spans="1:12">
      <c r="A1399" t="s">
        <v>318</v>
      </c>
      <c r="B1399" t="s">
        <v>1391</v>
      </c>
      <c r="C1399" t="s">
        <v>1321</v>
      </c>
      <c r="D1399" s="28">
        <v>7600100028530</v>
      </c>
      <c r="E1399" s="29" t="s">
        <v>371</v>
      </c>
      <c r="F1399" s="29" t="s">
        <v>372</v>
      </c>
      <c r="G1399">
        <v>12</v>
      </c>
      <c r="H1399" t="s">
        <v>323</v>
      </c>
      <c r="I1399" t="s">
        <v>98</v>
      </c>
      <c r="J1399" t="s">
        <v>185</v>
      </c>
      <c r="K1399" t="s">
        <v>285</v>
      </c>
    </row>
    <row r="1400" spans="1:12">
      <c r="A1400" t="s">
        <v>318</v>
      </c>
      <c r="B1400" t="s">
        <v>1391</v>
      </c>
      <c r="C1400" t="s">
        <v>777</v>
      </c>
      <c r="D1400" s="28">
        <v>7600100028644</v>
      </c>
      <c r="E1400" s="29" t="s">
        <v>371</v>
      </c>
      <c r="F1400" s="29" t="s">
        <v>372</v>
      </c>
      <c r="G1400">
        <v>11</v>
      </c>
      <c r="H1400" t="s">
        <v>323</v>
      </c>
      <c r="I1400" t="s">
        <v>98</v>
      </c>
      <c r="J1400" t="s">
        <v>185</v>
      </c>
      <c r="K1400" t="s">
        <v>285</v>
      </c>
    </row>
    <row r="1401" spans="1:12">
      <c r="A1401" t="s">
        <v>318</v>
      </c>
      <c r="B1401" t="s">
        <v>1391</v>
      </c>
      <c r="C1401" t="s">
        <v>713</v>
      </c>
      <c r="D1401" s="28">
        <v>7600100028696</v>
      </c>
      <c r="E1401" s="29" t="s">
        <v>371</v>
      </c>
      <c r="F1401" s="29" t="s">
        <v>372</v>
      </c>
      <c r="G1401">
        <v>12</v>
      </c>
      <c r="H1401" t="s">
        <v>323</v>
      </c>
      <c r="I1401" t="s">
        <v>98</v>
      </c>
      <c r="J1401" t="s">
        <v>185</v>
      </c>
      <c r="K1401" t="s">
        <v>285</v>
      </c>
    </row>
    <row r="1402" spans="1:12">
      <c r="A1402" t="s">
        <v>318</v>
      </c>
      <c r="B1402" t="s">
        <v>1391</v>
      </c>
      <c r="C1402" t="s">
        <v>493</v>
      </c>
      <c r="D1402" s="28">
        <v>7600100028786</v>
      </c>
      <c r="E1402" s="29" t="s">
        <v>371</v>
      </c>
      <c r="F1402" s="29" t="s">
        <v>372</v>
      </c>
      <c r="G1402">
        <v>13</v>
      </c>
      <c r="H1402" t="s">
        <v>323</v>
      </c>
      <c r="I1402" t="s">
        <v>98</v>
      </c>
      <c r="J1402" t="s">
        <v>185</v>
      </c>
      <c r="K1402" t="s">
        <v>1226</v>
      </c>
    </row>
    <row r="1403" spans="1:12">
      <c r="A1403" t="s">
        <v>318</v>
      </c>
      <c r="B1403" t="s">
        <v>1391</v>
      </c>
      <c r="C1403" t="s">
        <v>1432</v>
      </c>
      <c r="D1403" s="28">
        <v>7600100028854</v>
      </c>
      <c r="E1403" s="29" t="s">
        <v>371</v>
      </c>
      <c r="F1403" s="29" t="s">
        <v>372</v>
      </c>
      <c r="G1403">
        <v>13</v>
      </c>
      <c r="H1403" t="s">
        <v>323</v>
      </c>
      <c r="I1403" t="s">
        <v>45</v>
      </c>
      <c r="J1403" t="s">
        <v>185</v>
      </c>
      <c r="K1403" t="s">
        <v>1226</v>
      </c>
    </row>
    <row r="1404" spans="1:12">
      <c r="A1404" t="s">
        <v>318</v>
      </c>
      <c r="B1404" t="s">
        <v>1391</v>
      </c>
      <c r="C1404" t="s">
        <v>1433</v>
      </c>
      <c r="D1404" s="28">
        <v>7600100037138</v>
      </c>
      <c r="E1404" s="29" t="s">
        <v>371</v>
      </c>
      <c r="F1404" s="29" t="s">
        <v>372</v>
      </c>
      <c r="G1404">
        <v>9</v>
      </c>
      <c r="H1404" t="s">
        <v>323</v>
      </c>
      <c r="I1404" t="s">
        <v>98</v>
      </c>
      <c r="J1404" t="s">
        <v>185</v>
      </c>
      <c r="K1404" t="s">
        <v>285</v>
      </c>
    </row>
    <row r="1405" spans="1:12">
      <c r="A1405" t="s">
        <v>318</v>
      </c>
      <c r="B1405" t="s">
        <v>1391</v>
      </c>
      <c r="C1405" t="s">
        <v>1434</v>
      </c>
      <c r="D1405" s="28">
        <v>7600100037205</v>
      </c>
      <c r="E1405" s="29" t="s">
        <v>371</v>
      </c>
      <c r="F1405" s="29" t="s">
        <v>372</v>
      </c>
      <c r="G1405">
        <v>13</v>
      </c>
      <c r="H1405" t="s">
        <v>323</v>
      </c>
      <c r="I1405" t="s">
        <v>98</v>
      </c>
      <c r="J1405" t="s">
        <v>185</v>
      </c>
      <c r="K1405" t="s">
        <v>285</v>
      </c>
    </row>
    <row r="1406" spans="1:12">
      <c r="A1406" t="s">
        <v>318</v>
      </c>
      <c r="B1406" t="s">
        <v>1391</v>
      </c>
      <c r="C1406" t="s">
        <v>1435</v>
      </c>
      <c r="D1406" s="28">
        <v>7600100037242</v>
      </c>
      <c r="E1406" s="29" t="s">
        <v>371</v>
      </c>
      <c r="F1406" s="29" t="s">
        <v>372</v>
      </c>
      <c r="G1406">
        <v>9</v>
      </c>
      <c r="H1406" t="s">
        <v>323</v>
      </c>
      <c r="I1406" t="s">
        <v>98</v>
      </c>
      <c r="J1406" t="s">
        <v>185</v>
      </c>
      <c r="K1406" t="s">
        <v>1226</v>
      </c>
    </row>
    <row r="1407" spans="1:12">
      <c r="A1407" t="s">
        <v>318</v>
      </c>
      <c r="B1407" t="s">
        <v>1391</v>
      </c>
      <c r="C1407" t="s">
        <v>575</v>
      </c>
      <c r="D1407" s="28">
        <v>7600100037266</v>
      </c>
      <c r="E1407" s="29" t="s">
        <v>371</v>
      </c>
      <c r="F1407" s="29" t="s">
        <v>372</v>
      </c>
      <c r="G1407">
        <v>9</v>
      </c>
      <c r="H1407" t="s">
        <v>323</v>
      </c>
      <c r="I1407" t="s">
        <v>98</v>
      </c>
      <c r="J1407" t="s">
        <v>185</v>
      </c>
      <c r="K1407" t="s">
        <v>1226</v>
      </c>
    </row>
    <row r="1408" spans="1:12">
      <c r="A1408" t="s">
        <v>318</v>
      </c>
      <c r="B1408" t="s">
        <v>1391</v>
      </c>
      <c r="C1408" t="s">
        <v>1436</v>
      </c>
      <c r="D1408" s="28">
        <v>7600100045476</v>
      </c>
      <c r="E1408" s="29" t="s">
        <v>371</v>
      </c>
      <c r="F1408" s="29" t="s">
        <v>372</v>
      </c>
      <c r="G1408">
        <v>10</v>
      </c>
      <c r="H1408" t="s">
        <v>323</v>
      </c>
      <c r="I1408" t="s">
        <v>98</v>
      </c>
      <c r="J1408" t="s">
        <v>185</v>
      </c>
      <c r="K1408" t="s">
        <v>285</v>
      </c>
    </row>
    <row r="1409" spans="1:11">
      <c r="A1409" t="s">
        <v>318</v>
      </c>
      <c r="B1409" t="s">
        <v>1391</v>
      </c>
      <c r="C1409" t="s">
        <v>1437</v>
      </c>
      <c r="D1409" s="28">
        <v>7600100045490</v>
      </c>
      <c r="E1409" s="29" t="s">
        <v>371</v>
      </c>
      <c r="F1409" s="29" t="s">
        <v>372</v>
      </c>
      <c r="G1409">
        <v>13</v>
      </c>
      <c r="H1409" t="s">
        <v>1051</v>
      </c>
      <c r="I1409" t="s">
        <v>98</v>
      </c>
      <c r="J1409" t="s">
        <v>185</v>
      </c>
      <c r="K1409" t="s">
        <v>285</v>
      </c>
    </row>
    <row r="1410" spans="1:11">
      <c r="A1410" t="s">
        <v>318</v>
      </c>
      <c r="B1410" t="s">
        <v>1391</v>
      </c>
      <c r="C1410" t="s">
        <v>1438</v>
      </c>
      <c r="D1410" s="28">
        <v>7600100046829</v>
      </c>
      <c r="E1410" s="29" t="s">
        <v>441</v>
      </c>
      <c r="F1410" s="29" t="s">
        <v>372</v>
      </c>
      <c r="G1410">
        <v>19</v>
      </c>
      <c r="H1410" t="s">
        <v>1051</v>
      </c>
      <c r="I1410" t="s">
        <v>98</v>
      </c>
      <c r="J1410" t="s">
        <v>185</v>
      </c>
      <c r="K1410" t="s">
        <v>1226</v>
      </c>
    </row>
    <row r="1411" spans="1:11">
      <c r="A1411" t="s">
        <v>318</v>
      </c>
      <c r="B1411" t="s">
        <v>1391</v>
      </c>
      <c r="C1411" t="s">
        <v>1439</v>
      </c>
      <c r="D1411" s="28">
        <v>7600100046852</v>
      </c>
      <c r="E1411" s="29" t="s">
        <v>371</v>
      </c>
      <c r="F1411" s="29" t="s">
        <v>372</v>
      </c>
      <c r="G1411">
        <v>11</v>
      </c>
      <c r="H1411" t="s">
        <v>323</v>
      </c>
      <c r="I1411" t="s">
        <v>45</v>
      </c>
      <c r="J1411" t="s">
        <v>185</v>
      </c>
      <c r="K1411" t="s">
        <v>285</v>
      </c>
    </row>
    <row r="1412" spans="1:11">
      <c r="A1412" t="s">
        <v>318</v>
      </c>
      <c r="B1412" t="s">
        <v>1391</v>
      </c>
      <c r="C1412" t="s">
        <v>940</v>
      </c>
      <c r="D1412" s="28">
        <v>7600100047560</v>
      </c>
      <c r="E1412" s="29" t="s">
        <v>371</v>
      </c>
      <c r="F1412" s="29" t="s">
        <v>372</v>
      </c>
      <c r="G1412">
        <v>0</v>
      </c>
      <c r="H1412" t="s">
        <v>1051</v>
      </c>
      <c r="I1412" t="s">
        <v>98</v>
      </c>
      <c r="J1412" t="s">
        <v>185</v>
      </c>
      <c r="K1412" t="s">
        <v>285</v>
      </c>
    </row>
    <row r="1413" spans="1:11">
      <c r="A1413" t="s">
        <v>318</v>
      </c>
      <c r="B1413" t="s">
        <v>1391</v>
      </c>
      <c r="C1413" t="s">
        <v>1440</v>
      </c>
      <c r="D1413" s="28">
        <v>7600100050241</v>
      </c>
      <c r="E1413" s="29" t="s">
        <v>371</v>
      </c>
      <c r="F1413" s="29" t="s">
        <v>372</v>
      </c>
      <c r="G1413">
        <v>10</v>
      </c>
      <c r="H1413" t="s">
        <v>323</v>
      </c>
      <c r="I1413" t="s">
        <v>45</v>
      </c>
      <c r="J1413" t="s">
        <v>185</v>
      </c>
      <c r="K1413" t="s">
        <v>285</v>
      </c>
    </row>
    <row r="1414" spans="1:11">
      <c r="A1414" t="s">
        <v>318</v>
      </c>
      <c r="B1414" t="s">
        <v>1391</v>
      </c>
      <c r="C1414" t="s">
        <v>1441</v>
      </c>
      <c r="D1414" s="28">
        <v>7600100054345</v>
      </c>
      <c r="E1414" s="29" t="s">
        <v>371</v>
      </c>
      <c r="F1414" s="29" t="s">
        <v>372</v>
      </c>
      <c r="G1414">
        <v>11</v>
      </c>
      <c r="H1414" t="s">
        <v>323</v>
      </c>
      <c r="I1414" t="s">
        <v>98</v>
      </c>
      <c r="J1414" t="s">
        <v>185</v>
      </c>
      <c r="K1414" t="s">
        <v>285</v>
      </c>
    </row>
    <row r="1415" spans="1:11">
      <c r="A1415" t="s">
        <v>318</v>
      </c>
      <c r="B1415" t="s">
        <v>1391</v>
      </c>
      <c r="C1415" t="s">
        <v>895</v>
      </c>
      <c r="D1415" s="28">
        <v>7600100060613</v>
      </c>
      <c r="E1415" s="29" t="s">
        <v>371</v>
      </c>
      <c r="F1415" s="29" t="s">
        <v>372</v>
      </c>
      <c r="G1415">
        <v>13</v>
      </c>
      <c r="H1415" t="s">
        <v>323</v>
      </c>
      <c r="I1415" t="s">
        <v>45</v>
      </c>
      <c r="J1415" t="s">
        <v>185</v>
      </c>
      <c r="K1415" t="s">
        <v>285</v>
      </c>
    </row>
    <row r="1416" spans="1:11">
      <c r="A1416" t="s">
        <v>318</v>
      </c>
      <c r="B1416" t="s">
        <v>1391</v>
      </c>
      <c r="C1416" t="s">
        <v>1442</v>
      </c>
      <c r="D1416" s="28">
        <v>7600100061629</v>
      </c>
      <c r="E1416" s="29" t="s">
        <v>371</v>
      </c>
      <c r="F1416" s="29" t="s">
        <v>372</v>
      </c>
      <c r="G1416">
        <v>12</v>
      </c>
      <c r="H1416" t="s">
        <v>323</v>
      </c>
      <c r="I1416" t="s">
        <v>98</v>
      </c>
      <c r="J1416" t="s">
        <v>185</v>
      </c>
      <c r="K1416" t="s">
        <v>285</v>
      </c>
    </row>
    <row r="1417" spans="1:11">
      <c r="A1417" t="s">
        <v>318</v>
      </c>
      <c r="B1417" t="s">
        <v>1391</v>
      </c>
      <c r="C1417" t="s">
        <v>1443</v>
      </c>
      <c r="D1417" s="28">
        <v>7600100061767</v>
      </c>
      <c r="E1417" s="29" t="s">
        <v>371</v>
      </c>
      <c r="F1417" s="29" t="s">
        <v>372</v>
      </c>
      <c r="G1417">
        <v>10</v>
      </c>
      <c r="H1417" t="s">
        <v>323</v>
      </c>
      <c r="I1417" t="s">
        <v>45</v>
      </c>
      <c r="J1417" t="s">
        <v>185</v>
      </c>
      <c r="K1417" t="s">
        <v>285</v>
      </c>
    </row>
    <row r="1418" spans="1:11">
      <c r="A1418" t="s">
        <v>318</v>
      </c>
      <c r="B1418" t="s">
        <v>1391</v>
      </c>
      <c r="C1418" t="s">
        <v>377</v>
      </c>
      <c r="D1418" s="28">
        <v>7600100065809</v>
      </c>
      <c r="E1418" s="29" t="s">
        <v>371</v>
      </c>
      <c r="F1418" s="29" t="s">
        <v>372</v>
      </c>
      <c r="G1418">
        <v>13</v>
      </c>
      <c r="H1418" t="s">
        <v>1051</v>
      </c>
      <c r="I1418" t="s">
        <v>98</v>
      </c>
      <c r="J1418" t="s">
        <v>185</v>
      </c>
      <c r="K1418" t="s">
        <v>1226</v>
      </c>
    </row>
    <row r="1419" spans="1:11">
      <c r="A1419" t="s">
        <v>318</v>
      </c>
      <c r="B1419" t="s">
        <v>1391</v>
      </c>
      <c r="C1419" t="s">
        <v>1444</v>
      </c>
      <c r="D1419" s="28">
        <v>7600100065847</v>
      </c>
      <c r="E1419" s="29" t="s">
        <v>441</v>
      </c>
      <c r="F1419" s="29" t="s">
        <v>372</v>
      </c>
      <c r="G1419">
        <v>26</v>
      </c>
      <c r="H1419" t="s">
        <v>323</v>
      </c>
      <c r="I1419" t="s">
        <v>45</v>
      </c>
      <c r="J1419" t="s">
        <v>185</v>
      </c>
      <c r="K1419" t="s">
        <v>285</v>
      </c>
    </row>
    <row r="1420" spans="1:11">
      <c r="A1420" t="s">
        <v>318</v>
      </c>
      <c r="B1420" t="s">
        <v>1391</v>
      </c>
      <c r="C1420" t="s">
        <v>1060</v>
      </c>
      <c r="D1420" s="28">
        <v>7600100110351</v>
      </c>
      <c r="E1420" s="29" t="s">
        <v>371</v>
      </c>
      <c r="F1420" s="29" t="s">
        <v>372</v>
      </c>
      <c r="G1420">
        <v>12</v>
      </c>
      <c r="H1420" t="s">
        <v>323</v>
      </c>
      <c r="I1420" t="s">
        <v>45</v>
      </c>
      <c r="J1420" t="s">
        <v>185</v>
      </c>
      <c r="K1420" t="s">
        <v>285</v>
      </c>
    </row>
    <row r="1421" spans="1:11">
      <c r="A1421" t="s">
        <v>318</v>
      </c>
      <c r="B1421" t="s">
        <v>1391</v>
      </c>
      <c r="C1421" t="s">
        <v>1445</v>
      </c>
      <c r="D1421" s="28">
        <v>760011122488</v>
      </c>
      <c r="E1421" s="29" t="s">
        <v>441</v>
      </c>
      <c r="F1421" s="29" t="s">
        <v>372</v>
      </c>
      <c r="G1421">
        <v>39</v>
      </c>
      <c r="H1421" t="s">
        <v>323</v>
      </c>
      <c r="I1421" t="s">
        <v>98</v>
      </c>
      <c r="J1421" t="s">
        <v>185</v>
      </c>
      <c r="K1421" t="s">
        <v>285</v>
      </c>
    </row>
    <row r="1422" spans="1:11">
      <c r="A1422" t="s">
        <v>318</v>
      </c>
      <c r="B1422" t="s">
        <v>1391</v>
      </c>
      <c r="C1422" t="s">
        <v>374</v>
      </c>
      <c r="D1422" s="28">
        <v>760011124854</v>
      </c>
      <c r="E1422" s="29" t="s">
        <v>371</v>
      </c>
      <c r="F1422" s="29" t="s">
        <v>372</v>
      </c>
      <c r="G1422">
        <v>13</v>
      </c>
      <c r="H1422" t="s">
        <v>323</v>
      </c>
      <c r="I1422" t="s">
        <v>98</v>
      </c>
      <c r="J1422" t="s">
        <v>185</v>
      </c>
      <c r="K1422" t="s">
        <v>285</v>
      </c>
    </row>
    <row r="1423" spans="1:11">
      <c r="A1423" t="s">
        <v>318</v>
      </c>
      <c r="B1423" t="s">
        <v>1391</v>
      </c>
      <c r="C1423" t="s">
        <v>1446</v>
      </c>
      <c r="D1423" s="28">
        <v>760011151090</v>
      </c>
      <c r="E1423" s="29" t="s">
        <v>371</v>
      </c>
      <c r="F1423" s="29" t="s">
        <v>372</v>
      </c>
      <c r="G1423">
        <v>8</v>
      </c>
      <c r="H1423" t="s">
        <v>1051</v>
      </c>
      <c r="I1423" t="s">
        <v>98</v>
      </c>
      <c r="J1423" t="s">
        <v>185</v>
      </c>
      <c r="K1423" t="s">
        <v>285</v>
      </c>
    </row>
    <row r="1424" spans="1:11">
      <c r="A1424" t="s">
        <v>318</v>
      </c>
      <c r="B1424" t="s">
        <v>1391</v>
      </c>
      <c r="C1424" t="s">
        <v>1447</v>
      </c>
      <c r="D1424" s="28">
        <v>7667000045470</v>
      </c>
      <c r="E1424" s="29" t="s">
        <v>371</v>
      </c>
      <c r="F1424" s="29" t="s">
        <v>372</v>
      </c>
      <c r="G1424">
        <v>11</v>
      </c>
      <c r="H1424" t="s">
        <v>1051</v>
      </c>
      <c r="I1424" t="s">
        <v>98</v>
      </c>
      <c r="J1424" t="s">
        <v>185</v>
      </c>
      <c r="K1424" t="s">
        <v>285</v>
      </c>
    </row>
    <row r="1425" spans="1:12">
      <c r="A1425" t="s">
        <v>318</v>
      </c>
      <c r="B1425" t="s">
        <v>1391</v>
      </c>
      <c r="C1425" t="s">
        <v>1448</v>
      </c>
      <c r="D1425" s="28">
        <v>7600100127720</v>
      </c>
      <c r="E1425" s="29" t="s">
        <v>393</v>
      </c>
      <c r="F1425" s="29" t="s">
        <v>372</v>
      </c>
      <c r="G1425">
        <v>40</v>
      </c>
      <c r="H1425" t="s">
        <v>323</v>
      </c>
      <c r="I1425" t="s">
        <v>98</v>
      </c>
      <c r="J1425" t="s">
        <v>185</v>
      </c>
      <c r="K1425" t="s">
        <v>285</v>
      </c>
      <c r="L1425" t="s">
        <v>327</v>
      </c>
    </row>
    <row r="1426" spans="1:12">
      <c r="A1426" t="s">
        <v>318</v>
      </c>
      <c r="B1426" t="s">
        <v>1391</v>
      </c>
      <c r="C1426" t="s">
        <v>1449</v>
      </c>
      <c r="D1426" s="28">
        <v>7600100129477</v>
      </c>
      <c r="E1426" s="29" t="s">
        <v>393</v>
      </c>
      <c r="F1426" s="29" t="s">
        <v>372</v>
      </c>
      <c r="G1426">
        <v>40</v>
      </c>
      <c r="H1426" t="s">
        <v>323</v>
      </c>
      <c r="I1426" t="s">
        <v>98</v>
      </c>
      <c r="J1426" t="s">
        <v>185</v>
      </c>
      <c r="K1426" t="s">
        <v>285</v>
      </c>
      <c r="L1426" t="s">
        <v>327</v>
      </c>
    </row>
    <row r="1427" spans="1:12">
      <c r="A1427" t="s">
        <v>318</v>
      </c>
      <c r="B1427" t="s">
        <v>1391</v>
      </c>
      <c r="C1427" t="s">
        <v>1450</v>
      </c>
      <c r="D1427" s="28">
        <v>7600100129496</v>
      </c>
      <c r="E1427" s="29" t="s">
        <v>393</v>
      </c>
      <c r="F1427" s="29" t="s">
        <v>372</v>
      </c>
      <c r="G1427">
        <v>36</v>
      </c>
      <c r="H1427" t="s">
        <v>323</v>
      </c>
      <c r="I1427" t="s">
        <v>98</v>
      </c>
      <c r="J1427" t="s">
        <v>185</v>
      </c>
      <c r="K1427" t="s">
        <v>285</v>
      </c>
      <c r="L1427" t="s">
        <v>327</v>
      </c>
    </row>
    <row r="1428" spans="1:12">
      <c r="A1428" t="s">
        <v>318</v>
      </c>
      <c r="B1428" t="s">
        <v>1391</v>
      </c>
      <c r="C1428" t="s">
        <v>1451</v>
      </c>
      <c r="D1428" s="28">
        <v>760011112664</v>
      </c>
      <c r="E1428" s="29" t="s">
        <v>393</v>
      </c>
      <c r="F1428" s="29" t="s">
        <v>372</v>
      </c>
      <c r="G1428">
        <v>37</v>
      </c>
      <c r="H1428" t="s">
        <v>323</v>
      </c>
      <c r="I1428" t="s">
        <v>98</v>
      </c>
      <c r="J1428" t="s">
        <v>185</v>
      </c>
      <c r="K1428" t="s">
        <v>285</v>
      </c>
      <c r="L1428" t="s">
        <v>327</v>
      </c>
    </row>
    <row r="1429" spans="1:12">
      <c r="A1429" t="s">
        <v>318</v>
      </c>
      <c r="B1429" t="s">
        <v>1391</v>
      </c>
      <c r="C1429" t="s">
        <v>1452</v>
      </c>
      <c r="D1429" s="28">
        <v>760011112724</v>
      </c>
      <c r="E1429" s="29" t="s">
        <v>393</v>
      </c>
      <c r="F1429" s="29" t="s">
        <v>372</v>
      </c>
      <c r="G1429">
        <v>35</v>
      </c>
      <c r="H1429" t="s">
        <v>323</v>
      </c>
      <c r="I1429" t="s">
        <v>98</v>
      </c>
      <c r="J1429" t="s">
        <v>185</v>
      </c>
      <c r="K1429" t="s">
        <v>285</v>
      </c>
      <c r="L1429" t="s">
        <v>327</v>
      </c>
    </row>
    <row r="1430" spans="1:12">
      <c r="A1430" t="s">
        <v>318</v>
      </c>
      <c r="B1430" t="s">
        <v>1391</v>
      </c>
      <c r="C1430" t="s">
        <v>1453</v>
      </c>
      <c r="D1430" s="28">
        <v>760011127441</v>
      </c>
      <c r="E1430" s="29" t="s">
        <v>393</v>
      </c>
      <c r="F1430" s="29" t="s">
        <v>372</v>
      </c>
      <c r="G1430">
        <v>30</v>
      </c>
      <c r="H1430" t="s">
        <v>323</v>
      </c>
      <c r="I1430" t="s">
        <v>98</v>
      </c>
      <c r="J1430" t="s">
        <v>185</v>
      </c>
      <c r="K1430" t="s">
        <v>285</v>
      </c>
      <c r="L1430" t="s">
        <v>327</v>
      </c>
    </row>
    <row r="1431" spans="1:12">
      <c r="A1431" t="s">
        <v>318</v>
      </c>
      <c r="B1431" t="s">
        <v>1391</v>
      </c>
      <c r="C1431" t="s">
        <v>1454</v>
      </c>
      <c r="D1431" s="28">
        <v>760011129333</v>
      </c>
      <c r="E1431" s="29" t="s">
        <v>393</v>
      </c>
      <c r="F1431" s="29" t="s">
        <v>372</v>
      </c>
      <c r="G1431">
        <v>35</v>
      </c>
      <c r="H1431" t="s">
        <v>323</v>
      </c>
      <c r="I1431" t="s">
        <v>98</v>
      </c>
      <c r="J1431" t="s">
        <v>185</v>
      </c>
      <c r="K1431" t="s">
        <v>285</v>
      </c>
      <c r="L1431" t="s">
        <v>327</v>
      </c>
    </row>
    <row r="1432" spans="1:12">
      <c r="A1432" t="s">
        <v>318</v>
      </c>
      <c r="B1432" t="s">
        <v>1391</v>
      </c>
      <c r="C1432" t="s">
        <v>1455</v>
      </c>
      <c r="D1432" s="28">
        <v>760011129344</v>
      </c>
      <c r="E1432" s="29" t="s">
        <v>393</v>
      </c>
      <c r="F1432" s="29" t="s">
        <v>372</v>
      </c>
      <c r="G1432">
        <v>40</v>
      </c>
      <c r="H1432" t="s">
        <v>323</v>
      </c>
      <c r="I1432" t="s">
        <v>98</v>
      </c>
      <c r="J1432" t="s">
        <v>185</v>
      </c>
      <c r="K1432" t="s">
        <v>285</v>
      </c>
      <c r="L1432" t="s">
        <v>327</v>
      </c>
    </row>
    <row r="1433" spans="1:12">
      <c r="A1433" t="s">
        <v>318</v>
      </c>
      <c r="B1433" t="s">
        <v>1391</v>
      </c>
      <c r="C1433" t="s">
        <v>1456</v>
      </c>
      <c r="D1433" s="28">
        <v>760011129410</v>
      </c>
      <c r="E1433" s="29" t="s">
        <v>393</v>
      </c>
      <c r="F1433" s="29" t="s">
        <v>372</v>
      </c>
      <c r="G1433">
        <v>40</v>
      </c>
      <c r="H1433" t="s">
        <v>323</v>
      </c>
      <c r="I1433" t="s">
        <v>98</v>
      </c>
      <c r="J1433" t="s">
        <v>185</v>
      </c>
      <c r="K1433" t="s">
        <v>285</v>
      </c>
      <c r="L1433" t="s">
        <v>327</v>
      </c>
    </row>
    <row r="1434" spans="1:12">
      <c r="A1434" t="s">
        <v>318</v>
      </c>
      <c r="B1434" t="s">
        <v>1391</v>
      </c>
      <c r="C1434" t="s">
        <v>1457</v>
      </c>
      <c r="D1434" s="28">
        <v>760011129411</v>
      </c>
      <c r="E1434" s="29" t="s">
        <v>393</v>
      </c>
      <c r="F1434" s="29" t="s">
        <v>372</v>
      </c>
      <c r="G1434">
        <v>40</v>
      </c>
      <c r="H1434" t="s">
        <v>323</v>
      </c>
      <c r="I1434" t="s">
        <v>98</v>
      </c>
      <c r="J1434" t="s">
        <v>185</v>
      </c>
      <c r="K1434" t="s">
        <v>337</v>
      </c>
      <c r="L1434" t="s">
        <v>327</v>
      </c>
    </row>
    <row r="1435" spans="1:12">
      <c r="A1435" t="s">
        <v>318</v>
      </c>
      <c r="B1435" t="s">
        <v>1391</v>
      </c>
      <c r="C1435" t="s">
        <v>1458</v>
      </c>
      <c r="D1435" s="28">
        <v>760011129413</v>
      </c>
      <c r="E1435" s="29" t="s">
        <v>393</v>
      </c>
      <c r="F1435" s="29" t="s">
        <v>372</v>
      </c>
      <c r="G1435">
        <v>37</v>
      </c>
      <c r="H1435" t="s">
        <v>323</v>
      </c>
      <c r="I1435" t="s">
        <v>98</v>
      </c>
      <c r="J1435" t="s">
        <v>185</v>
      </c>
      <c r="K1435" t="s">
        <v>285</v>
      </c>
      <c r="L1435" t="s">
        <v>327</v>
      </c>
    </row>
    <row r="1436" spans="1:12">
      <c r="A1436" t="s">
        <v>318</v>
      </c>
      <c r="B1436" t="s">
        <v>1391</v>
      </c>
      <c r="C1436" t="s">
        <v>1459</v>
      </c>
      <c r="D1436" s="28">
        <v>760011132121</v>
      </c>
      <c r="E1436" s="29" t="s">
        <v>393</v>
      </c>
      <c r="F1436" s="29" t="s">
        <v>372</v>
      </c>
      <c r="G1436">
        <v>40</v>
      </c>
      <c r="H1436" t="s">
        <v>323</v>
      </c>
      <c r="I1436" t="s">
        <v>98</v>
      </c>
      <c r="J1436" t="s">
        <v>185</v>
      </c>
      <c r="K1436" t="s">
        <v>285</v>
      </c>
      <c r="L1436" t="s">
        <v>327</v>
      </c>
    </row>
    <row r="1437" spans="1:12">
      <c r="A1437" t="s">
        <v>318</v>
      </c>
      <c r="B1437" t="s">
        <v>1391</v>
      </c>
      <c r="C1437" t="s">
        <v>1460</v>
      </c>
      <c r="D1437" s="28">
        <v>760011139597</v>
      </c>
      <c r="E1437" s="29" t="s">
        <v>393</v>
      </c>
      <c r="F1437" s="29" t="s">
        <v>372</v>
      </c>
      <c r="G1437">
        <v>26</v>
      </c>
      <c r="H1437" t="s">
        <v>323</v>
      </c>
      <c r="I1437" t="s">
        <v>98</v>
      </c>
      <c r="J1437" t="s">
        <v>185</v>
      </c>
      <c r="K1437" t="s">
        <v>285</v>
      </c>
      <c r="L1437" t="s">
        <v>327</v>
      </c>
    </row>
    <row r="1438" spans="1:12">
      <c r="A1438" t="s">
        <v>318</v>
      </c>
      <c r="B1438" t="s">
        <v>1391</v>
      </c>
      <c r="C1438" t="s">
        <v>1461</v>
      </c>
      <c r="D1438" s="28">
        <v>760011147371</v>
      </c>
      <c r="E1438" s="29" t="s">
        <v>393</v>
      </c>
      <c r="F1438" s="29" t="s">
        <v>372</v>
      </c>
      <c r="G1438">
        <v>37</v>
      </c>
      <c r="H1438" t="s">
        <v>323</v>
      </c>
      <c r="I1438" t="s">
        <v>98</v>
      </c>
      <c r="J1438" t="s">
        <v>185</v>
      </c>
      <c r="K1438" t="s">
        <v>285</v>
      </c>
      <c r="L1438" t="s">
        <v>327</v>
      </c>
    </row>
    <row r="1439" spans="1:12">
      <c r="A1439" t="s">
        <v>318</v>
      </c>
      <c r="B1439" t="s">
        <v>1391</v>
      </c>
      <c r="C1439" t="s">
        <v>1462</v>
      </c>
      <c r="D1439" s="28">
        <v>7600100057633</v>
      </c>
      <c r="E1439" s="29" t="s">
        <v>368</v>
      </c>
      <c r="F1439" s="29" t="s">
        <v>364</v>
      </c>
      <c r="G1439">
        <v>62</v>
      </c>
      <c r="H1439" t="s">
        <v>323</v>
      </c>
      <c r="I1439" t="s">
        <v>45</v>
      </c>
      <c r="J1439" t="s">
        <v>185</v>
      </c>
      <c r="K1439" t="s">
        <v>285</v>
      </c>
    </row>
    <row r="1440" spans="1:12">
      <c r="A1440" t="s">
        <v>318</v>
      </c>
      <c r="B1440" t="s">
        <v>1391</v>
      </c>
      <c r="C1440" t="s">
        <v>1463</v>
      </c>
      <c r="D1440" s="28">
        <v>7600100059373</v>
      </c>
      <c r="E1440" s="29" t="s">
        <v>987</v>
      </c>
      <c r="F1440" s="29" t="s">
        <v>364</v>
      </c>
      <c r="G1440">
        <v>96</v>
      </c>
      <c r="H1440" t="s">
        <v>323</v>
      </c>
      <c r="I1440" t="s">
        <v>45</v>
      </c>
      <c r="J1440" t="s">
        <v>185</v>
      </c>
      <c r="K1440" t="s">
        <v>365</v>
      </c>
    </row>
    <row r="1441" spans="1:12">
      <c r="A1441" t="s">
        <v>318</v>
      </c>
      <c r="B1441" t="s">
        <v>1391</v>
      </c>
      <c r="C1441" t="s">
        <v>1464</v>
      </c>
      <c r="D1441" s="28">
        <v>7623300056555</v>
      </c>
      <c r="E1441" s="29" t="s">
        <v>363</v>
      </c>
      <c r="F1441" s="29" t="s">
        <v>364</v>
      </c>
      <c r="G1441">
        <v>101</v>
      </c>
      <c r="H1441" t="s">
        <v>323</v>
      </c>
      <c r="I1441" t="s">
        <v>45</v>
      </c>
      <c r="J1441" t="s">
        <v>1411</v>
      </c>
      <c r="K1441" t="s">
        <v>285</v>
      </c>
      <c r="L1441" t="s">
        <v>1090</v>
      </c>
    </row>
    <row r="1442" spans="1:12">
      <c r="A1442" t="s">
        <v>318</v>
      </c>
      <c r="B1442" t="s">
        <v>1391</v>
      </c>
      <c r="C1442" t="s">
        <v>1465</v>
      </c>
      <c r="D1442" s="28">
        <v>7623300057234</v>
      </c>
      <c r="E1442" s="29" t="s">
        <v>368</v>
      </c>
      <c r="F1442" s="29" t="s">
        <v>364</v>
      </c>
      <c r="G1442">
        <v>60</v>
      </c>
      <c r="H1442" t="s">
        <v>323</v>
      </c>
      <c r="I1442" t="s">
        <v>45</v>
      </c>
      <c r="J1442" t="s">
        <v>1411</v>
      </c>
      <c r="K1442" t="s">
        <v>989</v>
      </c>
      <c r="L1442" t="s">
        <v>1090</v>
      </c>
    </row>
    <row r="1443" spans="1:12">
      <c r="A1443" t="s">
        <v>318</v>
      </c>
      <c r="B1443" t="s">
        <v>1391</v>
      </c>
      <c r="C1443" t="s">
        <v>1466</v>
      </c>
      <c r="D1443" s="28">
        <v>762331131190</v>
      </c>
      <c r="E1443" s="29" t="s">
        <v>393</v>
      </c>
      <c r="F1443" s="29" t="s">
        <v>372</v>
      </c>
      <c r="G1443">
        <v>12</v>
      </c>
      <c r="H1443" t="s">
        <v>1051</v>
      </c>
      <c r="I1443" t="s">
        <v>45</v>
      </c>
      <c r="J1443" t="s">
        <v>1411</v>
      </c>
      <c r="K1443" t="s">
        <v>285</v>
      </c>
      <c r="L1443" t="s">
        <v>327</v>
      </c>
    </row>
    <row r="1444" spans="1:12">
      <c r="A1444" t="s">
        <v>318</v>
      </c>
      <c r="B1444" t="s">
        <v>1391</v>
      </c>
      <c r="C1444" t="s">
        <v>1467</v>
      </c>
      <c r="D1444" s="28">
        <v>762331131193</v>
      </c>
      <c r="E1444" s="29" t="s">
        <v>393</v>
      </c>
      <c r="F1444" s="29" t="s">
        <v>372</v>
      </c>
      <c r="G1444">
        <v>28</v>
      </c>
      <c r="H1444" t="s">
        <v>1051</v>
      </c>
      <c r="I1444" t="s">
        <v>98</v>
      </c>
      <c r="J1444" t="s">
        <v>1411</v>
      </c>
      <c r="K1444" t="s">
        <v>285</v>
      </c>
      <c r="L1444" t="s">
        <v>327</v>
      </c>
    </row>
    <row r="1445" spans="1:12">
      <c r="A1445" t="s">
        <v>318</v>
      </c>
      <c r="B1445" t="s">
        <v>1391</v>
      </c>
      <c r="C1445" t="s">
        <v>1468</v>
      </c>
      <c r="D1445" s="28">
        <v>762331131196</v>
      </c>
      <c r="E1445" s="29" t="s">
        <v>393</v>
      </c>
      <c r="F1445" s="29" t="s">
        <v>372</v>
      </c>
      <c r="G1445">
        <v>11</v>
      </c>
      <c r="H1445" t="s">
        <v>1051</v>
      </c>
      <c r="I1445" t="s">
        <v>98</v>
      </c>
      <c r="J1445" t="s">
        <v>1411</v>
      </c>
      <c r="K1445" t="s">
        <v>285</v>
      </c>
      <c r="L1445" t="s">
        <v>327</v>
      </c>
    </row>
    <row r="1446" spans="1:12">
      <c r="A1446" t="s">
        <v>318</v>
      </c>
      <c r="B1446" t="s">
        <v>1391</v>
      </c>
      <c r="C1446" t="s">
        <v>1469</v>
      </c>
      <c r="D1446" s="28">
        <v>762331131198</v>
      </c>
      <c r="E1446" s="29" t="s">
        <v>393</v>
      </c>
      <c r="F1446" s="29" t="s">
        <v>372</v>
      </c>
      <c r="G1446">
        <v>41</v>
      </c>
      <c r="H1446" t="s">
        <v>1051</v>
      </c>
      <c r="I1446" t="s">
        <v>98</v>
      </c>
      <c r="J1446" t="s">
        <v>1411</v>
      </c>
      <c r="K1446" t="s">
        <v>285</v>
      </c>
      <c r="L1446" t="s">
        <v>327</v>
      </c>
    </row>
    <row r="1447" spans="1:12">
      <c r="A1447" t="s">
        <v>318</v>
      </c>
      <c r="B1447" t="s">
        <v>1391</v>
      </c>
      <c r="C1447" t="s">
        <v>1470</v>
      </c>
      <c r="D1447" s="28">
        <v>762331131199</v>
      </c>
      <c r="E1447" s="29" t="s">
        <v>393</v>
      </c>
      <c r="F1447" s="29" t="s">
        <v>372</v>
      </c>
      <c r="G1447">
        <v>20</v>
      </c>
      <c r="H1447" t="s">
        <v>1051</v>
      </c>
      <c r="I1447" t="s">
        <v>45</v>
      </c>
      <c r="J1447" t="s">
        <v>1411</v>
      </c>
      <c r="K1447" t="s">
        <v>285</v>
      </c>
      <c r="L1447" t="s">
        <v>327</v>
      </c>
    </row>
    <row r="1448" spans="1:12">
      <c r="A1448" t="s">
        <v>318</v>
      </c>
      <c r="B1448" t="s">
        <v>1391</v>
      </c>
      <c r="C1448" t="s">
        <v>1471</v>
      </c>
      <c r="D1448" s="28">
        <v>762331131200</v>
      </c>
      <c r="E1448" s="29" t="s">
        <v>393</v>
      </c>
      <c r="F1448" s="29" t="s">
        <v>372</v>
      </c>
      <c r="G1448">
        <v>14</v>
      </c>
      <c r="H1448" t="s">
        <v>1051</v>
      </c>
      <c r="I1448" t="s">
        <v>45</v>
      </c>
      <c r="J1448" t="s">
        <v>1411</v>
      </c>
      <c r="K1448" t="s">
        <v>285</v>
      </c>
      <c r="L1448" t="s">
        <v>327</v>
      </c>
    </row>
    <row r="1449" spans="1:12">
      <c r="A1449" t="s">
        <v>318</v>
      </c>
      <c r="B1449" t="s">
        <v>1391</v>
      </c>
      <c r="C1449" t="s">
        <v>1472</v>
      </c>
      <c r="D1449" s="28">
        <v>762331131203</v>
      </c>
      <c r="E1449" s="29" t="s">
        <v>393</v>
      </c>
      <c r="F1449" s="29" t="s">
        <v>372</v>
      </c>
      <c r="G1449">
        <v>19</v>
      </c>
      <c r="H1449" t="s">
        <v>1051</v>
      </c>
      <c r="I1449" t="s">
        <v>98</v>
      </c>
      <c r="J1449" t="s">
        <v>1411</v>
      </c>
      <c r="K1449" t="s">
        <v>285</v>
      </c>
      <c r="L1449" t="s">
        <v>327</v>
      </c>
    </row>
    <row r="1450" spans="1:12">
      <c r="A1450" t="s">
        <v>318</v>
      </c>
      <c r="B1450" t="s">
        <v>1391</v>
      </c>
      <c r="C1450" t="s">
        <v>1473</v>
      </c>
      <c r="D1450" s="28">
        <v>762331131206</v>
      </c>
      <c r="E1450" s="29" t="s">
        <v>393</v>
      </c>
      <c r="F1450" s="29" t="s">
        <v>372</v>
      </c>
      <c r="G1450">
        <v>13</v>
      </c>
      <c r="H1450" t="s">
        <v>1051</v>
      </c>
      <c r="I1450" t="s">
        <v>98</v>
      </c>
      <c r="J1450" t="s">
        <v>1411</v>
      </c>
      <c r="K1450" t="s">
        <v>285</v>
      </c>
      <c r="L1450" t="s">
        <v>327</v>
      </c>
    </row>
    <row r="1451" spans="1:12">
      <c r="A1451" t="s">
        <v>318</v>
      </c>
      <c r="B1451" t="s">
        <v>1391</v>
      </c>
      <c r="C1451" t="s">
        <v>1474</v>
      </c>
      <c r="D1451" s="28">
        <v>762331131209</v>
      </c>
      <c r="E1451" s="29" t="s">
        <v>393</v>
      </c>
      <c r="F1451" s="29" t="s">
        <v>372</v>
      </c>
      <c r="G1451">
        <v>40</v>
      </c>
      <c r="H1451" t="s">
        <v>1051</v>
      </c>
      <c r="I1451" t="s">
        <v>98</v>
      </c>
      <c r="J1451" t="s">
        <v>1411</v>
      </c>
      <c r="K1451" t="s">
        <v>285</v>
      </c>
      <c r="L1451" t="s">
        <v>327</v>
      </c>
    </row>
    <row r="1452" spans="1:12">
      <c r="A1452" t="s">
        <v>318</v>
      </c>
      <c r="B1452" t="s">
        <v>1391</v>
      </c>
      <c r="C1452" t="s">
        <v>1475</v>
      </c>
      <c r="D1452" s="28">
        <v>762331131232</v>
      </c>
      <c r="E1452" s="29" t="s">
        <v>393</v>
      </c>
      <c r="F1452" s="29" t="s">
        <v>372</v>
      </c>
      <c r="G1452">
        <v>13</v>
      </c>
      <c r="H1452" t="s">
        <v>1051</v>
      </c>
      <c r="I1452" t="s">
        <v>98</v>
      </c>
      <c r="J1452" t="s">
        <v>1411</v>
      </c>
      <c r="K1452" t="s">
        <v>285</v>
      </c>
      <c r="L1452" t="s">
        <v>327</v>
      </c>
    </row>
    <row r="1453" spans="1:12">
      <c r="A1453" t="s">
        <v>318</v>
      </c>
      <c r="B1453" t="s">
        <v>1391</v>
      </c>
      <c r="C1453" t="s">
        <v>1476</v>
      </c>
      <c r="D1453" s="28">
        <v>762331131234</v>
      </c>
      <c r="E1453" s="29" t="s">
        <v>393</v>
      </c>
      <c r="F1453" s="29" t="s">
        <v>372</v>
      </c>
      <c r="G1453">
        <v>29</v>
      </c>
      <c r="H1453" t="s">
        <v>1051</v>
      </c>
      <c r="I1453" t="s">
        <v>45</v>
      </c>
      <c r="J1453" t="s">
        <v>1411</v>
      </c>
      <c r="K1453" t="s">
        <v>285</v>
      </c>
      <c r="L1453" t="s">
        <v>327</v>
      </c>
    </row>
    <row r="1454" spans="1:12">
      <c r="A1454" t="s">
        <v>318</v>
      </c>
      <c r="B1454" t="s">
        <v>1391</v>
      </c>
      <c r="C1454" t="s">
        <v>1477</v>
      </c>
      <c r="D1454" s="28">
        <v>762331131235</v>
      </c>
      <c r="E1454" s="29" t="s">
        <v>393</v>
      </c>
      <c r="F1454" s="29" t="s">
        <v>372</v>
      </c>
      <c r="G1454">
        <v>35</v>
      </c>
      <c r="H1454" t="s">
        <v>1051</v>
      </c>
      <c r="I1454" t="s">
        <v>45</v>
      </c>
      <c r="J1454" t="s">
        <v>1411</v>
      </c>
      <c r="K1454" t="s">
        <v>285</v>
      </c>
      <c r="L1454" t="s">
        <v>327</v>
      </c>
    </row>
    <row r="1455" spans="1:12">
      <c r="A1455" t="s">
        <v>318</v>
      </c>
      <c r="B1455" t="s">
        <v>1391</v>
      </c>
      <c r="C1455" t="s">
        <v>1478</v>
      </c>
      <c r="D1455" s="28">
        <v>762331131236</v>
      </c>
      <c r="E1455" s="29" t="s">
        <v>393</v>
      </c>
      <c r="F1455" s="29" t="s">
        <v>372</v>
      </c>
      <c r="G1455">
        <v>9</v>
      </c>
      <c r="H1455" t="s">
        <v>1051</v>
      </c>
      <c r="I1455" t="s">
        <v>98</v>
      </c>
      <c r="J1455" t="s">
        <v>1411</v>
      </c>
      <c r="K1455" t="s">
        <v>285</v>
      </c>
      <c r="L1455" t="s">
        <v>327</v>
      </c>
    </row>
    <row r="1456" spans="1:12">
      <c r="A1456" t="s">
        <v>318</v>
      </c>
      <c r="B1456" t="s">
        <v>1391</v>
      </c>
      <c r="C1456" t="s">
        <v>1479</v>
      </c>
      <c r="D1456" s="28">
        <v>762331131237</v>
      </c>
      <c r="E1456" s="29" t="s">
        <v>393</v>
      </c>
      <c r="F1456" s="29" t="s">
        <v>372</v>
      </c>
      <c r="G1456">
        <v>16</v>
      </c>
      <c r="H1456" t="s">
        <v>1051</v>
      </c>
      <c r="I1456" t="s">
        <v>98</v>
      </c>
      <c r="J1456" t="s">
        <v>1411</v>
      </c>
      <c r="K1456" t="s">
        <v>285</v>
      </c>
      <c r="L1456" t="s">
        <v>327</v>
      </c>
    </row>
    <row r="1457" spans="1:12">
      <c r="A1457" t="s">
        <v>318</v>
      </c>
      <c r="B1457" t="s">
        <v>1391</v>
      </c>
      <c r="C1457" t="s">
        <v>1480</v>
      </c>
      <c r="D1457" s="28">
        <v>762331131239</v>
      </c>
      <c r="E1457" s="29" t="s">
        <v>393</v>
      </c>
      <c r="F1457" s="29" t="s">
        <v>372</v>
      </c>
      <c r="G1457">
        <v>8</v>
      </c>
      <c r="H1457" t="s">
        <v>1051</v>
      </c>
      <c r="I1457" t="s">
        <v>98</v>
      </c>
      <c r="J1457" t="s">
        <v>1411</v>
      </c>
      <c r="K1457" t="s">
        <v>285</v>
      </c>
      <c r="L1457" t="s">
        <v>327</v>
      </c>
    </row>
    <row r="1458" spans="1:12">
      <c r="A1458" t="s">
        <v>318</v>
      </c>
      <c r="B1458" t="s">
        <v>1391</v>
      </c>
      <c r="C1458" t="s">
        <v>1481</v>
      </c>
      <c r="D1458" s="28">
        <v>762331131240</v>
      </c>
      <c r="E1458" s="29" t="s">
        <v>393</v>
      </c>
      <c r="F1458" s="29" t="s">
        <v>372</v>
      </c>
      <c r="G1458">
        <v>8</v>
      </c>
      <c r="H1458" t="s">
        <v>1051</v>
      </c>
      <c r="I1458" t="s">
        <v>45</v>
      </c>
      <c r="J1458" t="s">
        <v>1411</v>
      </c>
      <c r="K1458" t="s">
        <v>285</v>
      </c>
      <c r="L1458" t="s">
        <v>327</v>
      </c>
    </row>
    <row r="1459" spans="1:12">
      <c r="A1459" t="s">
        <v>318</v>
      </c>
      <c r="B1459" t="s">
        <v>1391</v>
      </c>
      <c r="C1459" t="s">
        <v>1482</v>
      </c>
      <c r="D1459" s="28">
        <v>762331131241</v>
      </c>
      <c r="E1459" s="29" t="s">
        <v>393</v>
      </c>
      <c r="F1459" s="29" t="s">
        <v>372</v>
      </c>
      <c r="G1459">
        <v>15</v>
      </c>
      <c r="H1459" t="s">
        <v>1051</v>
      </c>
      <c r="I1459" t="s">
        <v>98</v>
      </c>
      <c r="J1459" t="s">
        <v>1411</v>
      </c>
      <c r="K1459" t="s">
        <v>285</v>
      </c>
      <c r="L1459" t="s">
        <v>327</v>
      </c>
    </row>
    <row r="1460" spans="1:12">
      <c r="A1460" t="s">
        <v>318</v>
      </c>
      <c r="B1460" t="s">
        <v>1391</v>
      </c>
      <c r="C1460" t="s">
        <v>1483</v>
      </c>
      <c r="D1460" s="28">
        <v>762331131242</v>
      </c>
      <c r="E1460" s="29" t="s">
        <v>393</v>
      </c>
      <c r="F1460" s="29" t="s">
        <v>372</v>
      </c>
      <c r="G1460">
        <v>12</v>
      </c>
      <c r="H1460" t="s">
        <v>1051</v>
      </c>
      <c r="I1460" t="s">
        <v>98</v>
      </c>
      <c r="J1460" t="s">
        <v>1411</v>
      </c>
      <c r="K1460" t="s">
        <v>285</v>
      </c>
      <c r="L1460" t="s">
        <v>327</v>
      </c>
    </row>
    <row r="1461" spans="1:12">
      <c r="A1461" t="s">
        <v>318</v>
      </c>
      <c r="B1461" t="s">
        <v>1391</v>
      </c>
      <c r="C1461" t="s">
        <v>1484</v>
      </c>
      <c r="D1461" s="28">
        <v>762331131245</v>
      </c>
      <c r="E1461" s="29" t="s">
        <v>393</v>
      </c>
      <c r="F1461" s="29" t="s">
        <v>372</v>
      </c>
      <c r="G1461">
        <v>31</v>
      </c>
      <c r="H1461" t="s">
        <v>1051</v>
      </c>
      <c r="I1461" t="s">
        <v>45</v>
      </c>
      <c r="J1461" t="s">
        <v>1411</v>
      </c>
      <c r="K1461" t="s">
        <v>369</v>
      </c>
      <c r="L1461" t="s">
        <v>327</v>
      </c>
    </row>
    <row r="1462" spans="1:12">
      <c r="A1462" t="s">
        <v>318</v>
      </c>
      <c r="B1462" t="s">
        <v>1391</v>
      </c>
      <c r="C1462" t="s">
        <v>1485</v>
      </c>
      <c r="D1462" s="28">
        <v>762331131246</v>
      </c>
      <c r="E1462" s="29" t="s">
        <v>393</v>
      </c>
      <c r="F1462" s="29" t="s">
        <v>372</v>
      </c>
      <c r="G1462">
        <v>10</v>
      </c>
      <c r="H1462" t="s">
        <v>1051</v>
      </c>
      <c r="I1462" t="s">
        <v>98</v>
      </c>
      <c r="J1462" t="s">
        <v>1411</v>
      </c>
      <c r="K1462" t="s">
        <v>285</v>
      </c>
      <c r="L1462" t="s">
        <v>327</v>
      </c>
    </row>
    <row r="1463" spans="1:12">
      <c r="A1463" t="s">
        <v>318</v>
      </c>
      <c r="B1463" t="s">
        <v>1391</v>
      </c>
      <c r="C1463" t="s">
        <v>1486</v>
      </c>
      <c r="D1463" s="28">
        <v>762331131725</v>
      </c>
      <c r="E1463" s="29" t="s">
        <v>393</v>
      </c>
      <c r="F1463" s="29" t="s">
        <v>372</v>
      </c>
      <c r="G1463">
        <v>20</v>
      </c>
      <c r="H1463" t="s">
        <v>1051</v>
      </c>
      <c r="I1463" t="s">
        <v>98</v>
      </c>
      <c r="J1463" t="s">
        <v>1411</v>
      </c>
      <c r="K1463" t="s">
        <v>285</v>
      </c>
      <c r="L1463" t="s">
        <v>327</v>
      </c>
    </row>
    <row r="1464" spans="1:12">
      <c r="A1464" t="s">
        <v>318</v>
      </c>
      <c r="B1464" t="s">
        <v>1391</v>
      </c>
      <c r="C1464" t="s">
        <v>1487</v>
      </c>
      <c r="D1464" s="28">
        <v>762331131736</v>
      </c>
      <c r="E1464" s="29" t="s">
        <v>393</v>
      </c>
      <c r="F1464" s="29" t="s">
        <v>372</v>
      </c>
      <c r="G1464">
        <v>8</v>
      </c>
      <c r="H1464" t="s">
        <v>1051</v>
      </c>
      <c r="I1464" t="s">
        <v>98</v>
      </c>
      <c r="J1464" t="s">
        <v>1411</v>
      </c>
      <c r="K1464" t="s">
        <v>285</v>
      </c>
      <c r="L1464" t="s">
        <v>327</v>
      </c>
    </row>
    <row r="1465" spans="1:12">
      <c r="A1465" t="s">
        <v>318</v>
      </c>
      <c r="B1465" t="s">
        <v>1391</v>
      </c>
      <c r="C1465" t="s">
        <v>1488</v>
      </c>
      <c r="D1465" s="28">
        <v>762331132122</v>
      </c>
      <c r="E1465" s="29" t="s">
        <v>393</v>
      </c>
      <c r="F1465" s="29" t="s">
        <v>372</v>
      </c>
      <c r="G1465">
        <v>41</v>
      </c>
      <c r="H1465" t="s">
        <v>1051</v>
      </c>
      <c r="I1465" t="s">
        <v>98</v>
      </c>
      <c r="J1465" t="s">
        <v>1411</v>
      </c>
      <c r="K1465" t="s">
        <v>285</v>
      </c>
      <c r="L1465" t="s">
        <v>327</v>
      </c>
    </row>
    <row r="1466" spans="1:12">
      <c r="A1466" t="s">
        <v>318</v>
      </c>
      <c r="B1466" t="s">
        <v>1391</v>
      </c>
      <c r="C1466" t="s">
        <v>1489</v>
      </c>
      <c r="D1466" s="28">
        <v>762331147451</v>
      </c>
      <c r="E1466" s="29" t="s">
        <v>393</v>
      </c>
      <c r="F1466" s="29" t="s">
        <v>372</v>
      </c>
      <c r="G1466">
        <v>28</v>
      </c>
      <c r="H1466" t="s">
        <v>1051</v>
      </c>
      <c r="I1466" t="s">
        <v>98</v>
      </c>
      <c r="J1466" t="s">
        <v>1411</v>
      </c>
      <c r="K1466" t="s">
        <v>285</v>
      </c>
      <c r="L1466" t="s">
        <v>327</v>
      </c>
    </row>
    <row r="1467" spans="1:12">
      <c r="A1467" t="s">
        <v>318</v>
      </c>
      <c r="B1467" t="s">
        <v>1391</v>
      </c>
      <c r="C1467" t="s">
        <v>1490</v>
      </c>
      <c r="D1467" s="28">
        <v>7600100032409</v>
      </c>
      <c r="E1467" s="29" t="s">
        <v>371</v>
      </c>
      <c r="F1467" s="29" t="s">
        <v>372</v>
      </c>
      <c r="G1467">
        <v>9</v>
      </c>
      <c r="H1467" t="s">
        <v>1051</v>
      </c>
      <c r="I1467" t="s">
        <v>98</v>
      </c>
      <c r="J1467" t="s">
        <v>185</v>
      </c>
      <c r="K1467" t="s">
        <v>285</v>
      </c>
      <c r="L1467" t="s">
        <v>327</v>
      </c>
    </row>
    <row r="1468" spans="1:12">
      <c r="A1468" t="s">
        <v>318</v>
      </c>
      <c r="B1468" t="s">
        <v>1391</v>
      </c>
      <c r="C1468" t="s">
        <v>1418</v>
      </c>
      <c r="D1468" s="28">
        <v>7600100032426</v>
      </c>
      <c r="E1468" s="29" t="s">
        <v>371</v>
      </c>
      <c r="F1468" s="29" t="s">
        <v>372</v>
      </c>
      <c r="G1468">
        <v>0</v>
      </c>
      <c r="H1468" t="s">
        <v>323</v>
      </c>
      <c r="I1468" t="s">
        <v>45</v>
      </c>
      <c r="J1468" t="s">
        <v>185</v>
      </c>
      <c r="K1468" t="s">
        <v>285</v>
      </c>
      <c r="L1468" t="s">
        <v>327</v>
      </c>
    </row>
    <row r="1469" spans="1:12">
      <c r="A1469" t="s">
        <v>318</v>
      </c>
      <c r="B1469" t="s">
        <v>1391</v>
      </c>
      <c r="C1469" t="s">
        <v>383</v>
      </c>
      <c r="D1469" s="28">
        <v>7600100039545</v>
      </c>
      <c r="E1469" s="29" t="s">
        <v>441</v>
      </c>
      <c r="F1469" s="29" t="s">
        <v>372</v>
      </c>
      <c r="G1469">
        <v>34</v>
      </c>
      <c r="H1469" t="s">
        <v>323</v>
      </c>
      <c r="I1469" t="s">
        <v>45</v>
      </c>
      <c r="J1469" t="s">
        <v>185</v>
      </c>
      <c r="K1469" t="s">
        <v>285</v>
      </c>
      <c r="L1469" t="s">
        <v>327</v>
      </c>
    </row>
    <row r="1470" spans="1:12">
      <c r="A1470" t="s">
        <v>318</v>
      </c>
      <c r="B1470" t="s">
        <v>1391</v>
      </c>
      <c r="C1470" t="s">
        <v>1491</v>
      </c>
      <c r="D1470" s="28">
        <v>7600100048346</v>
      </c>
      <c r="E1470" s="29" t="s">
        <v>371</v>
      </c>
      <c r="F1470" s="29" t="s">
        <v>372</v>
      </c>
      <c r="G1470">
        <v>13</v>
      </c>
      <c r="H1470" t="s">
        <v>1051</v>
      </c>
      <c r="I1470" t="s">
        <v>98</v>
      </c>
      <c r="J1470" t="s">
        <v>185</v>
      </c>
      <c r="K1470" t="s">
        <v>1226</v>
      </c>
      <c r="L1470" t="s">
        <v>327</v>
      </c>
    </row>
    <row r="1471" spans="1:12">
      <c r="A1471" t="s">
        <v>318</v>
      </c>
      <c r="B1471" t="s">
        <v>1391</v>
      </c>
      <c r="C1471" t="s">
        <v>520</v>
      </c>
      <c r="D1471" s="28">
        <v>7600100048367</v>
      </c>
      <c r="E1471" s="29" t="s">
        <v>371</v>
      </c>
      <c r="F1471" s="29" t="s">
        <v>372</v>
      </c>
      <c r="G1471">
        <v>13</v>
      </c>
      <c r="H1471" t="s">
        <v>1051</v>
      </c>
      <c r="I1471" t="s">
        <v>98</v>
      </c>
      <c r="J1471" t="s">
        <v>185</v>
      </c>
      <c r="K1471" t="s">
        <v>1226</v>
      </c>
      <c r="L1471" t="s">
        <v>327</v>
      </c>
    </row>
    <row r="1472" spans="1:12">
      <c r="A1472" t="s">
        <v>318</v>
      </c>
      <c r="B1472" t="s">
        <v>1391</v>
      </c>
      <c r="C1472" t="s">
        <v>1492</v>
      </c>
      <c r="D1472" s="28">
        <v>7600100060701</v>
      </c>
      <c r="E1472" s="29" t="s">
        <v>371</v>
      </c>
      <c r="F1472" s="29" t="s">
        <v>372</v>
      </c>
      <c r="G1472">
        <v>10</v>
      </c>
      <c r="H1472" t="s">
        <v>323</v>
      </c>
      <c r="I1472" t="s">
        <v>45</v>
      </c>
      <c r="J1472" t="s">
        <v>185</v>
      </c>
      <c r="K1472" t="s">
        <v>285</v>
      </c>
      <c r="L1472" t="s">
        <v>327</v>
      </c>
    </row>
    <row r="1473" spans="1:12">
      <c r="A1473" t="s">
        <v>318</v>
      </c>
      <c r="B1473" t="s">
        <v>1391</v>
      </c>
      <c r="C1473" t="s">
        <v>1493</v>
      </c>
      <c r="D1473" s="28">
        <v>7600100103576</v>
      </c>
      <c r="E1473" s="29" t="s">
        <v>371</v>
      </c>
      <c r="F1473" s="29" t="s">
        <v>372</v>
      </c>
      <c r="G1473">
        <v>10</v>
      </c>
      <c r="H1473" t="s">
        <v>323</v>
      </c>
      <c r="I1473" t="s">
        <v>98</v>
      </c>
      <c r="J1473" t="s">
        <v>185</v>
      </c>
      <c r="K1473" t="s">
        <v>1226</v>
      </c>
      <c r="L1473" t="s">
        <v>327</v>
      </c>
    </row>
    <row r="1474" spans="1:12">
      <c r="A1474" t="s">
        <v>318</v>
      </c>
      <c r="B1474" t="s">
        <v>1391</v>
      </c>
      <c r="C1474" t="s">
        <v>1494</v>
      </c>
      <c r="D1474" s="28">
        <v>7600100110255</v>
      </c>
      <c r="E1474" s="29" t="s">
        <v>441</v>
      </c>
      <c r="F1474" s="29" t="s">
        <v>372</v>
      </c>
      <c r="G1474">
        <v>23</v>
      </c>
      <c r="H1474" t="s">
        <v>323</v>
      </c>
      <c r="I1474" t="s">
        <v>45</v>
      </c>
      <c r="J1474" t="s">
        <v>185</v>
      </c>
      <c r="K1474" t="s">
        <v>285</v>
      </c>
      <c r="L1474" t="s">
        <v>327</v>
      </c>
    </row>
    <row r="1475" spans="1:12">
      <c r="A1475" t="s">
        <v>318</v>
      </c>
      <c r="B1475" t="s">
        <v>1391</v>
      </c>
      <c r="C1475" t="s">
        <v>442</v>
      </c>
      <c r="D1475" s="28">
        <v>7600100110264</v>
      </c>
      <c r="E1475" s="29" t="s">
        <v>371</v>
      </c>
      <c r="F1475" s="29" t="s">
        <v>372</v>
      </c>
      <c r="G1475">
        <v>13</v>
      </c>
      <c r="H1475" t="s">
        <v>323</v>
      </c>
      <c r="I1475" t="s">
        <v>45</v>
      </c>
      <c r="J1475" t="s">
        <v>185</v>
      </c>
      <c r="K1475" t="s">
        <v>1226</v>
      </c>
      <c r="L1475" t="s">
        <v>327</v>
      </c>
    </row>
    <row r="1476" spans="1:12">
      <c r="A1476" t="s">
        <v>318</v>
      </c>
      <c r="B1476" t="s">
        <v>1391</v>
      </c>
      <c r="C1476" t="s">
        <v>1495</v>
      </c>
      <c r="D1476" s="28">
        <v>7600100110268</v>
      </c>
      <c r="E1476" s="29" t="s">
        <v>441</v>
      </c>
      <c r="F1476" s="29" t="s">
        <v>372</v>
      </c>
      <c r="G1476">
        <v>24</v>
      </c>
      <c r="H1476" t="s">
        <v>323</v>
      </c>
      <c r="I1476" t="s">
        <v>45</v>
      </c>
      <c r="J1476" t="s">
        <v>185</v>
      </c>
      <c r="K1476" t="s">
        <v>285</v>
      </c>
      <c r="L1476" t="s">
        <v>327</v>
      </c>
    </row>
    <row r="1477" spans="1:12">
      <c r="A1477" t="s">
        <v>318</v>
      </c>
      <c r="B1477" t="s">
        <v>1391</v>
      </c>
      <c r="C1477" t="s">
        <v>527</v>
      </c>
      <c r="D1477" s="28">
        <v>7600100110275</v>
      </c>
      <c r="E1477" s="29" t="s">
        <v>371</v>
      </c>
      <c r="F1477" s="29" t="s">
        <v>372</v>
      </c>
      <c r="G1477">
        <v>13</v>
      </c>
      <c r="H1477" t="s">
        <v>323</v>
      </c>
      <c r="I1477" t="s">
        <v>45</v>
      </c>
      <c r="J1477" t="s">
        <v>185</v>
      </c>
      <c r="K1477" t="s">
        <v>1226</v>
      </c>
      <c r="L1477" t="s">
        <v>327</v>
      </c>
    </row>
    <row r="1478" spans="1:12">
      <c r="A1478" t="s">
        <v>318</v>
      </c>
      <c r="B1478" t="s">
        <v>1391</v>
      </c>
      <c r="C1478" t="s">
        <v>1496</v>
      </c>
      <c r="D1478" s="28">
        <v>7600100136916</v>
      </c>
      <c r="E1478" s="29" t="s">
        <v>371</v>
      </c>
      <c r="F1478" s="29" t="s">
        <v>372</v>
      </c>
      <c r="G1478">
        <v>13</v>
      </c>
      <c r="H1478" t="s">
        <v>323</v>
      </c>
      <c r="I1478" t="s">
        <v>45</v>
      </c>
      <c r="J1478" t="s">
        <v>185</v>
      </c>
      <c r="K1478" t="s">
        <v>1226</v>
      </c>
      <c r="L1478" t="s">
        <v>327</v>
      </c>
    </row>
    <row r="1479" spans="1:12">
      <c r="A1479" t="s">
        <v>318</v>
      </c>
      <c r="B1479" t="s">
        <v>1391</v>
      </c>
      <c r="C1479" t="s">
        <v>970</v>
      </c>
      <c r="D1479" s="28">
        <v>7600100137595</v>
      </c>
      <c r="E1479" s="29" t="s">
        <v>371</v>
      </c>
      <c r="F1479" s="29" t="s">
        <v>372</v>
      </c>
      <c r="G1479">
        <v>11</v>
      </c>
      <c r="H1479" t="s">
        <v>1051</v>
      </c>
      <c r="I1479" t="s">
        <v>98</v>
      </c>
      <c r="J1479" t="s">
        <v>185</v>
      </c>
      <c r="K1479" t="s">
        <v>285</v>
      </c>
      <c r="L1479" t="s">
        <v>327</v>
      </c>
    </row>
    <row r="1480" spans="1:12">
      <c r="A1480" t="s">
        <v>318</v>
      </c>
      <c r="B1480" t="s">
        <v>1391</v>
      </c>
      <c r="C1480" t="s">
        <v>1497</v>
      </c>
      <c r="D1480" s="28">
        <v>760011122156</v>
      </c>
      <c r="E1480" s="29" t="s">
        <v>371</v>
      </c>
      <c r="F1480" s="29" t="s">
        <v>372</v>
      </c>
      <c r="G1480">
        <v>10</v>
      </c>
      <c r="H1480" t="s">
        <v>1051</v>
      </c>
      <c r="I1480" t="s">
        <v>45</v>
      </c>
      <c r="J1480" t="s">
        <v>185</v>
      </c>
      <c r="K1480" t="s">
        <v>285</v>
      </c>
      <c r="L1480" t="s">
        <v>327</v>
      </c>
    </row>
    <row r="1481" spans="1:12">
      <c r="A1481" t="s">
        <v>318</v>
      </c>
      <c r="B1481" t="s">
        <v>1391</v>
      </c>
      <c r="C1481" t="s">
        <v>1498</v>
      </c>
      <c r="D1481" s="28">
        <v>760011123742</v>
      </c>
      <c r="E1481" s="29" t="s">
        <v>371</v>
      </c>
      <c r="F1481" s="29" t="s">
        <v>372</v>
      </c>
      <c r="G1481">
        <v>13</v>
      </c>
      <c r="H1481" t="s">
        <v>323</v>
      </c>
      <c r="I1481" t="s">
        <v>45</v>
      </c>
      <c r="J1481" t="s">
        <v>185</v>
      </c>
      <c r="K1481" t="s">
        <v>285</v>
      </c>
      <c r="L1481" t="s">
        <v>327</v>
      </c>
    </row>
    <row r="1482" spans="1:12">
      <c r="A1482" t="s">
        <v>318</v>
      </c>
      <c r="B1482" t="s">
        <v>1391</v>
      </c>
      <c r="C1482" t="s">
        <v>388</v>
      </c>
      <c r="D1482" s="28">
        <v>760011123743</v>
      </c>
      <c r="E1482" s="29" t="s">
        <v>371</v>
      </c>
      <c r="F1482" s="29" t="s">
        <v>372</v>
      </c>
      <c r="G1482">
        <v>13</v>
      </c>
      <c r="H1482" t="s">
        <v>323</v>
      </c>
      <c r="I1482" t="s">
        <v>45</v>
      </c>
      <c r="J1482" t="s">
        <v>185</v>
      </c>
      <c r="K1482" t="s">
        <v>285</v>
      </c>
      <c r="L1482" t="s">
        <v>327</v>
      </c>
    </row>
    <row r="1483" spans="1:12">
      <c r="A1483" t="s">
        <v>318</v>
      </c>
      <c r="B1483" t="s">
        <v>1391</v>
      </c>
      <c r="C1483" t="s">
        <v>1499</v>
      </c>
      <c r="D1483" s="28">
        <v>760011123744</v>
      </c>
      <c r="E1483" s="29" t="s">
        <v>371</v>
      </c>
      <c r="F1483" s="29" t="s">
        <v>372</v>
      </c>
      <c r="G1483">
        <v>13</v>
      </c>
      <c r="H1483" t="s">
        <v>323</v>
      </c>
      <c r="I1483" t="s">
        <v>45</v>
      </c>
      <c r="J1483" t="s">
        <v>185</v>
      </c>
      <c r="K1483" t="s">
        <v>285</v>
      </c>
      <c r="L1483" t="s">
        <v>327</v>
      </c>
    </row>
    <row r="1484" spans="1:12">
      <c r="A1484" t="s">
        <v>318</v>
      </c>
      <c r="B1484" t="s">
        <v>1391</v>
      </c>
      <c r="C1484" t="s">
        <v>395</v>
      </c>
      <c r="D1484" s="28">
        <v>760011151089</v>
      </c>
      <c r="E1484" s="29" t="s">
        <v>371</v>
      </c>
      <c r="F1484" s="29" t="s">
        <v>372</v>
      </c>
      <c r="G1484">
        <v>11</v>
      </c>
      <c r="H1484" t="s">
        <v>323</v>
      </c>
      <c r="I1484" t="s">
        <v>98</v>
      </c>
      <c r="J1484" t="s">
        <v>185</v>
      </c>
      <c r="K1484" t="s">
        <v>365</v>
      </c>
      <c r="L1484" t="s">
        <v>327</v>
      </c>
    </row>
    <row r="1485" spans="1:12">
      <c r="A1485" t="s">
        <v>318</v>
      </c>
      <c r="B1485" t="s">
        <v>1391</v>
      </c>
      <c r="C1485" t="s">
        <v>1500</v>
      </c>
      <c r="D1485" s="28">
        <v>7600100043404</v>
      </c>
      <c r="E1485" s="29" t="s">
        <v>363</v>
      </c>
      <c r="F1485" s="29" t="s">
        <v>364</v>
      </c>
      <c r="G1485">
        <v>272</v>
      </c>
      <c r="H1485" t="s">
        <v>323</v>
      </c>
      <c r="I1485" t="s">
        <v>98</v>
      </c>
      <c r="J1485" t="s">
        <v>185</v>
      </c>
      <c r="K1485" t="s">
        <v>365</v>
      </c>
    </row>
    <row r="1486" spans="1:12">
      <c r="A1486" t="s">
        <v>318</v>
      </c>
      <c r="B1486" t="s">
        <v>1391</v>
      </c>
      <c r="C1486" t="s">
        <v>1501</v>
      </c>
      <c r="D1486" s="28">
        <v>7600100103978</v>
      </c>
      <c r="E1486" s="29" t="s">
        <v>393</v>
      </c>
      <c r="F1486" s="29" t="s">
        <v>372</v>
      </c>
      <c r="G1486">
        <v>50</v>
      </c>
      <c r="H1486" t="s">
        <v>1051</v>
      </c>
      <c r="I1486" t="s">
        <v>98</v>
      </c>
      <c r="J1486" t="s">
        <v>185</v>
      </c>
      <c r="K1486" t="s">
        <v>285</v>
      </c>
    </row>
    <row r="1487" spans="1:12">
      <c r="A1487" t="s">
        <v>318</v>
      </c>
      <c r="B1487" t="s">
        <v>1391</v>
      </c>
      <c r="C1487" t="s">
        <v>1502</v>
      </c>
      <c r="D1487" s="28">
        <v>7600100103979</v>
      </c>
      <c r="E1487" s="29" t="s">
        <v>393</v>
      </c>
      <c r="F1487" s="29" t="s">
        <v>372</v>
      </c>
      <c r="G1487">
        <v>18</v>
      </c>
      <c r="H1487" t="s">
        <v>1051</v>
      </c>
      <c r="I1487" t="s">
        <v>98</v>
      </c>
      <c r="J1487" t="s">
        <v>185</v>
      </c>
      <c r="K1487" t="s">
        <v>285</v>
      </c>
    </row>
    <row r="1488" spans="1:12">
      <c r="A1488" t="s">
        <v>318</v>
      </c>
      <c r="B1488" t="s">
        <v>1391</v>
      </c>
      <c r="C1488" t="s">
        <v>1503</v>
      </c>
      <c r="D1488" s="28">
        <v>7600100103980</v>
      </c>
      <c r="E1488" s="29" t="s">
        <v>393</v>
      </c>
      <c r="F1488" s="29" t="s">
        <v>372</v>
      </c>
      <c r="G1488">
        <v>31</v>
      </c>
      <c r="H1488" t="s">
        <v>1051</v>
      </c>
      <c r="I1488" t="s">
        <v>98</v>
      </c>
      <c r="J1488" t="s">
        <v>185</v>
      </c>
      <c r="K1488" t="s">
        <v>285</v>
      </c>
    </row>
    <row r="1489" spans="1:12">
      <c r="A1489" t="s">
        <v>318</v>
      </c>
      <c r="B1489" t="s">
        <v>1391</v>
      </c>
      <c r="C1489" t="s">
        <v>1504</v>
      </c>
      <c r="D1489" s="28">
        <v>7600100103981</v>
      </c>
      <c r="E1489" s="29" t="s">
        <v>393</v>
      </c>
      <c r="F1489" s="29" t="s">
        <v>372</v>
      </c>
      <c r="G1489">
        <v>53</v>
      </c>
      <c r="H1489" t="s">
        <v>1051</v>
      </c>
      <c r="I1489" t="s">
        <v>98</v>
      </c>
      <c r="J1489" t="s">
        <v>185</v>
      </c>
      <c r="K1489" t="s">
        <v>285</v>
      </c>
    </row>
    <row r="1490" spans="1:12">
      <c r="A1490" t="s">
        <v>318</v>
      </c>
      <c r="B1490" t="s">
        <v>1391</v>
      </c>
      <c r="C1490" t="s">
        <v>1505</v>
      </c>
      <c r="D1490" s="28">
        <v>7600100103982</v>
      </c>
      <c r="E1490" s="29" t="s">
        <v>393</v>
      </c>
      <c r="F1490" s="29" t="s">
        <v>372</v>
      </c>
      <c r="G1490">
        <v>53</v>
      </c>
      <c r="H1490" t="s">
        <v>1051</v>
      </c>
      <c r="I1490" t="s">
        <v>45</v>
      </c>
      <c r="J1490" t="s">
        <v>185</v>
      </c>
      <c r="K1490" t="s">
        <v>285</v>
      </c>
    </row>
    <row r="1491" spans="1:12">
      <c r="A1491" t="s">
        <v>318</v>
      </c>
      <c r="B1491" t="s">
        <v>1391</v>
      </c>
      <c r="C1491" t="s">
        <v>1506</v>
      </c>
      <c r="D1491" s="28">
        <v>7600100104167</v>
      </c>
      <c r="E1491" s="29" t="s">
        <v>393</v>
      </c>
      <c r="F1491" s="29" t="s">
        <v>372</v>
      </c>
      <c r="G1491">
        <v>53</v>
      </c>
      <c r="H1491" t="s">
        <v>1051</v>
      </c>
      <c r="I1491" t="s">
        <v>98</v>
      </c>
      <c r="J1491" t="s">
        <v>185</v>
      </c>
      <c r="K1491" t="s">
        <v>285</v>
      </c>
    </row>
    <row r="1492" spans="1:12">
      <c r="A1492" t="s">
        <v>318</v>
      </c>
      <c r="B1492" t="s">
        <v>1391</v>
      </c>
      <c r="C1492" t="s">
        <v>1371</v>
      </c>
      <c r="D1492" s="28">
        <v>7600100128993</v>
      </c>
      <c r="E1492" s="29" t="s">
        <v>393</v>
      </c>
      <c r="F1492" s="29" t="s">
        <v>372</v>
      </c>
      <c r="G1492">
        <v>53</v>
      </c>
      <c r="H1492" t="s">
        <v>1051</v>
      </c>
      <c r="I1492" t="s">
        <v>98</v>
      </c>
      <c r="J1492" t="s">
        <v>185</v>
      </c>
      <c r="K1492" t="s">
        <v>285</v>
      </c>
    </row>
    <row r="1493" spans="1:12">
      <c r="A1493" t="s">
        <v>318</v>
      </c>
      <c r="B1493" t="s">
        <v>1391</v>
      </c>
      <c r="C1493" t="s">
        <v>1507</v>
      </c>
      <c r="D1493" s="28">
        <v>7600100129077</v>
      </c>
      <c r="E1493" s="29" t="s">
        <v>393</v>
      </c>
      <c r="F1493" s="29" t="s">
        <v>372</v>
      </c>
      <c r="G1493">
        <v>30</v>
      </c>
      <c r="H1493" t="s">
        <v>1051</v>
      </c>
      <c r="I1493" t="s">
        <v>98</v>
      </c>
      <c r="J1493" t="s">
        <v>185</v>
      </c>
      <c r="K1493" t="s">
        <v>285</v>
      </c>
    </row>
    <row r="1494" spans="1:12">
      <c r="A1494" t="s">
        <v>318</v>
      </c>
      <c r="B1494" t="s">
        <v>1391</v>
      </c>
      <c r="C1494" t="s">
        <v>1508</v>
      </c>
      <c r="D1494" s="28">
        <v>7600100129117</v>
      </c>
      <c r="E1494" s="29" t="s">
        <v>393</v>
      </c>
      <c r="F1494" s="29" t="s">
        <v>372</v>
      </c>
      <c r="G1494">
        <v>30</v>
      </c>
      <c r="H1494" t="s">
        <v>1051</v>
      </c>
      <c r="I1494" t="s">
        <v>98</v>
      </c>
      <c r="J1494" t="s">
        <v>185</v>
      </c>
      <c r="K1494" t="s">
        <v>285</v>
      </c>
    </row>
    <row r="1495" spans="1:12">
      <c r="A1495" t="s">
        <v>318</v>
      </c>
      <c r="B1495" t="s">
        <v>1391</v>
      </c>
      <c r="C1495" t="s">
        <v>1509</v>
      </c>
      <c r="D1495" s="28">
        <v>7600100129139</v>
      </c>
      <c r="E1495" s="29" t="s">
        <v>393</v>
      </c>
      <c r="F1495" s="29" t="s">
        <v>372</v>
      </c>
      <c r="G1495">
        <v>30</v>
      </c>
      <c r="H1495" t="s">
        <v>1051</v>
      </c>
      <c r="I1495" t="s">
        <v>98</v>
      </c>
      <c r="J1495" t="s">
        <v>185</v>
      </c>
      <c r="K1495" t="s">
        <v>285</v>
      </c>
    </row>
    <row r="1496" spans="1:12">
      <c r="A1496" t="s">
        <v>318</v>
      </c>
      <c r="B1496" t="s">
        <v>1391</v>
      </c>
      <c r="C1496" t="s">
        <v>1510</v>
      </c>
      <c r="D1496" s="28">
        <v>7600100129149</v>
      </c>
      <c r="E1496" s="29" t="s">
        <v>393</v>
      </c>
      <c r="F1496" s="29" t="s">
        <v>372</v>
      </c>
      <c r="G1496">
        <v>20</v>
      </c>
      <c r="H1496" t="s">
        <v>1051</v>
      </c>
      <c r="I1496" t="s">
        <v>98</v>
      </c>
      <c r="J1496" t="s">
        <v>185</v>
      </c>
      <c r="K1496" t="s">
        <v>285</v>
      </c>
    </row>
    <row r="1497" spans="1:12">
      <c r="A1497" t="s">
        <v>318</v>
      </c>
      <c r="B1497" t="s">
        <v>1391</v>
      </c>
      <c r="C1497" t="s">
        <v>1511</v>
      </c>
      <c r="D1497" s="28">
        <v>760011112648</v>
      </c>
      <c r="E1497" s="29" t="s">
        <v>393</v>
      </c>
      <c r="F1497" s="29" t="s">
        <v>372</v>
      </c>
      <c r="G1497">
        <v>20</v>
      </c>
      <c r="H1497" t="s">
        <v>1051</v>
      </c>
      <c r="I1497" t="s">
        <v>98</v>
      </c>
      <c r="J1497" t="s">
        <v>185</v>
      </c>
      <c r="K1497" t="s">
        <v>285</v>
      </c>
    </row>
    <row r="1498" spans="1:12">
      <c r="A1498" t="s">
        <v>318</v>
      </c>
      <c r="B1498" t="s">
        <v>1391</v>
      </c>
      <c r="C1498" t="s">
        <v>1512</v>
      </c>
      <c r="D1498" s="28">
        <v>760011129337</v>
      </c>
      <c r="E1498" s="29" t="s">
        <v>393</v>
      </c>
      <c r="F1498" s="29" t="s">
        <v>372</v>
      </c>
      <c r="G1498">
        <v>35</v>
      </c>
      <c r="H1498" t="s">
        <v>1051</v>
      </c>
      <c r="I1498" t="s">
        <v>98</v>
      </c>
      <c r="J1498" t="s">
        <v>185</v>
      </c>
      <c r="K1498" t="s">
        <v>285</v>
      </c>
    </row>
    <row r="1499" spans="1:12">
      <c r="A1499" t="s">
        <v>318</v>
      </c>
      <c r="B1499" t="s">
        <v>1391</v>
      </c>
      <c r="C1499" t="s">
        <v>1513</v>
      </c>
      <c r="D1499" s="28">
        <v>760011129412</v>
      </c>
      <c r="E1499" s="29" t="s">
        <v>393</v>
      </c>
      <c r="F1499" s="29" t="s">
        <v>372</v>
      </c>
      <c r="G1499">
        <v>16</v>
      </c>
      <c r="H1499" t="s">
        <v>1051</v>
      </c>
      <c r="I1499" t="s">
        <v>98</v>
      </c>
      <c r="J1499" t="s">
        <v>185</v>
      </c>
      <c r="K1499" t="s">
        <v>285</v>
      </c>
    </row>
    <row r="1500" spans="1:12">
      <c r="A1500" t="s">
        <v>318</v>
      </c>
      <c r="B1500" t="s">
        <v>1391</v>
      </c>
      <c r="C1500" t="s">
        <v>1514</v>
      </c>
      <c r="D1500" s="28">
        <v>760011139724</v>
      </c>
      <c r="E1500" s="29" t="s">
        <v>393</v>
      </c>
      <c r="F1500" s="29" t="s">
        <v>372</v>
      </c>
      <c r="G1500">
        <v>18</v>
      </c>
      <c r="H1500" t="s">
        <v>1051</v>
      </c>
      <c r="I1500" t="s">
        <v>98</v>
      </c>
      <c r="J1500" t="s">
        <v>185</v>
      </c>
      <c r="K1500" t="s">
        <v>285</v>
      </c>
    </row>
    <row r="1501" spans="1:12">
      <c r="A1501" t="s">
        <v>318</v>
      </c>
      <c r="B1501" t="s">
        <v>1391</v>
      </c>
      <c r="C1501" t="s">
        <v>1515</v>
      </c>
      <c r="D1501" s="28">
        <v>7600100055832</v>
      </c>
      <c r="E1501" s="29" t="s">
        <v>368</v>
      </c>
      <c r="F1501" s="29" t="s">
        <v>364</v>
      </c>
      <c r="G1501">
        <v>184</v>
      </c>
      <c r="H1501" t="s">
        <v>323</v>
      </c>
      <c r="I1501" t="s">
        <v>98</v>
      </c>
      <c r="J1501" t="s">
        <v>185</v>
      </c>
      <c r="K1501" t="s">
        <v>337</v>
      </c>
    </row>
    <row r="1502" spans="1:12">
      <c r="A1502" t="s">
        <v>318</v>
      </c>
      <c r="B1502" t="s">
        <v>1391</v>
      </c>
      <c r="C1502" t="s">
        <v>1516</v>
      </c>
      <c r="D1502" s="28">
        <v>7600100100313</v>
      </c>
      <c r="E1502" s="29" t="s">
        <v>368</v>
      </c>
      <c r="F1502" s="29" t="s">
        <v>364</v>
      </c>
      <c r="G1502">
        <v>111</v>
      </c>
      <c r="H1502" t="s">
        <v>323</v>
      </c>
      <c r="I1502" t="s">
        <v>98</v>
      </c>
      <c r="J1502" t="s">
        <v>185</v>
      </c>
      <c r="K1502" t="s">
        <v>337</v>
      </c>
    </row>
    <row r="1503" spans="1:12">
      <c r="A1503" t="s">
        <v>318</v>
      </c>
      <c r="B1503" t="s">
        <v>1391</v>
      </c>
      <c r="C1503" t="s">
        <v>1517</v>
      </c>
      <c r="D1503" s="28">
        <v>7600100030154</v>
      </c>
      <c r="E1503" s="29" t="s">
        <v>987</v>
      </c>
      <c r="F1503" s="29" t="s">
        <v>364</v>
      </c>
      <c r="G1503">
        <v>300</v>
      </c>
      <c r="H1503" t="s">
        <v>323</v>
      </c>
      <c r="I1503" t="s">
        <v>324</v>
      </c>
      <c r="J1503" t="s">
        <v>185</v>
      </c>
      <c r="K1503" t="s">
        <v>285</v>
      </c>
      <c r="L1503" t="s">
        <v>1090</v>
      </c>
    </row>
    <row r="1504" spans="1:12">
      <c r="A1504" t="s">
        <v>318</v>
      </c>
      <c r="B1504" t="s">
        <v>1391</v>
      </c>
      <c r="C1504" t="s">
        <v>1518</v>
      </c>
      <c r="D1504" s="28">
        <v>7600100080367</v>
      </c>
      <c r="E1504" s="29" t="s">
        <v>987</v>
      </c>
      <c r="F1504" s="29" t="s">
        <v>364</v>
      </c>
      <c r="G1504">
        <v>259</v>
      </c>
      <c r="H1504" t="s">
        <v>323</v>
      </c>
      <c r="I1504" t="s">
        <v>98</v>
      </c>
      <c r="J1504" t="s">
        <v>185</v>
      </c>
      <c r="K1504" t="s">
        <v>394</v>
      </c>
      <c r="L1504" t="s">
        <v>1090</v>
      </c>
    </row>
    <row r="1505" spans="1:12">
      <c r="A1505" t="s">
        <v>318</v>
      </c>
      <c r="B1505" t="s">
        <v>1391</v>
      </c>
      <c r="C1505" t="s">
        <v>1519</v>
      </c>
      <c r="D1505" s="28">
        <v>7600100026361</v>
      </c>
      <c r="E1505" s="29" t="s">
        <v>363</v>
      </c>
      <c r="F1505" s="29" t="s">
        <v>364</v>
      </c>
      <c r="G1505">
        <v>70</v>
      </c>
      <c r="H1505" t="s">
        <v>323</v>
      </c>
      <c r="I1505" t="s">
        <v>98</v>
      </c>
      <c r="J1505" t="s">
        <v>185</v>
      </c>
      <c r="K1505" t="s">
        <v>337</v>
      </c>
      <c r="L1505" t="s">
        <v>327</v>
      </c>
    </row>
    <row r="1506" spans="1:12">
      <c r="A1506" t="s">
        <v>318</v>
      </c>
      <c r="B1506" t="s">
        <v>1391</v>
      </c>
      <c r="C1506" t="s">
        <v>1520</v>
      </c>
      <c r="D1506" s="28">
        <v>7600100031607</v>
      </c>
      <c r="E1506" s="29" t="s">
        <v>363</v>
      </c>
      <c r="F1506" s="29" t="s">
        <v>364</v>
      </c>
      <c r="G1506">
        <v>0</v>
      </c>
      <c r="H1506" t="s">
        <v>323</v>
      </c>
      <c r="I1506" t="s">
        <v>324</v>
      </c>
      <c r="J1506" t="s">
        <v>185</v>
      </c>
      <c r="K1506" t="s">
        <v>337</v>
      </c>
      <c r="L1506" t="s">
        <v>327</v>
      </c>
    </row>
    <row r="1507" spans="1:12">
      <c r="A1507" t="s">
        <v>318</v>
      </c>
      <c r="B1507" t="s">
        <v>1391</v>
      </c>
      <c r="C1507" t="s">
        <v>1521</v>
      </c>
      <c r="D1507" s="28">
        <v>7600100104667</v>
      </c>
      <c r="E1507" s="29" t="s">
        <v>363</v>
      </c>
      <c r="F1507" s="29" t="s">
        <v>364</v>
      </c>
      <c r="G1507">
        <v>76</v>
      </c>
      <c r="H1507" t="s">
        <v>323</v>
      </c>
      <c r="I1507" t="s">
        <v>98</v>
      </c>
      <c r="J1507" t="s">
        <v>185</v>
      </c>
      <c r="K1507" t="s">
        <v>337</v>
      </c>
      <c r="L1507" t="s">
        <v>327</v>
      </c>
    </row>
    <row r="1508" spans="1:12">
      <c r="A1508" t="s">
        <v>318</v>
      </c>
      <c r="B1508" t="s">
        <v>1391</v>
      </c>
      <c r="C1508" t="s">
        <v>1522</v>
      </c>
      <c r="D1508" s="28">
        <v>7600100031273</v>
      </c>
      <c r="E1508" s="29" t="s">
        <v>987</v>
      </c>
      <c r="F1508" s="29" t="s">
        <v>364</v>
      </c>
      <c r="G1508">
        <v>159</v>
      </c>
      <c r="H1508" t="s">
        <v>323</v>
      </c>
      <c r="I1508" t="s">
        <v>45</v>
      </c>
      <c r="J1508" t="s">
        <v>185</v>
      </c>
      <c r="K1508" t="s">
        <v>989</v>
      </c>
    </row>
    <row r="1509" spans="1:12">
      <c r="A1509" t="s">
        <v>318</v>
      </c>
      <c r="B1509" t="s">
        <v>1391</v>
      </c>
      <c r="C1509" t="s">
        <v>1523</v>
      </c>
      <c r="D1509" s="28">
        <v>7600100057610</v>
      </c>
      <c r="E1509" s="29" t="s">
        <v>987</v>
      </c>
      <c r="F1509" s="29" t="s">
        <v>364</v>
      </c>
      <c r="G1509">
        <v>105</v>
      </c>
      <c r="H1509" t="s">
        <v>323</v>
      </c>
      <c r="I1509" t="s">
        <v>45</v>
      </c>
      <c r="J1509" t="s">
        <v>185</v>
      </c>
      <c r="K1509" t="s">
        <v>989</v>
      </c>
    </row>
    <row r="1510" spans="1:12">
      <c r="A1510" t="s">
        <v>318</v>
      </c>
      <c r="B1510" t="s">
        <v>1391</v>
      </c>
      <c r="C1510" t="s">
        <v>1524</v>
      </c>
      <c r="D1510" s="28">
        <v>7600100059185</v>
      </c>
      <c r="E1510" s="29" t="s">
        <v>987</v>
      </c>
      <c r="F1510" s="29" t="s">
        <v>364</v>
      </c>
      <c r="G1510">
        <v>106</v>
      </c>
      <c r="H1510" t="s">
        <v>1051</v>
      </c>
      <c r="I1510" t="s">
        <v>98</v>
      </c>
      <c r="J1510" t="s">
        <v>185</v>
      </c>
      <c r="K1510" t="s">
        <v>365</v>
      </c>
    </row>
    <row r="1511" spans="1:12">
      <c r="A1511" t="s">
        <v>318</v>
      </c>
      <c r="B1511" t="s">
        <v>1391</v>
      </c>
      <c r="C1511" t="s">
        <v>1525</v>
      </c>
      <c r="D1511" s="28">
        <v>7600100057677</v>
      </c>
      <c r="E1511" s="29" t="s">
        <v>363</v>
      </c>
      <c r="F1511" s="29" t="s">
        <v>364</v>
      </c>
      <c r="G1511">
        <v>67</v>
      </c>
      <c r="H1511" t="s">
        <v>323</v>
      </c>
      <c r="I1511" t="s">
        <v>98</v>
      </c>
      <c r="J1511" t="s">
        <v>185</v>
      </c>
      <c r="K1511" t="s">
        <v>285</v>
      </c>
      <c r="L1511" t="s">
        <v>327</v>
      </c>
    </row>
    <row r="1512" spans="1:12">
      <c r="A1512" t="s">
        <v>318</v>
      </c>
      <c r="B1512" t="s">
        <v>1391</v>
      </c>
      <c r="C1512" t="s">
        <v>1526</v>
      </c>
      <c r="D1512" s="28">
        <v>7600100057772</v>
      </c>
      <c r="E1512" s="29" t="s">
        <v>363</v>
      </c>
      <c r="F1512" s="29" t="s">
        <v>364</v>
      </c>
      <c r="G1512">
        <v>118</v>
      </c>
      <c r="H1512" t="s">
        <v>323</v>
      </c>
      <c r="I1512" t="s">
        <v>98</v>
      </c>
      <c r="J1512" t="s">
        <v>185</v>
      </c>
      <c r="K1512" t="s">
        <v>285</v>
      </c>
      <c r="L1512" t="s">
        <v>327</v>
      </c>
    </row>
    <row r="1513" spans="1:12">
      <c r="A1513" t="s">
        <v>318</v>
      </c>
      <c r="B1513" t="s">
        <v>1391</v>
      </c>
      <c r="C1513" t="s">
        <v>1527</v>
      </c>
      <c r="D1513" s="28">
        <v>7600100080469</v>
      </c>
      <c r="E1513" s="29" t="s">
        <v>987</v>
      </c>
      <c r="F1513" s="29" t="s">
        <v>364</v>
      </c>
      <c r="G1513">
        <v>210</v>
      </c>
      <c r="H1513" t="s">
        <v>1051</v>
      </c>
      <c r="I1513" t="s">
        <v>98</v>
      </c>
      <c r="J1513" t="s">
        <v>185</v>
      </c>
      <c r="K1513" t="s">
        <v>365</v>
      </c>
      <c r="L1513" t="s">
        <v>1090</v>
      </c>
    </row>
    <row r="1514" spans="1:12">
      <c r="A1514" t="s">
        <v>318</v>
      </c>
      <c r="B1514" t="s">
        <v>1391</v>
      </c>
      <c r="C1514" t="s">
        <v>1528</v>
      </c>
      <c r="D1514" s="28">
        <v>7600100043425</v>
      </c>
      <c r="E1514" s="29" t="s">
        <v>987</v>
      </c>
      <c r="F1514" s="29" t="s">
        <v>364</v>
      </c>
      <c r="G1514">
        <v>350</v>
      </c>
      <c r="H1514" t="s">
        <v>1051</v>
      </c>
      <c r="I1514" t="s">
        <v>98</v>
      </c>
      <c r="J1514" t="s">
        <v>185</v>
      </c>
      <c r="K1514" t="s">
        <v>285</v>
      </c>
    </row>
    <row r="1515" spans="1:12">
      <c r="A1515" t="s">
        <v>318</v>
      </c>
      <c r="B1515" t="s">
        <v>1391</v>
      </c>
      <c r="C1515" t="s">
        <v>1529</v>
      </c>
      <c r="D1515" s="28">
        <v>7600100038976</v>
      </c>
      <c r="E1515" s="29" t="s">
        <v>987</v>
      </c>
      <c r="F1515" s="29" t="s">
        <v>364</v>
      </c>
      <c r="G1515">
        <v>200</v>
      </c>
      <c r="H1515" t="s">
        <v>1051</v>
      </c>
      <c r="I1515" t="s">
        <v>98</v>
      </c>
      <c r="J1515" t="s">
        <v>185</v>
      </c>
      <c r="K1515" t="s">
        <v>337</v>
      </c>
      <c r="L1515" t="s">
        <v>1090</v>
      </c>
    </row>
    <row r="1516" spans="1:12">
      <c r="A1516" t="s">
        <v>318</v>
      </c>
      <c r="B1516" t="s">
        <v>1391</v>
      </c>
      <c r="C1516" t="s">
        <v>1530</v>
      </c>
      <c r="D1516" s="28">
        <v>7600100073769</v>
      </c>
      <c r="E1516" s="29" t="s">
        <v>987</v>
      </c>
      <c r="F1516" s="29" t="s">
        <v>364</v>
      </c>
      <c r="G1516">
        <v>300</v>
      </c>
      <c r="H1516" t="s">
        <v>323</v>
      </c>
      <c r="I1516" t="s">
        <v>98</v>
      </c>
      <c r="J1516" t="s">
        <v>185</v>
      </c>
      <c r="K1516" t="s">
        <v>365</v>
      </c>
      <c r="L1516" t="s">
        <v>327</v>
      </c>
    </row>
    <row r="1517" spans="1:12">
      <c r="A1517" t="s">
        <v>318</v>
      </c>
      <c r="B1517" t="s">
        <v>1391</v>
      </c>
      <c r="C1517" t="s">
        <v>1531</v>
      </c>
      <c r="D1517" s="28">
        <v>7600100040896</v>
      </c>
      <c r="E1517" s="29" t="s">
        <v>987</v>
      </c>
      <c r="F1517" s="29" t="s">
        <v>364</v>
      </c>
      <c r="G1517">
        <v>100</v>
      </c>
      <c r="H1517" t="s">
        <v>323</v>
      </c>
      <c r="I1517" t="s">
        <v>98</v>
      </c>
      <c r="J1517" t="s">
        <v>185</v>
      </c>
      <c r="K1517" t="s">
        <v>365</v>
      </c>
      <c r="L1517" t="s">
        <v>1090</v>
      </c>
    </row>
    <row r="1518" spans="1:12">
      <c r="A1518" t="s">
        <v>318</v>
      </c>
      <c r="B1518" t="s">
        <v>1391</v>
      </c>
      <c r="C1518" t="s">
        <v>1532</v>
      </c>
      <c r="D1518" s="28">
        <v>7623300041478</v>
      </c>
      <c r="E1518" s="29" t="s">
        <v>987</v>
      </c>
      <c r="F1518" s="29" t="s">
        <v>364</v>
      </c>
      <c r="G1518">
        <v>140</v>
      </c>
      <c r="H1518" t="s">
        <v>323</v>
      </c>
      <c r="I1518" t="s">
        <v>98</v>
      </c>
      <c r="J1518" t="s">
        <v>1411</v>
      </c>
      <c r="K1518" t="s">
        <v>394</v>
      </c>
      <c r="L1518" t="s">
        <v>1090</v>
      </c>
    </row>
    <row r="1519" spans="1:12">
      <c r="A1519" t="s">
        <v>318</v>
      </c>
      <c r="B1519" t="s">
        <v>1533</v>
      </c>
      <c r="C1519" t="s">
        <v>1534</v>
      </c>
      <c r="D1519" s="28">
        <v>7600100014078</v>
      </c>
      <c r="E1519" s="29" t="s">
        <v>987</v>
      </c>
      <c r="F1519" s="29" t="s">
        <v>364</v>
      </c>
      <c r="G1519">
        <v>98</v>
      </c>
      <c r="H1519" t="s">
        <v>323</v>
      </c>
      <c r="I1519" t="s">
        <v>45</v>
      </c>
      <c r="J1519" t="s">
        <v>185</v>
      </c>
      <c r="K1519" t="s">
        <v>394</v>
      </c>
      <c r="L1519" t="s">
        <v>1090</v>
      </c>
    </row>
    <row r="1520" spans="1:12">
      <c r="A1520" t="s">
        <v>318</v>
      </c>
      <c r="B1520" t="s">
        <v>1533</v>
      </c>
      <c r="C1520" t="s">
        <v>1535</v>
      </c>
      <c r="D1520" s="28">
        <v>7600100030737</v>
      </c>
      <c r="E1520" s="29" t="s">
        <v>987</v>
      </c>
      <c r="F1520" s="29" t="s">
        <v>364</v>
      </c>
      <c r="G1520">
        <v>254</v>
      </c>
      <c r="H1520" t="s">
        <v>323</v>
      </c>
      <c r="I1520" t="s">
        <v>45</v>
      </c>
      <c r="J1520" t="s">
        <v>185</v>
      </c>
      <c r="K1520" t="s">
        <v>394</v>
      </c>
      <c r="L1520" t="s">
        <v>1090</v>
      </c>
    </row>
    <row r="1521" spans="1:12">
      <c r="A1521" t="s">
        <v>318</v>
      </c>
      <c r="B1521" t="s">
        <v>1533</v>
      </c>
      <c r="C1521" t="s">
        <v>1536</v>
      </c>
      <c r="D1521" s="28">
        <v>7600100033069</v>
      </c>
      <c r="E1521" s="29" t="s">
        <v>987</v>
      </c>
      <c r="F1521" s="29" t="s">
        <v>364</v>
      </c>
      <c r="G1521">
        <v>81</v>
      </c>
      <c r="H1521" t="s">
        <v>323</v>
      </c>
      <c r="I1521" t="s">
        <v>45</v>
      </c>
      <c r="J1521" t="s">
        <v>185</v>
      </c>
      <c r="K1521" t="s">
        <v>989</v>
      </c>
      <c r="L1521" t="s">
        <v>1090</v>
      </c>
    </row>
    <row r="1522" spans="1:12">
      <c r="A1522" t="s">
        <v>318</v>
      </c>
      <c r="B1522" t="s">
        <v>1533</v>
      </c>
      <c r="C1522" t="s">
        <v>1537</v>
      </c>
      <c r="D1522" s="28">
        <v>7600100039084</v>
      </c>
      <c r="E1522" s="29" t="s">
        <v>987</v>
      </c>
      <c r="F1522" s="29" t="s">
        <v>364</v>
      </c>
      <c r="G1522">
        <v>140</v>
      </c>
      <c r="H1522" t="s">
        <v>323</v>
      </c>
      <c r="I1522" t="s">
        <v>45</v>
      </c>
      <c r="J1522" t="s">
        <v>185</v>
      </c>
      <c r="K1522" t="s">
        <v>989</v>
      </c>
      <c r="L1522" t="s">
        <v>1090</v>
      </c>
    </row>
    <row r="1523" spans="1:12">
      <c r="A1523" t="s">
        <v>318</v>
      </c>
      <c r="B1523" t="s">
        <v>1533</v>
      </c>
      <c r="C1523" t="s">
        <v>1538</v>
      </c>
      <c r="D1523" s="28">
        <v>7600100026232</v>
      </c>
      <c r="E1523" s="29" t="s">
        <v>368</v>
      </c>
      <c r="F1523" s="29" t="s">
        <v>364</v>
      </c>
      <c r="G1523">
        <v>101</v>
      </c>
      <c r="H1523" t="s">
        <v>323</v>
      </c>
      <c r="I1523" t="s">
        <v>45</v>
      </c>
      <c r="J1523" t="s">
        <v>185</v>
      </c>
      <c r="K1523" t="s">
        <v>989</v>
      </c>
      <c r="L1523" t="s">
        <v>1090</v>
      </c>
    </row>
    <row r="1524" spans="1:12">
      <c r="A1524" t="s">
        <v>318</v>
      </c>
      <c r="B1524" t="s">
        <v>1533</v>
      </c>
      <c r="C1524" t="s">
        <v>1539</v>
      </c>
      <c r="D1524" s="28">
        <v>7600100049360</v>
      </c>
      <c r="E1524" s="29" t="s">
        <v>363</v>
      </c>
      <c r="F1524" s="29" t="s">
        <v>364</v>
      </c>
      <c r="G1524">
        <v>64</v>
      </c>
      <c r="H1524" t="s">
        <v>323</v>
      </c>
      <c r="I1524" t="s">
        <v>45</v>
      </c>
      <c r="J1524" t="s">
        <v>185</v>
      </c>
      <c r="K1524" t="s">
        <v>365</v>
      </c>
      <c r="L1524" t="s">
        <v>1090</v>
      </c>
    </row>
    <row r="1525" spans="1:12">
      <c r="A1525" t="s">
        <v>318</v>
      </c>
      <c r="B1525" t="s">
        <v>1533</v>
      </c>
      <c r="C1525" t="s">
        <v>1540</v>
      </c>
      <c r="D1525" s="28">
        <v>7600100061052</v>
      </c>
      <c r="E1525" s="29" t="s">
        <v>363</v>
      </c>
      <c r="F1525" s="29" t="s">
        <v>364</v>
      </c>
      <c r="G1525">
        <v>45</v>
      </c>
      <c r="H1525" t="s">
        <v>323</v>
      </c>
      <c r="I1525" t="s">
        <v>45</v>
      </c>
      <c r="J1525" t="s">
        <v>185</v>
      </c>
      <c r="K1525" t="s">
        <v>365</v>
      </c>
      <c r="L1525" t="s">
        <v>327</v>
      </c>
    </row>
    <row r="1526" spans="1:12">
      <c r="A1526" t="s">
        <v>318</v>
      </c>
      <c r="B1526" t="s">
        <v>1533</v>
      </c>
      <c r="C1526" t="s">
        <v>1541</v>
      </c>
      <c r="D1526" s="28">
        <v>7600100100849</v>
      </c>
      <c r="E1526" s="29" t="s">
        <v>363</v>
      </c>
      <c r="F1526" s="29" t="s">
        <v>364</v>
      </c>
      <c r="G1526">
        <v>58</v>
      </c>
      <c r="H1526" t="s">
        <v>323</v>
      </c>
      <c r="I1526" t="s">
        <v>45</v>
      </c>
      <c r="J1526" t="s">
        <v>185</v>
      </c>
      <c r="K1526" t="s">
        <v>394</v>
      </c>
      <c r="L1526" t="s">
        <v>327</v>
      </c>
    </row>
    <row r="1527" spans="1:12">
      <c r="A1527" t="s">
        <v>318</v>
      </c>
      <c r="B1527" t="s">
        <v>1533</v>
      </c>
      <c r="C1527" t="s">
        <v>1542</v>
      </c>
      <c r="D1527" s="28">
        <v>760011113743</v>
      </c>
      <c r="E1527" s="29" t="s">
        <v>368</v>
      </c>
      <c r="F1527" s="29" t="s">
        <v>364</v>
      </c>
      <c r="G1527">
        <v>86</v>
      </c>
      <c r="H1527" t="s">
        <v>323</v>
      </c>
      <c r="I1527" t="s">
        <v>45</v>
      </c>
      <c r="J1527" t="s">
        <v>185</v>
      </c>
      <c r="K1527" t="s">
        <v>394</v>
      </c>
      <c r="L1527" t="s">
        <v>327</v>
      </c>
    </row>
    <row r="1528" spans="1:12">
      <c r="A1528" t="s">
        <v>318</v>
      </c>
      <c r="B1528" t="s">
        <v>1533</v>
      </c>
      <c r="C1528" t="s">
        <v>1543</v>
      </c>
      <c r="D1528" s="28">
        <v>7600100052520</v>
      </c>
      <c r="E1528" s="29" t="s">
        <v>371</v>
      </c>
      <c r="F1528" s="29" t="s">
        <v>372</v>
      </c>
      <c r="G1528">
        <v>9</v>
      </c>
      <c r="H1528" t="s">
        <v>323</v>
      </c>
      <c r="I1528" t="s">
        <v>98</v>
      </c>
      <c r="J1528" t="s">
        <v>185</v>
      </c>
      <c r="K1528" t="s">
        <v>285</v>
      </c>
      <c r="L1528" t="s">
        <v>327</v>
      </c>
    </row>
    <row r="1529" spans="1:12">
      <c r="A1529" t="s">
        <v>318</v>
      </c>
      <c r="B1529" t="s">
        <v>1533</v>
      </c>
      <c r="C1529" t="s">
        <v>1544</v>
      </c>
      <c r="D1529" s="28">
        <v>7600100052524</v>
      </c>
      <c r="E1529" s="29" t="s">
        <v>371</v>
      </c>
      <c r="F1529" s="29" t="s">
        <v>372</v>
      </c>
      <c r="G1529">
        <v>11</v>
      </c>
      <c r="H1529" t="s">
        <v>323</v>
      </c>
      <c r="I1529" t="s">
        <v>98</v>
      </c>
      <c r="J1529" t="s">
        <v>185</v>
      </c>
      <c r="K1529" t="s">
        <v>285</v>
      </c>
      <c r="L1529" t="s">
        <v>327</v>
      </c>
    </row>
    <row r="1530" spans="1:12">
      <c r="A1530" t="s">
        <v>318</v>
      </c>
      <c r="B1530" t="s">
        <v>1533</v>
      </c>
      <c r="C1530" t="s">
        <v>1545</v>
      </c>
      <c r="D1530" s="28">
        <v>7600100053648</v>
      </c>
      <c r="E1530" s="29" t="s">
        <v>371</v>
      </c>
      <c r="F1530" s="29" t="s">
        <v>372</v>
      </c>
      <c r="G1530">
        <v>13</v>
      </c>
      <c r="H1530" t="s">
        <v>323</v>
      </c>
      <c r="I1530" t="s">
        <v>98</v>
      </c>
      <c r="J1530" t="s">
        <v>185</v>
      </c>
      <c r="K1530" t="s">
        <v>285</v>
      </c>
      <c r="L1530" t="s">
        <v>327</v>
      </c>
    </row>
    <row r="1531" spans="1:12">
      <c r="A1531" t="s">
        <v>318</v>
      </c>
      <c r="B1531" t="s">
        <v>1533</v>
      </c>
      <c r="C1531" t="s">
        <v>789</v>
      </c>
      <c r="D1531" s="28">
        <v>7600100053659</v>
      </c>
      <c r="E1531" s="29" t="s">
        <v>371</v>
      </c>
      <c r="F1531" s="29" t="s">
        <v>372</v>
      </c>
      <c r="G1531">
        <v>13</v>
      </c>
      <c r="H1531" t="s">
        <v>323</v>
      </c>
      <c r="I1531" t="s">
        <v>98</v>
      </c>
      <c r="J1531" t="s">
        <v>185</v>
      </c>
      <c r="K1531" t="s">
        <v>285</v>
      </c>
      <c r="L1531" t="s">
        <v>327</v>
      </c>
    </row>
    <row r="1532" spans="1:12">
      <c r="A1532" t="s">
        <v>318</v>
      </c>
      <c r="B1532" t="s">
        <v>1533</v>
      </c>
      <c r="C1532" t="s">
        <v>1546</v>
      </c>
      <c r="D1532" s="28">
        <v>7600100053667</v>
      </c>
      <c r="E1532" s="29" t="s">
        <v>371</v>
      </c>
      <c r="F1532" s="29" t="s">
        <v>372</v>
      </c>
      <c r="G1532">
        <v>9</v>
      </c>
      <c r="H1532" t="s">
        <v>323</v>
      </c>
      <c r="I1532" t="s">
        <v>98</v>
      </c>
      <c r="J1532" t="s">
        <v>185</v>
      </c>
      <c r="K1532" t="s">
        <v>285</v>
      </c>
      <c r="L1532" t="s">
        <v>327</v>
      </c>
    </row>
    <row r="1533" spans="1:12">
      <c r="A1533" t="s">
        <v>318</v>
      </c>
      <c r="B1533" t="s">
        <v>1533</v>
      </c>
      <c r="C1533" t="s">
        <v>377</v>
      </c>
      <c r="D1533" s="28">
        <v>7600100053676</v>
      </c>
      <c r="E1533" s="29" t="s">
        <v>371</v>
      </c>
      <c r="F1533" s="29" t="s">
        <v>372</v>
      </c>
      <c r="G1533">
        <v>12</v>
      </c>
      <c r="H1533" t="s">
        <v>323</v>
      </c>
      <c r="I1533" t="s">
        <v>98</v>
      </c>
      <c r="J1533" t="s">
        <v>185</v>
      </c>
      <c r="K1533" t="s">
        <v>285</v>
      </c>
      <c r="L1533" t="s">
        <v>327</v>
      </c>
    </row>
    <row r="1534" spans="1:12">
      <c r="A1534" t="s">
        <v>318</v>
      </c>
      <c r="B1534" t="s">
        <v>1533</v>
      </c>
      <c r="C1534" t="s">
        <v>1547</v>
      </c>
      <c r="D1534" s="28">
        <v>7600100054381</v>
      </c>
      <c r="E1534" s="29" t="s">
        <v>371</v>
      </c>
      <c r="F1534" s="29" t="s">
        <v>372</v>
      </c>
      <c r="G1534">
        <v>13</v>
      </c>
      <c r="H1534" t="s">
        <v>323</v>
      </c>
      <c r="I1534" t="s">
        <v>98</v>
      </c>
      <c r="J1534" t="s">
        <v>185</v>
      </c>
      <c r="K1534" t="s">
        <v>1226</v>
      </c>
      <c r="L1534" t="s">
        <v>327</v>
      </c>
    </row>
    <row r="1535" spans="1:12">
      <c r="A1535" t="s">
        <v>318</v>
      </c>
      <c r="B1535" t="s">
        <v>1533</v>
      </c>
      <c r="C1535" t="s">
        <v>1152</v>
      </c>
      <c r="D1535" s="28">
        <v>7600100054560</v>
      </c>
      <c r="E1535" s="29" t="s">
        <v>371</v>
      </c>
      <c r="F1535" s="29" t="s">
        <v>372</v>
      </c>
      <c r="G1535">
        <v>5</v>
      </c>
      <c r="H1535" t="s">
        <v>323</v>
      </c>
      <c r="I1535" t="s">
        <v>98</v>
      </c>
      <c r="J1535" t="s">
        <v>185</v>
      </c>
      <c r="K1535" t="s">
        <v>285</v>
      </c>
      <c r="L1535" t="s">
        <v>327</v>
      </c>
    </row>
    <row r="1536" spans="1:12">
      <c r="A1536" t="s">
        <v>318</v>
      </c>
      <c r="B1536" t="s">
        <v>1533</v>
      </c>
      <c r="C1536" t="s">
        <v>1548</v>
      </c>
      <c r="D1536" s="28">
        <v>7600100054565</v>
      </c>
      <c r="E1536" s="29" t="s">
        <v>371</v>
      </c>
      <c r="F1536" s="29" t="s">
        <v>372</v>
      </c>
      <c r="G1536">
        <v>7</v>
      </c>
      <c r="H1536" t="s">
        <v>323</v>
      </c>
      <c r="I1536" t="s">
        <v>98</v>
      </c>
      <c r="J1536" t="s">
        <v>185</v>
      </c>
      <c r="K1536" t="s">
        <v>285</v>
      </c>
      <c r="L1536" t="s">
        <v>327</v>
      </c>
    </row>
    <row r="1537" spans="1:12">
      <c r="A1537" t="s">
        <v>318</v>
      </c>
      <c r="B1537" t="s">
        <v>1533</v>
      </c>
      <c r="C1537" t="s">
        <v>1549</v>
      </c>
      <c r="D1537" s="28">
        <v>7600100054570</v>
      </c>
      <c r="E1537" s="29" t="s">
        <v>371</v>
      </c>
      <c r="F1537" s="29" t="s">
        <v>372</v>
      </c>
      <c r="G1537">
        <v>9</v>
      </c>
      <c r="H1537" t="s">
        <v>323</v>
      </c>
      <c r="I1537" t="s">
        <v>98</v>
      </c>
      <c r="J1537" t="s">
        <v>185</v>
      </c>
      <c r="K1537" t="s">
        <v>285</v>
      </c>
      <c r="L1537" t="s">
        <v>327</v>
      </c>
    </row>
    <row r="1538" spans="1:12">
      <c r="A1538" t="s">
        <v>318</v>
      </c>
      <c r="B1538" t="s">
        <v>1533</v>
      </c>
      <c r="C1538" t="s">
        <v>1550</v>
      </c>
      <c r="D1538" s="28">
        <v>7600100054575</v>
      </c>
      <c r="E1538" s="29" t="s">
        <v>371</v>
      </c>
      <c r="F1538" s="29" t="s">
        <v>372</v>
      </c>
      <c r="G1538">
        <v>11</v>
      </c>
      <c r="H1538" t="s">
        <v>323</v>
      </c>
      <c r="I1538" t="s">
        <v>98</v>
      </c>
      <c r="J1538" t="s">
        <v>185</v>
      </c>
      <c r="K1538" t="s">
        <v>1226</v>
      </c>
      <c r="L1538" t="s">
        <v>327</v>
      </c>
    </row>
    <row r="1539" spans="1:12">
      <c r="A1539" t="s">
        <v>318</v>
      </c>
      <c r="B1539" t="s">
        <v>1533</v>
      </c>
      <c r="C1539" t="s">
        <v>1551</v>
      </c>
      <c r="D1539" s="28">
        <v>7600100110416</v>
      </c>
      <c r="E1539" s="29" t="s">
        <v>371</v>
      </c>
      <c r="F1539" s="29" t="s">
        <v>372</v>
      </c>
      <c r="G1539">
        <v>10</v>
      </c>
      <c r="H1539" t="s">
        <v>323</v>
      </c>
      <c r="I1539" t="s">
        <v>98</v>
      </c>
      <c r="J1539" t="s">
        <v>185</v>
      </c>
      <c r="K1539" t="s">
        <v>285</v>
      </c>
      <c r="L1539" t="s">
        <v>327</v>
      </c>
    </row>
    <row r="1540" spans="1:12">
      <c r="A1540" t="s">
        <v>318</v>
      </c>
      <c r="B1540" t="s">
        <v>1533</v>
      </c>
      <c r="C1540" t="s">
        <v>1552</v>
      </c>
      <c r="D1540" s="28">
        <v>7600100116412</v>
      </c>
      <c r="E1540" s="29" t="s">
        <v>371</v>
      </c>
      <c r="F1540" s="29" t="s">
        <v>372</v>
      </c>
      <c r="G1540">
        <v>13</v>
      </c>
      <c r="H1540" t="s">
        <v>323</v>
      </c>
      <c r="I1540" t="s">
        <v>98</v>
      </c>
      <c r="J1540" t="s">
        <v>185</v>
      </c>
      <c r="K1540" t="s">
        <v>285</v>
      </c>
      <c r="L1540" t="s">
        <v>327</v>
      </c>
    </row>
    <row r="1541" spans="1:12">
      <c r="A1541" t="s">
        <v>318</v>
      </c>
      <c r="B1541" t="s">
        <v>1533</v>
      </c>
      <c r="C1541" t="s">
        <v>1553</v>
      </c>
      <c r="D1541" s="28">
        <v>7600100116415</v>
      </c>
      <c r="E1541" s="29" t="s">
        <v>371</v>
      </c>
      <c r="F1541" s="29" t="s">
        <v>372</v>
      </c>
      <c r="G1541">
        <v>11</v>
      </c>
      <c r="H1541" t="s">
        <v>323</v>
      </c>
      <c r="I1541" t="s">
        <v>98</v>
      </c>
      <c r="J1541" t="s">
        <v>185</v>
      </c>
      <c r="K1541" t="s">
        <v>285</v>
      </c>
      <c r="L1541" t="s">
        <v>327</v>
      </c>
    </row>
    <row r="1542" spans="1:12">
      <c r="A1542" t="s">
        <v>318</v>
      </c>
      <c r="B1542" t="s">
        <v>1533</v>
      </c>
      <c r="C1542" t="s">
        <v>1552</v>
      </c>
      <c r="D1542" s="28">
        <v>7600100116419</v>
      </c>
      <c r="E1542" s="29" t="s">
        <v>371</v>
      </c>
      <c r="F1542" s="29" t="s">
        <v>372</v>
      </c>
      <c r="G1542">
        <v>13</v>
      </c>
      <c r="H1542" t="s">
        <v>323</v>
      </c>
      <c r="I1542" t="s">
        <v>98</v>
      </c>
      <c r="J1542" t="s">
        <v>185</v>
      </c>
      <c r="K1542" t="s">
        <v>285</v>
      </c>
      <c r="L1542" t="s">
        <v>327</v>
      </c>
    </row>
    <row r="1543" spans="1:12">
      <c r="A1543" t="s">
        <v>318</v>
      </c>
      <c r="B1543" t="s">
        <v>1533</v>
      </c>
      <c r="C1543" t="s">
        <v>1554</v>
      </c>
      <c r="D1543" s="28">
        <v>760011118771</v>
      </c>
      <c r="E1543" s="29" t="s">
        <v>371</v>
      </c>
      <c r="F1543" s="29" t="s">
        <v>372</v>
      </c>
      <c r="G1543">
        <v>13</v>
      </c>
      <c r="H1543" t="s">
        <v>323</v>
      </c>
      <c r="I1543" t="s">
        <v>98</v>
      </c>
      <c r="J1543" t="s">
        <v>185</v>
      </c>
      <c r="K1543" t="s">
        <v>285</v>
      </c>
      <c r="L1543" t="s">
        <v>327</v>
      </c>
    </row>
    <row r="1544" spans="1:12">
      <c r="A1544" t="s">
        <v>318</v>
      </c>
      <c r="B1544" t="s">
        <v>1533</v>
      </c>
      <c r="C1544" t="s">
        <v>1555</v>
      </c>
      <c r="D1544" s="28">
        <v>760011122252</v>
      </c>
      <c r="E1544" s="29" t="s">
        <v>371</v>
      </c>
      <c r="F1544" s="29" t="s">
        <v>372</v>
      </c>
      <c r="G1544">
        <v>11</v>
      </c>
      <c r="H1544" t="s">
        <v>323</v>
      </c>
      <c r="I1544" t="s">
        <v>98</v>
      </c>
      <c r="J1544" t="s">
        <v>185</v>
      </c>
      <c r="K1544" t="s">
        <v>285</v>
      </c>
      <c r="L1544" t="s">
        <v>327</v>
      </c>
    </row>
    <row r="1545" spans="1:12">
      <c r="A1545" t="s">
        <v>318</v>
      </c>
      <c r="B1545" t="s">
        <v>1533</v>
      </c>
      <c r="C1545" t="s">
        <v>892</v>
      </c>
      <c r="D1545" s="28">
        <v>760011140047</v>
      </c>
      <c r="E1545" s="29" t="s">
        <v>371</v>
      </c>
      <c r="F1545" s="29" t="s">
        <v>372</v>
      </c>
      <c r="G1545">
        <v>12</v>
      </c>
      <c r="H1545" t="s">
        <v>323</v>
      </c>
      <c r="I1545" t="s">
        <v>98</v>
      </c>
      <c r="J1545" t="s">
        <v>185</v>
      </c>
      <c r="K1545" t="s">
        <v>285</v>
      </c>
      <c r="L1545" t="s">
        <v>327</v>
      </c>
    </row>
    <row r="1546" spans="1:12">
      <c r="A1546" t="s">
        <v>318</v>
      </c>
      <c r="B1546" t="s">
        <v>1533</v>
      </c>
      <c r="C1546" t="s">
        <v>1556</v>
      </c>
      <c r="D1546" s="28">
        <v>7600100018260</v>
      </c>
      <c r="E1546" s="29" t="s">
        <v>371</v>
      </c>
      <c r="F1546" s="29" t="s">
        <v>372</v>
      </c>
      <c r="G1546">
        <v>11</v>
      </c>
      <c r="H1546" t="s">
        <v>323</v>
      </c>
      <c r="I1546" t="s">
        <v>98</v>
      </c>
      <c r="J1546" t="s">
        <v>185</v>
      </c>
      <c r="K1546" t="s">
        <v>285</v>
      </c>
      <c r="L1546" t="s">
        <v>327</v>
      </c>
    </row>
    <row r="1547" spans="1:12">
      <c r="A1547" t="s">
        <v>318</v>
      </c>
      <c r="B1547" t="s">
        <v>1533</v>
      </c>
      <c r="C1547" t="s">
        <v>1557</v>
      </c>
      <c r="D1547" s="28">
        <v>7600100018493</v>
      </c>
      <c r="E1547" s="29" t="s">
        <v>371</v>
      </c>
      <c r="F1547" s="29" t="s">
        <v>372</v>
      </c>
      <c r="G1547">
        <v>12</v>
      </c>
      <c r="H1547" t="s">
        <v>323</v>
      </c>
      <c r="I1547" t="s">
        <v>98</v>
      </c>
      <c r="J1547" t="s">
        <v>185</v>
      </c>
      <c r="K1547" t="s">
        <v>1226</v>
      </c>
      <c r="L1547" t="s">
        <v>327</v>
      </c>
    </row>
    <row r="1548" spans="1:12">
      <c r="A1548" t="s">
        <v>318</v>
      </c>
      <c r="B1548" t="s">
        <v>1533</v>
      </c>
      <c r="C1548" t="s">
        <v>1558</v>
      </c>
      <c r="D1548" s="28">
        <v>7600100018495</v>
      </c>
      <c r="E1548" s="29" t="s">
        <v>371</v>
      </c>
      <c r="F1548" s="29" t="s">
        <v>372</v>
      </c>
      <c r="G1548">
        <v>11</v>
      </c>
      <c r="H1548" t="s">
        <v>323</v>
      </c>
      <c r="I1548" t="s">
        <v>98</v>
      </c>
      <c r="J1548" t="s">
        <v>185</v>
      </c>
      <c r="K1548" t="s">
        <v>1226</v>
      </c>
      <c r="L1548" t="s">
        <v>327</v>
      </c>
    </row>
    <row r="1549" spans="1:12">
      <c r="A1549" t="s">
        <v>318</v>
      </c>
      <c r="B1549" t="s">
        <v>1533</v>
      </c>
      <c r="C1549" t="s">
        <v>1559</v>
      </c>
      <c r="D1549" s="28">
        <v>7600100018501</v>
      </c>
      <c r="E1549" s="29" t="s">
        <v>371</v>
      </c>
      <c r="F1549" s="29" t="s">
        <v>372</v>
      </c>
      <c r="G1549">
        <v>11</v>
      </c>
      <c r="H1549" t="s">
        <v>323</v>
      </c>
      <c r="I1549" t="s">
        <v>98</v>
      </c>
      <c r="J1549" t="s">
        <v>185</v>
      </c>
      <c r="K1549" t="s">
        <v>285</v>
      </c>
      <c r="L1549" t="s">
        <v>327</v>
      </c>
    </row>
    <row r="1550" spans="1:12">
      <c r="A1550" t="s">
        <v>318</v>
      </c>
      <c r="B1550" t="s">
        <v>1533</v>
      </c>
      <c r="C1550" t="s">
        <v>1560</v>
      </c>
      <c r="D1550" s="28">
        <v>7600100018506</v>
      </c>
      <c r="E1550" s="29" t="s">
        <v>371</v>
      </c>
      <c r="F1550" s="29" t="s">
        <v>372</v>
      </c>
      <c r="G1550">
        <v>0</v>
      </c>
      <c r="H1550" t="s">
        <v>323</v>
      </c>
      <c r="I1550" t="s">
        <v>98</v>
      </c>
      <c r="J1550" t="s">
        <v>185</v>
      </c>
      <c r="K1550" t="s">
        <v>1226</v>
      </c>
      <c r="L1550" t="s">
        <v>327</v>
      </c>
    </row>
    <row r="1551" spans="1:12">
      <c r="A1551" t="s">
        <v>318</v>
      </c>
      <c r="B1551" t="s">
        <v>1533</v>
      </c>
      <c r="C1551" t="s">
        <v>1561</v>
      </c>
      <c r="D1551" s="28">
        <v>7600100018517</v>
      </c>
      <c r="E1551" s="29" t="s">
        <v>371</v>
      </c>
      <c r="F1551" s="29" t="s">
        <v>372</v>
      </c>
      <c r="G1551">
        <v>10</v>
      </c>
      <c r="H1551" t="s">
        <v>323</v>
      </c>
      <c r="I1551" t="s">
        <v>98</v>
      </c>
      <c r="J1551" t="s">
        <v>185</v>
      </c>
      <c r="K1551" t="s">
        <v>285</v>
      </c>
      <c r="L1551" t="s">
        <v>327</v>
      </c>
    </row>
    <row r="1552" spans="1:12">
      <c r="A1552" t="s">
        <v>318</v>
      </c>
      <c r="B1552" t="s">
        <v>1533</v>
      </c>
      <c r="C1552" t="s">
        <v>1562</v>
      </c>
      <c r="D1552" s="28">
        <v>7600100047542</v>
      </c>
      <c r="E1552" s="29" t="s">
        <v>371</v>
      </c>
      <c r="F1552" s="29" t="s">
        <v>372</v>
      </c>
      <c r="G1552">
        <v>12</v>
      </c>
      <c r="H1552" t="s">
        <v>323</v>
      </c>
      <c r="I1552" t="s">
        <v>98</v>
      </c>
      <c r="J1552" t="s">
        <v>185</v>
      </c>
      <c r="K1552" t="s">
        <v>285</v>
      </c>
      <c r="L1552" t="s">
        <v>327</v>
      </c>
    </row>
    <row r="1553" spans="1:12">
      <c r="A1553" t="s">
        <v>318</v>
      </c>
      <c r="B1553" t="s">
        <v>1533</v>
      </c>
      <c r="C1553" t="s">
        <v>1563</v>
      </c>
      <c r="D1553" s="28">
        <v>7600100047550</v>
      </c>
      <c r="E1553" s="29" t="s">
        <v>371</v>
      </c>
      <c r="F1553" s="29" t="s">
        <v>372</v>
      </c>
      <c r="G1553">
        <v>13</v>
      </c>
      <c r="H1553" t="s">
        <v>323</v>
      </c>
      <c r="I1553" t="s">
        <v>98</v>
      </c>
      <c r="J1553" t="s">
        <v>185</v>
      </c>
      <c r="K1553" t="s">
        <v>285</v>
      </c>
      <c r="L1553" t="s">
        <v>327</v>
      </c>
    </row>
    <row r="1554" spans="1:12">
      <c r="A1554" t="s">
        <v>318</v>
      </c>
      <c r="B1554" t="s">
        <v>1533</v>
      </c>
      <c r="C1554" t="s">
        <v>1564</v>
      </c>
      <c r="D1554" s="28">
        <v>7600100047559</v>
      </c>
      <c r="E1554" s="29" t="s">
        <v>371</v>
      </c>
      <c r="F1554" s="29" t="s">
        <v>372</v>
      </c>
      <c r="G1554">
        <v>13</v>
      </c>
      <c r="H1554" t="s">
        <v>323</v>
      </c>
      <c r="I1554" t="s">
        <v>98</v>
      </c>
      <c r="J1554" t="s">
        <v>185</v>
      </c>
      <c r="K1554" t="s">
        <v>285</v>
      </c>
      <c r="L1554" t="s">
        <v>327</v>
      </c>
    </row>
    <row r="1555" spans="1:12">
      <c r="A1555" t="s">
        <v>318</v>
      </c>
      <c r="B1555" t="s">
        <v>1533</v>
      </c>
      <c r="C1555" t="s">
        <v>1565</v>
      </c>
      <c r="D1555" s="28">
        <v>7600100047614</v>
      </c>
      <c r="E1555" s="29" t="s">
        <v>371</v>
      </c>
      <c r="F1555" s="29" t="s">
        <v>372</v>
      </c>
      <c r="G1555">
        <v>12</v>
      </c>
      <c r="H1555" t="s">
        <v>323</v>
      </c>
      <c r="I1555" t="s">
        <v>45</v>
      </c>
      <c r="J1555" t="s">
        <v>185</v>
      </c>
      <c r="K1555" t="s">
        <v>285</v>
      </c>
      <c r="L1555" t="s">
        <v>327</v>
      </c>
    </row>
    <row r="1556" spans="1:12">
      <c r="A1556" t="s">
        <v>318</v>
      </c>
      <c r="B1556" t="s">
        <v>1533</v>
      </c>
      <c r="C1556" t="s">
        <v>1566</v>
      </c>
      <c r="D1556" s="28">
        <v>7600100047624</v>
      </c>
      <c r="E1556" s="29" t="s">
        <v>371</v>
      </c>
      <c r="F1556" s="29" t="s">
        <v>372</v>
      </c>
      <c r="G1556">
        <v>11</v>
      </c>
      <c r="H1556" t="s">
        <v>323</v>
      </c>
      <c r="I1556" t="s">
        <v>45</v>
      </c>
      <c r="J1556" t="s">
        <v>185</v>
      </c>
      <c r="K1556" t="s">
        <v>285</v>
      </c>
      <c r="L1556" t="s">
        <v>327</v>
      </c>
    </row>
    <row r="1557" spans="1:12">
      <c r="A1557" t="s">
        <v>318</v>
      </c>
      <c r="B1557" t="s">
        <v>1533</v>
      </c>
      <c r="C1557" t="s">
        <v>389</v>
      </c>
      <c r="D1557" s="28">
        <v>7600100047626</v>
      </c>
      <c r="E1557" s="29" t="s">
        <v>371</v>
      </c>
      <c r="F1557" s="29" t="s">
        <v>372</v>
      </c>
      <c r="G1557">
        <v>13</v>
      </c>
      <c r="H1557" t="s">
        <v>323</v>
      </c>
      <c r="I1557" t="s">
        <v>98</v>
      </c>
      <c r="J1557" t="s">
        <v>185</v>
      </c>
      <c r="K1557" t="s">
        <v>285</v>
      </c>
      <c r="L1557" t="s">
        <v>327</v>
      </c>
    </row>
    <row r="1558" spans="1:12">
      <c r="A1558" t="s">
        <v>318</v>
      </c>
      <c r="B1558" t="s">
        <v>1533</v>
      </c>
      <c r="C1558" t="s">
        <v>507</v>
      </c>
      <c r="D1558" s="28">
        <v>7600100047811</v>
      </c>
      <c r="E1558" s="29" t="s">
        <v>371</v>
      </c>
      <c r="F1558" s="29" t="s">
        <v>372</v>
      </c>
      <c r="G1558">
        <v>10</v>
      </c>
      <c r="H1558" t="s">
        <v>323</v>
      </c>
      <c r="I1558" t="s">
        <v>98</v>
      </c>
      <c r="J1558" t="s">
        <v>185</v>
      </c>
      <c r="K1558" t="s">
        <v>285</v>
      </c>
      <c r="L1558" t="s">
        <v>327</v>
      </c>
    </row>
    <row r="1559" spans="1:12">
      <c r="A1559" t="s">
        <v>318</v>
      </c>
      <c r="B1559" t="s">
        <v>1533</v>
      </c>
      <c r="C1559" t="s">
        <v>636</v>
      </c>
      <c r="D1559" s="28">
        <v>7600100048781</v>
      </c>
      <c r="E1559" s="29" t="s">
        <v>371</v>
      </c>
      <c r="F1559" s="29" t="s">
        <v>372</v>
      </c>
      <c r="G1559">
        <v>13</v>
      </c>
      <c r="H1559" t="s">
        <v>323</v>
      </c>
      <c r="I1559" t="s">
        <v>98</v>
      </c>
      <c r="J1559" t="s">
        <v>185</v>
      </c>
      <c r="K1559" t="s">
        <v>285</v>
      </c>
      <c r="L1559" t="s">
        <v>327</v>
      </c>
    </row>
    <row r="1560" spans="1:12">
      <c r="A1560" t="s">
        <v>318</v>
      </c>
      <c r="B1560" t="s">
        <v>1533</v>
      </c>
      <c r="C1560" t="s">
        <v>1567</v>
      </c>
      <c r="D1560" s="28">
        <v>7600100048785</v>
      </c>
      <c r="E1560" s="29" t="s">
        <v>371</v>
      </c>
      <c r="F1560" s="29" t="s">
        <v>372</v>
      </c>
      <c r="G1560">
        <v>12</v>
      </c>
      <c r="H1560" t="s">
        <v>323</v>
      </c>
      <c r="I1560" t="s">
        <v>98</v>
      </c>
      <c r="J1560" t="s">
        <v>185</v>
      </c>
      <c r="K1560" t="s">
        <v>285</v>
      </c>
      <c r="L1560" t="s">
        <v>327</v>
      </c>
    </row>
    <row r="1561" spans="1:12">
      <c r="A1561" t="s">
        <v>318</v>
      </c>
      <c r="B1561" t="s">
        <v>1533</v>
      </c>
      <c r="C1561" t="s">
        <v>377</v>
      </c>
      <c r="D1561" s="28">
        <v>7600100048839</v>
      </c>
      <c r="E1561" s="29" t="s">
        <v>371</v>
      </c>
      <c r="F1561" s="29" t="s">
        <v>372</v>
      </c>
      <c r="G1561">
        <v>13</v>
      </c>
      <c r="H1561" t="s">
        <v>323</v>
      </c>
      <c r="I1561" t="s">
        <v>98</v>
      </c>
      <c r="J1561" t="s">
        <v>185</v>
      </c>
      <c r="K1561" t="s">
        <v>285</v>
      </c>
      <c r="L1561" t="s">
        <v>327</v>
      </c>
    </row>
    <row r="1562" spans="1:12">
      <c r="A1562" t="s">
        <v>318</v>
      </c>
      <c r="B1562" t="s">
        <v>1533</v>
      </c>
      <c r="C1562" t="s">
        <v>784</v>
      </c>
      <c r="D1562" s="28">
        <v>7600100048868</v>
      </c>
      <c r="E1562" s="29" t="s">
        <v>371</v>
      </c>
      <c r="F1562" s="29" t="s">
        <v>372</v>
      </c>
      <c r="G1562">
        <v>12</v>
      </c>
      <c r="H1562" t="s">
        <v>323</v>
      </c>
      <c r="I1562" t="s">
        <v>98</v>
      </c>
      <c r="J1562" t="s">
        <v>185</v>
      </c>
      <c r="K1562" t="s">
        <v>285</v>
      </c>
      <c r="L1562" t="s">
        <v>327</v>
      </c>
    </row>
    <row r="1563" spans="1:12">
      <c r="A1563" t="s">
        <v>318</v>
      </c>
      <c r="B1563" t="s">
        <v>1533</v>
      </c>
      <c r="C1563" t="s">
        <v>1447</v>
      </c>
      <c r="D1563" s="28">
        <v>7600100048908</v>
      </c>
      <c r="E1563" s="29" t="s">
        <v>371</v>
      </c>
      <c r="F1563" s="29" t="s">
        <v>372</v>
      </c>
      <c r="G1563">
        <v>12</v>
      </c>
      <c r="H1563" t="s">
        <v>323</v>
      </c>
      <c r="I1563" t="s">
        <v>98</v>
      </c>
      <c r="J1563" t="s">
        <v>185</v>
      </c>
      <c r="K1563" t="s">
        <v>285</v>
      </c>
      <c r="L1563" t="s">
        <v>327</v>
      </c>
    </row>
    <row r="1564" spans="1:12">
      <c r="A1564" t="s">
        <v>318</v>
      </c>
      <c r="B1564" t="s">
        <v>1533</v>
      </c>
      <c r="C1564" t="s">
        <v>1568</v>
      </c>
      <c r="D1564" s="28">
        <v>7600100048912</v>
      </c>
      <c r="E1564" s="29" t="s">
        <v>371</v>
      </c>
      <c r="F1564" s="29" t="s">
        <v>372</v>
      </c>
      <c r="G1564">
        <v>13</v>
      </c>
      <c r="H1564" t="s">
        <v>323</v>
      </c>
      <c r="I1564" t="s">
        <v>98</v>
      </c>
      <c r="J1564" t="s">
        <v>185</v>
      </c>
      <c r="K1564" t="s">
        <v>285</v>
      </c>
      <c r="L1564" t="s">
        <v>327</v>
      </c>
    </row>
    <row r="1565" spans="1:12">
      <c r="A1565" t="s">
        <v>318</v>
      </c>
      <c r="B1565" t="s">
        <v>1533</v>
      </c>
      <c r="C1565" t="s">
        <v>777</v>
      </c>
      <c r="D1565" s="28">
        <v>7600100048917</v>
      </c>
      <c r="E1565" s="29" t="s">
        <v>371</v>
      </c>
      <c r="F1565" s="29" t="s">
        <v>372</v>
      </c>
      <c r="G1565">
        <v>12</v>
      </c>
      <c r="H1565" t="s">
        <v>323</v>
      </c>
      <c r="I1565" t="s">
        <v>98</v>
      </c>
      <c r="J1565" t="s">
        <v>185</v>
      </c>
      <c r="K1565" t="s">
        <v>285</v>
      </c>
      <c r="L1565" t="s">
        <v>327</v>
      </c>
    </row>
    <row r="1566" spans="1:12">
      <c r="A1566" t="s">
        <v>318</v>
      </c>
      <c r="B1566" t="s">
        <v>1533</v>
      </c>
      <c r="C1566" t="s">
        <v>377</v>
      </c>
      <c r="D1566" s="28">
        <v>7600100048925</v>
      </c>
      <c r="E1566" s="29" t="s">
        <v>371</v>
      </c>
      <c r="F1566" s="29" t="s">
        <v>372</v>
      </c>
      <c r="G1566">
        <v>11</v>
      </c>
      <c r="H1566" t="s">
        <v>323</v>
      </c>
      <c r="I1566" t="s">
        <v>98</v>
      </c>
      <c r="J1566" t="s">
        <v>185</v>
      </c>
      <c r="K1566" t="s">
        <v>285</v>
      </c>
      <c r="L1566" t="s">
        <v>327</v>
      </c>
    </row>
    <row r="1567" spans="1:12">
      <c r="A1567" t="s">
        <v>318</v>
      </c>
      <c r="B1567" t="s">
        <v>1533</v>
      </c>
      <c r="C1567" t="s">
        <v>426</v>
      </c>
      <c r="D1567" s="28">
        <v>7600100048938</v>
      </c>
      <c r="E1567" s="29" t="s">
        <v>371</v>
      </c>
      <c r="F1567" s="29" t="s">
        <v>372</v>
      </c>
      <c r="G1567">
        <v>11</v>
      </c>
      <c r="H1567" t="s">
        <v>323</v>
      </c>
      <c r="I1567" t="s">
        <v>98</v>
      </c>
      <c r="J1567" t="s">
        <v>185</v>
      </c>
      <c r="K1567" t="s">
        <v>285</v>
      </c>
      <c r="L1567" t="s">
        <v>327</v>
      </c>
    </row>
    <row r="1568" spans="1:12">
      <c r="A1568" t="s">
        <v>318</v>
      </c>
      <c r="B1568" t="s">
        <v>1533</v>
      </c>
      <c r="C1568" t="s">
        <v>1569</v>
      </c>
      <c r="D1568" s="28">
        <v>7600100048981</v>
      </c>
      <c r="E1568" s="29" t="s">
        <v>371</v>
      </c>
      <c r="F1568" s="29" t="s">
        <v>372</v>
      </c>
      <c r="G1568">
        <v>12</v>
      </c>
      <c r="H1568" t="s">
        <v>323</v>
      </c>
      <c r="I1568" t="s">
        <v>98</v>
      </c>
      <c r="J1568" t="s">
        <v>185</v>
      </c>
      <c r="K1568" t="s">
        <v>285</v>
      </c>
      <c r="L1568" t="s">
        <v>327</v>
      </c>
    </row>
    <row r="1569" spans="1:12">
      <c r="A1569" t="s">
        <v>318</v>
      </c>
      <c r="B1569" t="s">
        <v>1533</v>
      </c>
      <c r="C1569" t="s">
        <v>1570</v>
      </c>
      <c r="D1569" s="28">
        <v>7600100048991</v>
      </c>
      <c r="E1569" s="29" t="s">
        <v>371</v>
      </c>
      <c r="F1569" s="29" t="s">
        <v>372</v>
      </c>
      <c r="G1569">
        <v>12</v>
      </c>
      <c r="H1569" t="s">
        <v>323</v>
      </c>
      <c r="I1569" t="s">
        <v>98</v>
      </c>
      <c r="J1569" t="s">
        <v>185</v>
      </c>
      <c r="K1569" t="s">
        <v>285</v>
      </c>
      <c r="L1569" t="s">
        <v>327</v>
      </c>
    </row>
    <row r="1570" spans="1:12">
      <c r="A1570" t="s">
        <v>318</v>
      </c>
      <c r="B1570" t="s">
        <v>1533</v>
      </c>
      <c r="C1570" t="s">
        <v>1571</v>
      </c>
      <c r="D1570" s="28">
        <v>7600100048998</v>
      </c>
      <c r="E1570" s="29" t="s">
        <v>371</v>
      </c>
      <c r="F1570" s="29" t="s">
        <v>372</v>
      </c>
      <c r="G1570">
        <v>13</v>
      </c>
      <c r="H1570" t="s">
        <v>323</v>
      </c>
      <c r="I1570" t="s">
        <v>98</v>
      </c>
      <c r="J1570" t="s">
        <v>185</v>
      </c>
      <c r="K1570" t="s">
        <v>285</v>
      </c>
      <c r="L1570" t="s">
        <v>327</v>
      </c>
    </row>
    <row r="1571" spans="1:12">
      <c r="A1571" t="s">
        <v>318</v>
      </c>
      <c r="B1571" t="s">
        <v>1533</v>
      </c>
      <c r="C1571" t="s">
        <v>1572</v>
      </c>
      <c r="D1571" s="28">
        <v>760011148354</v>
      </c>
      <c r="E1571" s="29" t="s">
        <v>1045</v>
      </c>
      <c r="F1571" s="29" t="s">
        <v>372</v>
      </c>
      <c r="G1571">
        <v>15</v>
      </c>
      <c r="H1571" t="s">
        <v>323</v>
      </c>
      <c r="I1571" t="s">
        <v>98</v>
      </c>
      <c r="J1571" t="s">
        <v>185</v>
      </c>
      <c r="K1571" t="s">
        <v>1226</v>
      </c>
      <c r="L1571" t="s">
        <v>327</v>
      </c>
    </row>
    <row r="1572" spans="1:12">
      <c r="A1572" t="s">
        <v>318</v>
      </c>
      <c r="B1572" t="s">
        <v>1533</v>
      </c>
      <c r="C1572" t="s">
        <v>1573</v>
      </c>
      <c r="D1572" s="28">
        <v>760011148356</v>
      </c>
      <c r="E1572" s="29" t="s">
        <v>1045</v>
      </c>
      <c r="F1572" s="29" t="s">
        <v>372</v>
      </c>
      <c r="G1572">
        <v>15</v>
      </c>
      <c r="H1572" t="s">
        <v>323</v>
      </c>
      <c r="I1572" t="s">
        <v>98</v>
      </c>
      <c r="J1572" t="s">
        <v>185</v>
      </c>
      <c r="K1572" t="s">
        <v>285</v>
      </c>
      <c r="L1572" t="s">
        <v>327</v>
      </c>
    </row>
    <row r="1573" spans="1:12">
      <c r="A1573" t="s">
        <v>318</v>
      </c>
      <c r="B1573" t="s">
        <v>1533</v>
      </c>
      <c r="C1573" t="s">
        <v>1230</v>
      </c>
      <c r="D1573" s="28">
        <v>760011148357</v>
      </c>
      <c r="E1573" s="29" t="s">
        <v>1045</v>
      </c>
      <c r="F1573" s="29" t="s">
        <v>372</v>
      </c>
      <c r="G1573">
        <v>15</v>
      </c>
      <c r="H1573" t="s">
        <v>323</v>
      </c>
      <c r="I1573" t="s">
        <v>98</v>
      </c>
      <c r="J1573" t="s">
        <v>185</v>
      </c>
      <c r="K1573" t="s">
        <v>1226</v>
      </c>
      <c r="L1573" t="s">
        <v>327</v>
      </c>
    </row>
    <row r="1574" spans="1:12">
      <c r="A1574" t="s">
        <v>318</v>
      </c>
      <c r="B1574" t="s">
        <v>1533</v>
      </c>
      <c r="C1574" t="s">
        <v>1574</v>
      </c>
      <c r="D1574" s="28">
        <v>7600100026848</v>
      </c>
      <c r="E1574" s="29" t="s">
        <v>363</v>
      </c>
      <c r="F1574" s="29" t="s">
        <v>364</v>
      </c>
      <c r="G1574">
        <v>197</v>
      </c>
      <c r="H1574" t="s">
        <v>323</v>
      </c>
      <c r="I1574" t="s">
        <v>45</v>
      </c>
      <c r="J1574" t="s">
        <v>185</v>
      </c>
      <c r="K1574" t="s">
        <v>394</v>
      </c>
      <c r="L1574" t="s">
        <v>327</v>
      </c>
    </row>
    <row r="1575" spans="1:12">
      <c r="A1575" t="s">
        <v>318</v>
      </c>
      <c r="B1575" t="s">
        <v>1533</v>
      </c>
      <c r="C1575" t="s">
        <v>1575</v>
      </c>
      <c r="D1575" s="28">
        <v>7600100030247</v>
      </c>
      <c r="E1575" s="29" t="s">
        <v>363</v>
      </c>
      <c r="F1575" s="29" t="s">
        <v>364</v>
      </c>
      <c r="G1575">
        <v>160</v>
      </c>
      <c r="H1575" t="s">
        <v>323</v>
      </c>
      <c r="I1575" t="s">
        <v>45</v>
      </c>
      <c r="J1575" t="s">
        <v>185</v>
      </c>
      <c r="K1575" t="s">
        <v>365</v>
      </c>
      <c r="L1575" t="s">
        <v>1090</v>
      </c>
    </row>
    <row r="1576" spans="1:12">
      <c r="A1576" t="s">
        <v>318</v>
      </c>
      <c r="B1576" t="s">
        <v>1533</v>
      </c>
      <c r="C1576" t="s">
        <v>1576</v>
      </c>
      <c r="D1576" s="28">
        <v>7600100123510</v>
      </c>
      <c r="E1576" s="29" t="s">
        <v>363</v>
      </c>
      <c r="F1576" s="29" t="s">
        <v>364</v>
      </c>
      <c r="G1576">
        <v>140</v>
      </c>
      <c r="H1576" t="s">
        <v>323</v>
      </c>
      <c r="I1576" t="s">
        <v>98</v>
      </c>
      <c r="J1576" t="s">
        <v>185</v>
      </c>
      <c r="K1576" t="s">
        <v>365</v>
      </c>
      <c r="L1576" t="s">
        <v>327</v>
      </c>
    </row>
    <row r="1577" spans="1:12">
      <c r="A1577" t="s">
        <v>318</v>
      </c>
      <c r="B1577" t="s">
        <v>1533</v>
      </c>
      <c r="C1577" t="s">
        <v>1577</v>
      </c>
      <c r="D1577" s="28">
        <v>7600100018528</v>
      </c>
      <c r="E1577" s="29" t="s">
        <v>441</v>
      </c>
      <c r="F1577" s="29" t="s">
        <v>372</v>
      </c>
      <c r="G1577">
        <v>13</v>
      </c>
      <c r="H1577" t="s">
        <v>323</v>
      </c>
      <c r="I1577" t="s">
        <v>45</v>
      </c>
      <c r="J1577" t="s">
        <v>185</v>
      </c>
      <c r="K1577" t="s">
        <v>285</v>
      </c>
      <c r="L1577" t="s">
        <v>327</v>
      </c>
    </row>
    <row r="1578" spans="1:12">
      <c r="A1578" t="s">
        <v>318</v>
      </c>
      <c r="B1578" t="s">
        <v>1533</v>
      </c>
      <c r="C1578" t="s">
        <v>1578</v>
      </c>
      <c r="D1578" s="28">
        <v>7600100018534</v>
      </c>
      <c r="E1578" s="29" t="s">
        <v>441</v>
      </c>
      <c r="F1578" s="29" t="s">
        <v>372</v>
      </c>
      <c r="G1578">
        <v>24</v>
      </c>
      <c r="H1578" t="s">
        <v>323</v>
      </c>
      <c r="I1578" t="s">
        <v>98</v>
      </c>
      <c r="J1578" t="s">
        <v>185</v>
      </c>
      <c r="K1578" t="s">
        <v>285</v>
      </c>
      <c r="L1578" t="s">
        <v>327</v>
      </c>
    </row>
    <row r="1579" spans="1:12">
      <c r="A1579" t="s">
        <v>318</v>
      </c>
      <c r="B1579" t="s">
        <v>1533</v>
      </c>
      <c r="C1579" t="s">
        <v>1579</v>
      </c>
      <c r="D1579" s="28">
        <v>7600100018545</v>
      </c>
      <c r="E1579" s="29" t="s">
        <v>441</v>
      </c>
      <c r="F1579" s="29" t="s">
        <v>372</v>
      </c>
      <c r="G1579">
        <v>26</v>
      </c>
      <c r="H1579" t="s">
        <v>323</v>
      </c>
      <c r="I1579" t="s">
        <v>98</v>
      </c>
      <c r="J1579" t="s">
        <v>185</v>
      </c>
      <c r="K1579" t="s">
        <v>285</v>
      </c>
      <c r="L1579" t="s">
        <v>327</v>
      </c>
    </row>
    <row r="1580" spans="1:12">
      <c r="A1580" t="s">
        <v>318</v>
      </c>
      <c r="B1580" t="s">
        <v>1533</v>
      </c>
      <c r="C1580" t="s">
        <v>1580</v>
      </c>
      <c r="D1580" s="28">
        <v>7600100018559</v>
      </c>
      <c r="E1580" s="29" t="s">
        <v>1045</v>
      </c>
      <c r="F1580" s="29" t="s">
        <v>372</v>
      </c>
      <c r="G1580">
        <v>15</v>
      </c>
      <c r="H1580" t="s">
        <v>323</v>
      </c>
      <c r="I1580" t="s">
        <v>98</v>
      </c>
      <c r="J1580" t="s">
        <v>185</v>
      </c>
      <c r="K1580" t="s">
        <v>285</v>
      </c>
      <c r="L1580" t="s">
        <v>327</v>
      </c>
    </row>
    <row r="1581" spans="1:12">
      <c r="A1581" t="s">
        <v>318</v>
      </c>
      <c r="B1581" t="s">
        <v>1533</v>
      </c>
      <c r="C1581" t="s">
        <v>448</v>
      </c>
      <c r="D1581" s="28">
        <v>7600100047687</v>
      </c>
      <c r="E1581" s="29" t="s">
        <v>1045</v>
      </c>
      <c r="F1581" s="29" t="s">
        <v>372</v>
      </c>
      <c r="G1581">
        <v>13</v>
      </c>
      <c r="H1581" t="s">
        <v>323</v>
      </c>
      <c r="I1581" t="s">
        <v>98</v>
      </c>
      <c r="J1581" t="s">
        <v>185</v>
      </c>
      <c r="K1581" t="s">
        <v>285</v>
      </c>
      <c r="L1581" t="s">
        <v>327</v>
      </c>
    </row>
    <row r="1582" spans="1:12">
      <c r="A1582" t="s">
        <v>318</v>
      </c>
      <c r="B1582" t="s">
        <v>1533</v>
      </c>
      <c r="C1582" t="s">
        <v>1581</v>
      </c>
      <c r="D1582" s="28">
        <v>7600100047691</v>
      </c>
      <c r="E1582" s="29" t="s">
        <v>1045</v>
      </c>
      <c r="F1582" s="29" t="s">
        <v>372</v>
      </c>
      <c r="G1582">
        <v>15</v>
      </c>
      <c r="H1582" t="s">
        <v>323</v>
      </c>
      <c r="I1582" t="s">
        <v>98</v>
      </c>
      <c r="J1582" t="s">
        <v>185</v>
      </c>
      <c r="K1582" t="s">
        <v>285</v>
      </c>
      <c r="L1582" t="s">
        <v>327</v>
      </c>
    </row>
    <row r="1583" spans="1:12">
      <c r="A1583" t="s">
        <v>318</v>
      </c>
      <c r="B1583" t="s">
        <v>1533</v>
      </c>
      <c r="C1583" t="s">
        <v>969</v>
      </c>
      <c r="D1583" s="28">
        <v>7600100047698</v>
      </c>
      <c r="E1583" s="29" t="s">
        <v>1045</v>
      </c>
      <c r="F1583" s="29" t="s">
        <v>372</v>
      </c>
      <c r="G1583">
        <v>15</v>
      </c>
      <c r="H1583" t="s">
        <v>323</v>
      </c>
      <c r="I1583" t="s">
        <v>98</v>
      </c>
      <c r="J1583" t="s">
        <v>185</v>
      </c>
      <c r="K1583" t="s">
        <v>285</v>
      </c>
      <c r="L1583" t="s">
        <v>327</v>
      </c>
    </row>
    <row r="1584" spans="1:12">
      <c r="A1584" t="s">
        <v>318</v>
      </c>
      <c r="B1584" t="s">
        <v>1533</v>
      </c>
      <c r="C1584" t="s">
        <v>370</v>
      </c>
      <c r="D1584" s="28">
        <v>7600100047832</v>
      </c>
      <c r="E1584" s="29" t="s">
        <v>1045</v>
      </c>
      <c r="F1584" s="29" t="s">
        <v>372</v>
      </c>
      <c r="G1584">
        <v>15</v>
      </c>
      <c r="H1584" t="s">
        <v>323</v>
      </c>
      <c r="I1584" t="s">
        <v>98</v>
      </c>
      <c r="J1584" t="s">
        <v>185</v>
      </c>
      <c r="K1584" t="s">
        <v>285</v>
      </c>
      <c r="L1584" t="s">
        <v>327</v>
      </c>
    </row>
    <row r="1585" spans="1:12">
      <c r="A1585" t="s">
        <v>318</v>
      </c>
      <c r="B1585" t="s">
        <v>1533</v>
      </c>
      <c r="C1585" t="s">
        <v>1582</v>
      </c>
      <c r="D1585" s="28">
        <v>7600100048875</v>
      </c>
      <c r="E1585" s="29" t="s">
        <v>1045</v>
      </c>
      <c r="F1585" s="29" t="s">
        <v>372</v>
      </c>
      <c r="G1585">
        <v>11</v>
      </c>
      <c r="H1585" t="s">
        <v>323</v>
      </c>
      <c r="I1585" t="s">
        <v>98</v>
      </c>
      <c r="J1585" t="s">
        <v>185</v>
      </c>
      <c r="K1585" t="s">
        <v>285</v>
      </c>
      <c r="L1585" t="s">
        <v>327</v>
      </c>
    </row>
    <row r="1586" spans="1:12">
      <c r="A1586" t="s">
        <v>318</v>
      </c>
      <c r="B1586" t="s">
        <v>1533</v>
      </c>
      <c r="C1586" t="s">
        <v>1447</v>
      </c>
      <c r="D1586" s="28">
        <v>7600100048878</v>
      </c>
      <c r="E1586" s="29" t="s">
        <v>1045</v>
      </c>
      <c r="F1586" s="29" t="s">
        <v>372</v>
      </c>
      <c r="G1586">
        <v>13</v>
      </c>
      <c r="H1586" t="s">
        <v>323</v>
      </c>
      <c r="I1586" t="s">
        <v>98</v>
      </c>
      <c r="J1586" t="s">
        <v>185</v>
      </c>
      <c r="K1586" t="s">
        <v>285</v>
      </c>
      <c r="L1586" t="s">
        <v>327</v>
      </c>
    </row>
    <row r="1587" spans="1:12">
      <c r="A1587" t="s">
        <v>318</v>
      </c>
      <c r="B1587" t="s">
        <v>1533</v>
      </c>
      <c r="C1587" t="s">
        <v>1583</v>
      </c>
      <c r="D1587" s="28">
        <v>7600100048882</v>
      </c>
      <c r="E1587" s="29" t="s">
        <v>1045</v>
      </c>
      <c r="F1587" s="29" t="s">
        <v>372</v>
      </c>
      <c r="G1587">
        <v>15</v>
      </c>
      <c r="H1587" t="s">
        <v>323</v>
      </c>
      <c r="I1587" t="s">
        <v>98</v>
      </c>
      <c r="J1587" t="s">
        <v>185</v>
      </c>
      <c r="K1587" t="s">
        <v>285</v>
      </c>
      <c r="L1587" t="s">
        <v>327</v>
      </c>
    </row>
    <row r="1588" spans="1:12">
      <c r="A1588" t="s">
        <v>318</v>
      </c>
      <c r="B1588" t="s">
        <v>1533</v>
      </c>
      <c r="C1588" t="s">
        <v>1584</v>
      </c>
      <c r="D1588" s="28">
        <v>7600100051281</v>
      </c>
      <c r="E1588" s="29" t="s">
        <v>1045</v>
      </c>
      <c r="F1588" s="29" t="s">
        <v>372</v>
      </c>
      <c r="G1588">
        <v>15</v>
      </c>
      <c r="H1588" t="s">
        <v>323</v>
      </c>
      <c r="I1588" t="s">
        <v>98</v>
      </c>
      <c r="J1588" t="s">
        <v>185</v>
      </c>
      <c r="K1588" t="s">
        <v>1226</v>
      </c>
      <c r="L1588" t="s">
        <v>327</v>
      </c>
    </row>
    <row r="1589" spans="1:12">
      <c r="A1589" t="s">
        <v>318</v>
      </c>
      <c r="B1589" t="s">
        <v>1533</v>
      </c>
      <c r="C1589" t="s">
        <v>1585</v>
      </c>
      <c r="D1589" s="28">
        <v>7600100051979</v>
      </c>
      <c r="E1589" s="29" t="s">
        <v>441</v>
      </c>
      <c r="F1589" s="29" t="s">
        <v>372</v>
      </c>
      <c r="G1589">
        <v>25</v>
      </c>
      <c r="H1589" t="s">
        <v>323</v>
      </c>
      <c r="I1589" t="s">
        <v>324</v>
      </c>
      <c r="J1589" t="s">
        <v>185</v>
      </c>
      <c r="K1589" t="s">
        <v>1226</v>
      </c>
      <c r="L1589" t="s">
        <v>327</v>
      </c>
    </row>
    <row r="1590" spans="1:12">
      <c r="A1590" t="s">
        <v>318</v>
      </c>
      <c r="B1590" t="s">
        <v>1533</v>
      </c>
      <c r="C1590" t="s">
        <v>1586</v>
      </c>
      <c r="D1590" s="28">
        <v>7600100051987</v>
      </c>
      <c r="E1590" s="29" t="s">
        <v>1045</v>
      </c>
      <c r="F1590" s="29" t="s">
        <v>372</v>
      </c>
      <c r="G1590">
        <v>15</v>
      </c>
      <c r="H1590" t="s">
        <v>323</v>
      </c>
      <c r="I1590" t="s">
        <v>98</v>
      </c>
      <c r="J1590" t="s">
        <v>185</v>
      </c>
      <c r="K1590" t="s">
        <v>285</v>
      </c>
      <c r="L1590" t="s">
        <v>327</v>
      </c>
    </row>
    <row r="1591" spans="1:12">
      <c r="A1591" t="s">
        <v>318</v>
      </c>
      <c r="B1591" t="s">
        <v>1533</v>
      </c>
      <c r="C1591" t="s">
        <v>1587</v>
      </c>
      <c r="D1591" s="28">
        <v>7600100052029</v>
      </c>
      <c r="E1591" s="29" t="s">
        <v>1045</v>
      </c>
      <c r="F1591" s="29" t="s">
        <v>372</v>
      </c>
      <c r="G1591">
        <v>15</v>
      </c>
      <c r="H1591" t="s">
        <v>323</v>
      </c>
      <c r="I1591" t="s">
        <v>98</v>
      </c>
      <c r="J1591" t="s">
        <v>185</v>
      </c>
      <c r="K1591" t="s">
        <v>1226</v>
      </c>
      <c r="L1591" t="s">
        <v>327</v>
      </c>
    </row>
    <row r="1592" spans="1:12">
      <c r="A1592" t="s">
        <v>318</v>
      </c>
      <c r="B1592" t="s">
        <v>1533</v>
      </c>
      <c r="C1592" t="s">
        <v>1588</v>
      </c>
      <c r="D1592" s="28">
        <v>7600100052519</v>
      </c>
      <c r="E1592" s="29" t="s">
        <v>441</v>
      </c>
      <c r="F1592" s="29" t="s">
        <v>372</v>
      </c>
      <c r="G1592">
        <v>12</v>
      </c>
      <c r="H1592" t="s">
        <v>323</v>
      </c>
      <c r="I1592" t="s">
        <v>98</v>
      </c>
      <c r="J1592" t="s">
        <v>185</v>
      </c>
      <c r="K1592" t="s">
        <v>285</v>
      </c>
      <c r="L1592" t="s">
        <v>327</v>
      </c>
    </row>
    <row r="1593" spans="1:12">
      <c r="A1593" t="s">
        <v>318</v>
      </c>
      <c r="B1593" t="s">
        <v>1533</v>
      </c>
      <c r="C1593" t="s">
        <v>1589</v>
      </c>
      <c r="D1593" s="28">
        <v>7600100053649</v>
      </c>
      <c r="E1593" s="29" t="s">
        <v>1045</v>
      </c>
      <c r="F1593" s="29" t="s">
        <v>372</v>
      </c>
      <c r="G1593">
        <v>14</v>
      </c>
      <c r="H1593" t="s">
        <v>323</v>
      </c>
      <c r="I1593" t="s">
        <v>98</v>
      </c>
      <c r="J1593" t="s">
        <v>185</v>
      </c>
      <c r="K1593" t="s">
        <v>285</v>
      </c>
      <c r="L1593" t="s">
        <v>327</v>
      </c>
    </row>
    <row r="1594" spans="1:12">
      <c r="A1594" t="s">
        <v>318</v>
      </c>
      <c r="B1594" t="s">
        <v>1533</v>
      </c>
      <c r="C1594" t="s">
        <v>1590</v>
      </c>
      <c r="D1594" s="28">
        <v>7600100054541</v>
      </c>
      <c r="E1594" s="29" t="s">
        <v>1045</v>
      </c>
      <c r="F1594" s="29" t="s">
        <v>372</v>
      </c>
      <c r="G1594">
        <v>15</v>
      </c>
      <c r="H1594" t="s">
        <v>323</v>
      </c>
      <c r="I1594" t="s">
        <v>98</v>
      </c>
      <c r="J1594" t="s">
        <v>185</v>
      </c>
      <c r="K1594" t="s">
        <v>285</v>
      </c>
      <c r="L1594" t="s">
        <v>327</v>
      </c>
    </row>
    <row r="1595" spans="1:12">
      <c r="A1595" t="s">
        <v>318</v>
      </c>
      <c r="B1595" t="s">
        <v>1533</v>
      </c>
      <c r="C1595" t="s">
        <v>1591</v>
      </c>
      <c r="D1595" s="28">
        <v>7600100054552</v>
      </c>
      <c r="E1595" s="29" t="s">
        <v>1045</v>
      </c>
      <c r="F1595" s="29" t="s">
        <v>372</v>
      </c>
      <c r="G1595">
        <v>11</v>
      </c>
      <c r="H1595" t="s">
        <v>323</v>
      </c>
      <c r="I1595" t="s">
        <v>98</v>
      </c>
      <c r="J1595" t="s">
        <v>185</v>
      </c>
      <c r="K1595" t="s">
        <v>285</v>
      </c>
      <c r="L1595" t="s">
        <v>327</v>
      </c>
    </row>
    <row r="1596" spans="1:12">
      <c r="A1596" t="s">
        <v>318</v>
      </c>
      <c r="B1596" t="s">
        <v>1533</v>
      </c>
      <c r="C1596" t="s">
        <v>786</v>
      </c>
      <c r="D1596" s="28">
        <v>7600100057176</v>
      </c>
      <c r="E1596" s="29" t="s">
        <v>1045</v>
      </c>
      <c r="F1596" s="29" t="s">
        <v>372</v>
      </c>
      <c r="G1596">
        <v>12</v>
      </c>
      <c r="H1596" t="s">
        <v>323</v>
      </c>
      <c r="I1596" t="s">
        <v>98</v>
      </c>
      <c r="J1596" t="s">
        <v>185</v>
      </c>
      <c r="K1596" t="s">
        <v>285</v>
      </c>
      <c r="L1596" t="s">
        <v>327</v>
      </c>
    </row>
    <row r="1597" spans="1:12">
      <c r="A1597" t="s">
        <v>318</v>
      </c>
      <c r="B1597" t="s">
        <v>1533</v>
      </c>
      <c r="C1597" t="s">
        <v>1592</v>
      </c>
      <c r="D1597" s="28">
        <v>7600100057190</v>
      </c>
      <c r="E1597" s="29" t="s">
        <v>1045</v>
      </c>
      <c r="F1597" s="29" t="s">
        <v>372</v>
      </c>
      <c r="G1597">
        <v>13</v>
      </c>
      <c r="H1597" t="s">
        <v>323</v>
      </c>
      <c r="I1597" t="s">
        <v>98</v>
      </c>
      <c r="J1597" t="s">
        <v>185</v>
      </c>
      <c r="K1597" t="s">
        <v>285</v>
      </c>
      <c r="L1597" t="s">
        <v>327</v>
      </c>
    </row>
    <row r="1598" spans="1:12">
      <c r="A1598" t="s">
        <v>318</v>
      </c>
      <c r="B1598" t="s">
        <v>1533</v>
      </c>
      <c r="C1598" t="s">
        <v>1593</v>
      </c>
      <c r="D1598" s="28">
        <v>7600100082840</v>
      </c>
      <c r="E1598" s="29" t="s">
        <v>1045</v>
      </c>
      <c r="F1598" s="29" t="s">
        <v>372</v>
      </c>
      <c r="G1598">
        <v>15</v>
      </c>
      <c r="H1598" t="s">
        <v>323</v>
      </c>
      <c r="I1598" t="s">
        <v>98</v>
      </c>
      <c r="J1598" t="s">
        <v>185</v>
      </c>
      <c r="K1598" t="s">
        <v>285</v>
      </c>
      <c r="L1598" t="s">
        <v>327</v>
      </c>
    </row>
    <row r="1599" spans="1:12">
      <c r="A1599" t="s">
        <v>318</v>
      </c>
      <c r="B1599" t="s">
        <v>1533</v>
      </c>
      <c r="C1599" t="s">
        <v>1594</v>
      </c>
      <c r="D1599" s="28">
        <v>7600100082852</v>
      </c>
      <c r="E1599" s="29" t="s">
        <v>1045</v>
      </c>
      <c r="F1599" s="29" t="s">
        <v>372</v>
      </c>
      <c r="G1599">
        <v>15</v>
      </c>
      <c r="H1599" t="s">
        <v>323</v>
      </c>
      <c r="I1599" t="s">
        <v>98</v>
      </c>
      <c r="J1599" t="s">
        <v>185</v>
      </c>
      <c r="K1599" t="s">
        <v>285</v>
      </c>
      <c r="L1599" t="s">
        <v>327</v>
      </c>
    </row>
    <row r="1600" spans="1:12">
      <c r="A1600" t="s">
        <v>318</v>
      </c>
      <c r="B1600" t="s">
        <v>1533</v>
      </c>
      <c r="C1600" t="s">
        <v>1552</v>
      </c>
      <c r="D1600" s="28">
        <v>7600100129311</v>
      </c>
      <c r="E1600" s="29" t="s">
        <v>441</v>
      </c>
      <c r="F1600" s="29" t="s">
        <v>372</v>
      </c>
      <c r="G1600">
        <v>27</v>
      </c>
      <c r="H1600" t="s">
        <v>323</v>
      </c>
      <c r="I1600" t="s">
        <v>324</v>
      </c>
      <c r="J1600" t="s">
        <v>185</v>
      </c>
      <c r="K1600" t="s">
        <v>285</v>
      </c>
      <c r="L1600" t="s">
        <v>327</v>
      </c>
    </row>
    <row r="1601" spans="1:12">
      <c r="A1601" t="s">
        <v>318</v>
      </c>
      <c r="B1601" t="s">
        <v>1533</v>
      </c>
      <c r="C1601" t="s">
        <v>521</v>
      </c>
      <c r="D1601" s="28">
        <v>760011118764</v>
      </c>
      <c r="E1601" s="29" t="s">
        <v>1045</v>
      </c>
      <c r="F1601" s="29" t="s">
        <v>372</v>
      </c>
      <c r="G1601">
        <v>12</v>
      </c>
      <c r="H1601" t="s">
        <v>323</v>
      </c>
      <c r="I1601" t="s">
        <v>98</v>
      </c>
      <c r="J1601" t="s">
        <v>185</v>
      </c>
      <c r="K1601" t="s">
        <v>285</v>
      </c>
      <c r="L1601" t="s">
        <v>327</v>
      </c>
    </row>
    <row r="1602" spans="1:12">
      <c r="A1602" t="s">
        <v>318</v>
      </c>
      <c r="B1602" t="s">
        <v>1533</v>
      </c>
      <c r="C1602" t="s">
        <v>1595</v>
      </c>
      <c r="D1602" s="28">
        <v>760011118765</v>
      </c>
      <c r="E1602" s="29" t="s">
        <v>1045</v>
      </c>
      <c r="F1602" s="29" t="s">
        <v>372</v>
      </c>
      <c r="G1602">
        <v>13</v>
      </c>
      <c r="H1602" t="s">
        <v>323</v>
      </c>
      <c r="I1602" t="s">
        <v>98</v>
      </c>
      <c r="J1602" t="s">
        <v>185</v>
      </c>
      <c r="K1602" t="s">
        <v>285</v>
      </c>
      <c r="L1602" t="s">
        <v>327</v>
      </c>
    </row>
    <row r="1603" spans="1:12">
      <c r="A1603" t="s">
        <v>318</v>
      </c>
      <c r="B1603" t="s">
        <v>1533</v>
      </c>
      <c r="C1603" t="s">
        <v>1596</v>
      </c>
      <c r="D1603" s="28">
        <v>760011118767</v>
      </c>
      <c r="E1603" s="29" t="s">
        <v>1045</v>
      </c>
      <c r="F1603" s="29" t="s">
        <v>372</v>
      </c>
      <c r="G1603">
        <v>13</v>
      </c>
      <c r="H1603" t="s">
        <v>323</v>
      </c>
      <c r="I1603" t="s">
        <v>98</v>
      </c>
      <c r="J1603" t="s">
        <v>185</v>
      </c>
      <c r="K1603" t="s">
        <v>285</v>
      </c>
      <c r="L1603" t="s">
        <v>327</v>
      </c>
    </row>
    <row r="1604" spans="1:12">
      <c r="A1604" t="s">
        <v>318</v>
      </c>
      <c r="B1604" t="s">
        <v>1533</v>
      </c>
      <c r="C1604" t="s">
        <v>1504</v>
      </c>
      <c r="D1604" s="28">
        <v>7600100114975</v>
      </c>
      <c r="E1604" s="29" t="s">
        <v>393</v>
      </c>
      <c r="F1604" s="29" t="s">
        <v>372</v>
      </c>
      <c r="G1604">
        <v>36</v>
      </c>
      <c r="H1604" t="s">
        <v>323</v>
      </c>
      <c r="I1604" t="s">
        <v>98</v>
      </c>
      <c r="J1604" t="s">
        <v>185</v>
      </c>
      <c r="K1604" t="s">
        <v>394</v>
      </c>
      <c r="L1604" t="s">
        <v>327</v>
      </c>
    </row>
    <row r="1605" spans="1:12">
      <c r="A1605" t="s">
        <v>318</v>
      </c>
      <c r="B1605" t="s">
        <v>1533</v>
      </c>
      <c r="C1605" t="s">
        <v>1403</v>
      </c>
      <c r="D1605" s="28">
        <v>7600100135919</v>
      </c>
      <c r="E1605" s="29" t="s">
        <v>393</v>
      </c>
      <c r="F1605" s="29" t="s">
        <v>372</v>
      </c>
      <c r="G1605">
        <v>29</v>
      </c>
      <c r="H1605" t="s">
        <v>323</v>
      </c>
      <c r="I1605" t="s">
        <v>98</v>
      </c>
      <c r="J1605" t="s">
        <v>185</v>
      </c>
      <c r="K1605" t="s">
        <v>394</v>
      </c>
      <c r="L1605" t="s">
        <v>327</v>
      </c>
    </row>
    <row r="1606" spans="1:12">
      <c r="A1606" t="s">
        <v>318</v>
      </c>
      <c r="B1606" t="s">
        <v>1533</v>
      </c>
      <c r="C1606" t="s">
        <v>1597</v>
      </c>
      <c r="D1606" s="28">
        <v>7600100135966</v>
      </c>
      <c r="E1606" s="29" t="s">
        <v>393</v>
      </c>
      <c r="F1606" s="29" t="s">
        <v>372</v>
      </c>
      <c r="G1606">
        <v>20</v>
      </c>
      <c r="H1606" t="s">
        <v>323</v>
      </c>
      <c r="I1606" t="s">
        <v>98</v>
      </c>
      <c r="J1606" t="s">
        <v>185</v>
      </c>
      <c r="K1606" t="s">
        <v>394</v>
      </c>
      <c r="L1606" t="s">
        <v>327</v>
      </c>
    </row>
    <row r="1607" spans="1:12">
      <c r="A1607" t="s">
        <v>318</v>
      </c>
      <c r="B1607" t="s">
        <v>1533</v>
      </c>
      <c r="C1607" t="s">
        <v>1598</v>
      </c>
      <c r="D1607" s="28">
        <v>7600100136002</v>
      </c>
      <c r="E1607" s="29" t="s">
        <v>393</v>
      </c>
      <c r="F1607" s="29" t="s">
        <v>372</v>
      </c>
      <c r="G1607">
        <v>26</v>
      </c>
      <c r="H1607" t="s">
        <v>323</v>
      </c>
      <c r="I1607" t="s">
        <v>98</v>
      </c>
      <c r="J1607" t="s">
        <v>185</v>
      </c>
      <c r="K1607" t="s">
        <v>394</v>
      </c>
      <c r="L1607" t="s">
        <v>327</v>
      </c>
    </row>
    <row r="1608" spans="1:12">
      <c r="A1608" t="s">
        <v>318</v>
      </c>
      <c r="B1608" t="s">
        <v>1533</v>
      </c>
      <c r="C1608" t="s">
        <v>1599</v>
      </c>
      <c r="D1608" s="28">
        <v>7600100136021</v>
      </c>
      <c r="E1608" s="29" t="s">
        <v>393</v>
      </c>
      <c r="F1608" s="29" t="s">
        <v>372</v>
      </c>
      <c r="G1608">
        <v>32</v>
      </c>
      <c r="H1608" t="s">
        <v>323</v>
      </c>
      <c r="I1608" t="s">
        <v>98</v>
      </c>
      <c r="J1608" t="s">
        <v>185</v>
      </c>
      <c r="K1608" t="s">
        <v>394</v>
      </c>
      <c r="L1608" t="s">
        <v>327</v>
      </c>
    </row>
    <row r="1609" spans="1:12">
      <c r="A1609" t="s">
        <v>318</v>
      </c>
      <c r="B1609" t="s">
        <v>1533</v>
      </c>
      <c r="C1609" t="s">
        <v>1600</v>
      </c>
      <c r="D1609" s="28">
        <v>760011131050</v>
      </c>
      <c r="E1609" s="29" t="s">
        <v>393</v>
      </c>
      <c r="F1609" s="29" t="s">
        <v>372</v>
      </c>
      <c r="G1609">
        <v>32</v>
      </c>
      <c r="H1609" t="s">
        <v>323</v>
      </c>
      <c r="I1609" t="s">
        <v>98</v>
      </c>
      <c r="J1609" t="s">
        <v>185</v>
      </c>
      <c r="K1609" t="s">
        <v>394</v>
      </c>
      <c r="L1609" t="s">
        <v>327</v>
      </c>
    </row>
    <row r="1610" spans="1:12">
      <c r="A1610" t="s">
        <v>318</v>
      </c>
      <c r="B1610" t="s">
        <v>1533</v>
      </c>
      <c r="C1610" t="s">
        <v>1601</v>
      </c>
      <c r="D1610" s="28">
        <v>760011131051</v>
      </c>
      <c r="E1610" s="29" t="s">
        <v>393</v>
      </c>
      <c r="F1610" s="29" t="s">
        <v>372</v>
      </c>
      <c r="G1610">
        <v>38</v>
      </c>
      <c r="H1610" t="s">
        <v>323</v>
      </c>
      <c r="I1610" t="s">
        <v>98</v>
      </c>
      <c r="J1610" t="s">
        <v>185</v>
      </c>
      <c r="K1610" t="s">
        <v>394</v>
      </c>
      <c r="L1610" t="s">
        <v>327</v>
      </c>
    </row>
    <row r="1611" spans="1:12">
      <c r="A1611" t="s">
        <v>318</v>
      </c>
      <c r="B1611" t="s">
        <v>1533</v>
      </c>
      <c r="C1611" t="s">
        <v>1602</v>
      </c>
      <c r="D1611" s="28">
        <v>760011131054</v>
      </c>
      <c r="E1611" s="29" t="s">
        <v>393</v>
      </c>
      <c r="F1611" s="29" t="s">
        <v>372</v>
      </c>
      <c r="G1611">
        <v>19</v>
      </c>
      <c r="H1611" t="s">
        <v>323</v>
      </c>
      <c r="I1611" t="s">
        <v>45</v>
      </c>
      <c r="J1611" t="s">
        <v>185</v>
      </c>
      <c r="K1611" t="s">
        <v>394</v>
      </c>
    </row>
    <row r="1612" spans="1:12">
      <c r="A1612" t="s">
        <v>318</v>
      </c>
      <c r="B1612" t="s">
        <v>1533</v>
      </c>
      <c r="C1612" t="s">
        <v>1603</v>
      </c>
      <c r="D1612" s="28">
        <v>760011151780</v>
      </c>
      <c r="E1612" s="29" t="s">
        <v>393</v>
      </c>
      <c r="F1612" s="29" t="s">
        <v>372</v>
      </c>
      <c r="G1612">
        <v>46</v>
      </c>
      <c r="H1612" t="s">
        <v>323</v>
      </c>
      <c r="I1612" t="s">
        <v>98</v>
      </c>
      <c r="J1612" t="s">
        <v>185</v>
      </c>
      <c r="K1612" t="s">
        <v>365</v>
      </c>
      <c r="L1612" t="s">
        <v>327</v>
      </c>
    </row>
    <row r="1613" spans="1:12">
      <c r="A1613" t="s">
        <v>318</v>
      </c>
      <c r="B1613" t="s">
        <v>1533</v>
      </c>
      <c r="C1613" t="s">
        <v>1604</v>
      </c>
      <c r="D1613" s="28">
        <v>760011154204</v>
      </c>
      <c r="E1613" s="29" t="s">
        <v>393</v>
      </c>
      <c r="F1613" s="29" t="s">
        <v>372</v>
      </c>
      <c r="G1613">
        <v>29</v>
      </c>
      <c r="H1613" t="s">
        <v>323</v>
      </c>
      <c r="I1613" t="s">
        <v>98</v>
      </c>
      <c r="J1613" t="s">
        <v>185</v>
      </c>
      <c r="K1613" t="s">
        <v>365</v>
      </c>
    </row>
    <row r="1614" spans="1:12">
      <c r="A1614" t="s">
        <v>318</v>
      </c>
      <c r="B1614" t="s">
        <v>1533</v>
      </c>
      <c r="C1614" t="s">
        <v>1605</v>
      </c>
      <c r="D1614" s="28">
        <v>760011154205</v>
      </c>
      <c r="E1614" s="29" t="s">
        <v>393</v>
      </c>
      <c r="F1614" s="29" t="s">
        <v>372</v>
      </c>
      <c r="G1614">
        <v>25</v>
      </c>
      <c r="H1614" t="s">
        <v>323</v>
      </c>
      <c r="I1614" t="s">
        <v>45</v>
      </c>
      <c r="J1614" t="s">
        <v>185</v>
      </c>
      <c r="K1614" t="s">
        <v>365</v>
      </c>
      <c r="L1614" t="s">
        <v>1090</v>
      </c>
    </row>
    <row r="1615" spans="1:12">
      <c r="A1615" t="s">
        <v>318</v>
      </c>
      <c r="B1615" t="s">
        <v>1533</v>
      </c>
      <c r="C1615" t="s">
        <v>1606</v>
      </c>
      <c r="D1615" s="28">
        <v>760011154207</v>
      </c>
      <c r="E1615" s="29" t="s">
        <v>393</v>
      </c>
      <c r="F1615" s="29" t="s">
        <v>372</v>
      </c>
      <c r="G1615">
        <v>34</v>
      </c>
      <c r="H1615" t="s">
        <v>323</v>
      </c>
      <c r="I1615" t="s">
        <v>45</v>
      </c>
      <c r="J1615" t="s">
        <v>185</v>
      </c>
      <c r="K1615" t="s">
        <v>365</v>
      </c>
      <c r="L1615" t="s">
        <v>327</v>
      </c>
    </row>
    <row r="1616" spans="1:12">
      <c r="A1616" t="s">
        <v>318</v>
      </c>
      <c r="B1616" t="s">
        <v>1533</v>
      </c>
      <c r="C1616" t="s">
        <v>1607</v>
      </c>
      <c r="D1616" s="28">
        <v>7600100022092</v>
      </c>
      <c r="E1616" s="29" t="s">
        <v>987</v>
      </c>
      <c r="F1616" s="29" t="s">
        <v>364</v>
      </c>
      <c r="G1616">
        <v>153</v>
      </c>
      <c r="H1616" t="s">
        <v>323</v>
      </c>
      <c r="I1616" t="s">
        <v>45</v>
      </c>
      <c r="J1616" t="s">
        <v>185</v>
      </c>
      <c r="K1616" t="s">
        <v>394</v>
      </c>
      <c r="L1616" t="s">
        <v>327</v>
      </c>
    </row>
    <row r="1617" spans="1:12">
      <c r="A1617" t="s">
        <v>318</v>
      </c>
      <c r="B1617" t="s">
        <v>1533</v>
      </c>
      <c r="C1617" t="s">
        <v>1608</v>
      </c>
      <c r="D1617" s="28">
        <v>7600100061076</v>
      </c>
      <c r="E1617" s="29" t="s">
        <v>987</v>
      </c>
      <c r="F1617" s="29" t="s">
        <v>364</v>
      </c>
      <c r="G1617">
        <v>283</v>
      </c>
      <c r="H1617" t="s">
        <v>323</v>
      </c>
      <c r="I1617" t="s">
        <v>45</v>
      </c>
      <c r="J1617" t="s">
        <v>185</v>
      </c>
      <c r="K1617" t="s">
        <v>394</v>
      </c>
      <c r="L1617" t="s">
        <v>327</v>
      </c>
    </row>
    <row r="1618" spans="1:12">
      <c r="A1618" t="s">
        <v>318</v>
      </c>
      <c r="B1618" t="s">
        <v>1533</v>
      </c>
      <c r="C1618" t="s">
        <v>1609</v>
      </c>
      <c r="D1618" s="28">
        <v>7600100114973</v>
      </c>
      <c r="E1618" s="29" t="s">
        <v>393</v>
      </c>
      <c r="F1618" s="29" t="s">
        <v>372</v>
      </c>
      <c r="G1618">
        <v>39</v>
      </c>
      <c r="H1618" t="s">
        <v>1051</v>
      </c>
      <c r="I1618" t="s">
        <v>98</v>
      </c>
      <c r="J1618" t="s">
        <v>185</v>
      </c>
      <c r="K1618" t="s">
        <v>394</v>
      </c>
      <c r="L1618" t="s">
        <v>1090</v>
      </c>
    </row>
    <row r="1619" spans="1:12">
      <c r="A1619" t="s">
        <v>318</v>
      </c>
      <c r="B1619" t="s">
        <v>1533</v>
      </c>
      <c r="C1619" t="s">
        <v>1610</v>
      </c>
      <c r="D1619" s="28">
        <v>7600100135933</v>
      </c>
      <c r="E1619" s="29" t="s">
        <v>393</v>
      </c>
      <c r="F1619" s="29" t="s">
        <v>372</v>
      </c>
      <c r="G1619">
        <v>35</v>
      </c>
      <c r="H1619" t="s">
        <v>1051</v>
      </c>
      <c r="I1619" t="s">
        <v>45</v>
      </c>
      <c r="J1619" t="s">
        <v>185</v>
      </c>
      <c r="K1619" t="s">
        <v>394</v>
      </c>
      <c r="L1619" t="s">
        <v>327</v>
      </c>
    </row>
    <row r="1620" spans="1:12">
      <c r="A1620" t="s">
        <v>318</v>
      </c>
      <c r="B1620" t="s">
        <v>1533</v>
      </c>
      <c r="C1620" t="s">
        <v>1611</v>
      </c>
      <c r="D1620" s="28">
        <v>7600100135974</v>
      </c>
      <c r="E1620" s="29" t="s">
        <v>393</v>
      </c>
      <c r="F1620" s="29" t="s">
        <v>372</v>
      </c>
      <c r="G1620">
        <v>30</v>
      </c>
      <c r="H1620" t="s">
        <v>1051</v>
      </c>
      <c r="I1620" t="s">
        <v>98</v>
      </c>
      <c r="J1620" t="s">
        <v>185</v>
      </c>
      <c r="K1620" t="s">
        <v>394</v>
      </c>
      <c r="L1620" t="s">
        <v>327</v>
      </c>
    </row>
    <row r="1621" spans="1:12">
      <c r="A1621" t="s">
        <v>318</v>
      </c>
      <c r="B1621" t="s">
        <v>1533</v>
      </c>
      <c r="C1621" t="s">
        <v>1594</v>
      </c>
      <c r="D1621" s="28">
        <v>7600100135995</v>
      </c>
      <c r="E1621" s="29" t="s">
        <v>393</v>
      </c>
      <c r="F1621" s="29" t="s">
        <v>372</v>
      </c>
      <c r="G1621">
        <v>24</v>
      </c>
      <c r="H1621" t="s">
        <v>1051</v>
      </c>
      <c r="I1621" t="s">
        <v>98</v>
      </c>
      <c r="J1621" t="s">
        <v>185</v>
      </c>
      <c r="K1621" t="s">
        <v>394</v>
      </c>
      <c r="L1621" t="s">
        <v>327</v>
      </c>
    </row>
    <row r="1622" spans="1:12">
      <c r="A1622" t="s">
        <v>318</v>
      </c>
      <c r="B1622" t="s">
        <v>1533</v>
      </c>
      <c r="C1622" t="s">
        <v>1612</v>
      </c>
      <c r="D1622" s="28">
        <v>760011131052</v>
      </c>
      <c r="E1622" s="29" t="s">
        <v>393</v>
      </c>
      <c r="F1622" s="29" t="s">
        <v>372</v>
      </c>
      <c r="G1622">
        <v>30</v>
      </c>
      <c r="H1622" t="s">
        <v>1051</v>
      </c>
      <c r="I1622" t="s">
        <v>45</v>
      </c>
      <c r="J1622" t="s">
        <v>185</v>
      </c>
      <c r="K1622" t="s">
        <v>394</v>
      </c>
      <c r="L1622" t="s">
        <v>327</v>
      </c>
    </row>
    <row r="1623" spans="1:12">
      <c r="A1623" t="s">
        <v>318</v>
      </c>
      <c r="B1623" t="s">
        <v>1533</v>
      </c>
      <c r="C1623" t="s">
        <v>1613</v>
      </c>
      <c r="D1623" s="28">
        <v>760011151779</v>
      </c>
      <c r="E1623" s="29" t="s">
        <v>393</v>
      </c>
      <c r="F1623" s="29" t="s">
        <v>372</v>
      </c>
      <c r="G1623">
        <v>40</v>
      </c>
      <c r="H1623" t="s">
        <v>1051</v>
      </c>
      <c r="I1623" t="s">
        <v>45</v>
      </c>
      <c r="J1623" t="s">
        <v>185</v>
      </c>
      <c r="K1623" t="s">
        <v>365</v>
      </c>
      <c r="L1623" t="s">
        <v>1090</v>
      </c>
    </row>
    <row r="1624" spans="1:12">
      <c r="A1624" t="s">
        <v>318</v>
      </c>
      <c r="B1624" t="s">
        <v>1533</v>
      </c>
      <c r="C1624" t="s">
        <v>426</v>
      </c>
      <c r="D1624" s="28">
        <v>760011151781</v>
      </c>
      <c r="E1624" s="29" t="s">
        <v>393</v>
      </c>
      <c r="F1624" s="29" t="s">
        <v>372</v>
      </c>
      <c r="G1624">
        <v>36</v>
      </c>
      <c r="H1624" t="s">
        <v>1051</v>
      </c>
      <c r="I1624" t="s">
        <v>98</v>
      </c>
      <c r="J1624" t="s">
        <v>185</v>
      </c>
      <c r="K1624" t="s">
        <v>365</v>
      </c>
      <c r="L1624" t="s">
        <v>1090</v>
      </c>
    </row>
    <row r="1625" spans="1:12">
      <c r="A1625" t="s">
        <v>318</v>
      </c>
      <c r="B1625" t="s">
        <v>1533</v>
      </c>
      <c r="C1625" t="s">
        <v>385</v>
      </c>
      <c r="D1625" s="28">
        <v>760011151782</v>
      </c>
      <c r="E1625" s="29" t="s">
        <v>393</v>
      </c>
      <c r="F1625" s="29" t="s">
        <v>372</v>
      </c>
      <c r="G1625">
        <v>40</v>
      </c>
      <c r="H1625" t="s">
        <v>1051</v>
      </c>
      <c r="I1625" t="s">
        <v>98</v>
      </c>
      <c r="J1625" t="s">
        <v>185</v>
      </c>
      <c r="K1625" t="s">
        <v>365</v>
      </c>
      <c r="L1625" t="s">
        <v>327</v>
      </c>
    </row>
    <row r="1626" spans="1:12">
      <c r="A1626" t="s">
        <v>318</v>
      </c>
      <c r="B1626" t="s">
        <v>1533</v>
      </c>
      <c r="C1626" t="s">
        <v>1614</v>
      </c>
      <c r="D1626" s="28">
        <v>760011154203</v>
      </c>
      <c r="E1626" s="29" t="s">
        <v>393</v>
      </c>
      <c r="F1626" s="29" t="s">
        <v>372</v>
      </c>
      <c r="G1626">
        <v>39</v>
      </c>
      <c r="H1626" t="s">
        <v>1051</v>
      </c>
      <c r="I1626" t="s">
        <v>98</v>
      </c>
      <c r="J1626" t="s">
        <v>185</v>
      </c>
      <c r="K1626" t="s">
        <v>365</v>
      </c>
      <c r="L1626" t="s">
        <v>1090</v>
      </c>
    </row>
    <row r="1627" spans="1:12">
      <c r="A1627" t="s">
        <v>318</v>
      </c>
      <c r="B1627" t="s">
        <v>1533</v>
      </c>
      <c r="C1627" t="s">
        <v>1615</v>
      </c>
      <c r="D1627" s="28">
        <v>760011154208</v>
      </c>
      <c r="E1627" s="29" t="s">
        <v>393</v>
      </c>
      <c r="F1627" s="29" t="s">
        <v>372</v>
      </c>
      <c r="G1627">
        <v>36</v>
      </c>
      <c r="H1627" t="s">
        <v>1051</v>
      </c>
      <c r="I1627" t="s">
        <v>98</v>
      </c>
      <c r="J1627" t="s">
        <v>185</v>
      </c>
      <c r="K1627" t="s">
        <v>365</v>
      </c>
      <c r="L1627" t="s">
        <v>327</v>
      </c>
    </row>
    <row r="1628" spans="1:12">
      <c r="A1628" t="s">
        <v>318</v>
      </c>
      <c r="B1628" t="s">
        <v>1533</v>
      </c>
      <c r="C1628" t="s">
        <v>1616</v>
      </c>
      <c r="D1628" s="28">
        <v>760011154209</v>
      </c>
      <c r="E1628" s="29" t="s">
        <v>393</v>
      </c>
      <c r="F1628" s="29" t="s">
        <v>372</v>
      </c>
      <c r="G1628">
        <v>31</v>
      </c>
      <c r="H1628" t="s">
        <v>1051</v>
      </c>
      <c r="I1628" t="s">
        <v>98</v>
      </c>
      <c r="J1628" t="s">
        <v>185</v>
      </c>
      <c r="K1628" t="s">
        <v>365</v>
      </c>
      <c r="L1628" t="s">
        <v>327</v>
      </c>
    </row>
    <row r="1629" spans="1:12">
      <c r="A1629" t="s">
        <v>318</v>
      </c>
      <c r="B1629" t="s">
        <v>1533</v>
      </c>
      <c r="C1629" t="s">
        <v>1617</v>
      </c>
      <c r="D1629" s="28">
        <v>760011154210</v>
      </c>
      <c r="E1629" s="29" t="s">
        <v>393</v>
      </c>
      <c r="F1629" s="29" t="s">
        <v>372</v>
      </c>
      <c r="G1629">
        <v>40</v>
      </c>
      <c r="H1629" t="s">
        <v>323</v>
      </c>
      <c r="I1629" t="s">
        <v>45</v>
      </c>
      <c r="J1629" t="s">
        <v>185</v>
      </c>
      <c r="K1629" t="s">
        <v>365</v>
      </c>
      <c r="L1629" t="s">
        <v>327</v>
      </c>
    </row>
    <row r="1630" spans="1:12">
      <c r="A1630" t="s">
        <v>318</v>
      </c>
      <c r="B1630" t="s">
        <v>1533</v>
      </c>
      <c r="C1630" t="s">
        <v>1618</v>
      </c>
      <c r="D1630" s="28">
        <v>7600100054719</v>
      </c>
      <c r="E1630" s="29" t="s">
        <v>987</v>
      </c>
      <c r="F1630" s="29" t="s">
        <v>364</v>
      </c>
      <c r="G1630">
        <v>131</v>
      </c>
      <c r="H1630" t="s">
        <v>323</v>
      </c>
      <c r="I1630" t="s">
        <v>45</v>
      </c>
      <c r="J1630" t="s">
        <v>185</v>
      </c>
      <c r="K1630" t="s">
        <v>989</v>
      </c>
      <c r="L1630" t="s">
        <v>1090</v>
      </c>
    </row>
    <row r="1631" spans="1:12">
      <c r="A1631" t="s">
        <v>318</v>
      </c>
      <c r="B1631" t="s">
        <v>1533</v>
      </c>
      <c r="C1631" t="s">
        <v>1619</v>
      </c>
      <c r="D1631" s="28">
        <v>7600100025451</v>
      </c>
      <c r="E1631" s="29" t="s">
        <v>987</v>
      </c>
      <c r="F1631" s="29" t="s">
        <v>364</v>
      </c>
      <c r="G1631">
        <v>108</v>
      </c>
      <c r="H1631" t="s">
        <v>323</v>
      </c>
      <c r="I1631" t="s">
        <v>98</v>
      </c>
      <c r="J1631" t="s">
        <v>185</v>
      </c>
      <c r="K1631" t="s">
        <v>365</v>
      </c>
    </row>
    <row r="1632" spans="1:12">
      <c r="A1632" t="s">
        <v>318</v>
      </c>
      <c r="B1632" t="s">
        <v>1533</v>
      </c>
      <c r="C1632" t="s">
        <v>1620</v>
      </c>
      <c r="D1632" s="28">
        <v>7600100082271</v>
      </c>
      <c r="E1632" s="29" t="s">
        <v>987</v>
      </c>
      <c r="F1632" s="29" t="s">
        <v>364</v>
      </c>
      <c r="G1632">
        <v>118</v>
      </c>
      <c r="H1632" t="s">
        <v>323</v>
      </c>
      <c r="I1632" t="s">
        <v>45</v>
      </c>
      <c r="J1632" t="s">
        <v>185</v>
      </c>
      <c r="K1632" t="s">
        <v>365</v>
      </c>
      <c r="L1632" t="s">
        <v>1090</v>
      </c>
    </row>
    <row r="1633" spans="1:12">
      <c r="A1633" t="s">
        <v>318</v>
      </c>
      <c r="B1633" t="s">
        <v>1533</v>
      </c>
      <c r="C1633" t="s">
        <v>1621</v>
      </c>
      <c r="D1633" s="28">
        <v>7600100051305</v>
      </c>
      <c r="E1633" s="29" t="s">
        <v>371</v>
      </c>
      <c r="F1633" s="29" t="s">
        <v>372</v>
      </c>
      <c r="G1633">
        <v>13</v>
      </c>
      <c r="H1633" t="s">
        <v>323</v>
      </c>
      <c r="I1633" t="s">
        <v>45</v>
      </c>
      <c r="J1633" t="s">
        <v>185</v>
      </c>
      <c r="K1633">
        <v>0</v>
      </c>
      <c r="L1633" t="s">
        <v>327</v>
      </c>
    </row>
    <row r="1634" spans="1:12">
      <c r="A1634" t="s">
        <v>318</v>
      </c>
      <c r="B1634" t="s">
        <v>1533</v>
      </c>
      <c r="C1634" t="s">
        <v>539</v>
      </c>
      <c r="D1634" s="28">
        <v>7600100054545</v>
      </c>
      <c r="E1634" s="29" t="s">
        <v>371</v>
      </c>
      <c r="F1634" s="29" t="s">
        <v>372</v>
      </c>
      <c r="G1634">
        <v>12</v>
      </c>
      <c r="H1634" t="s">
        <v>323</v>
      </c>
      <c r="I1634" t="s">
        <v>45</v>
      </c>
      <c r="J1634" t="s">
        <v>185</v>
      </c>
      <c r="K1634">
        <v>0</v>
      </c>
      <c r="L1634" t="s">
        <v>327</v>
      </c>
    </row>
    <row r="1635" spans="1:12">
      <c r="A1635" t="s">
        <v>318</v>
      </c>
      <c r="B1635" t="s">
        <v>1533</v>
      </c>
      <c r="C1635" t="s">
        <v>1622</v>
      </c>
      <c r="D1635" s="28">
        <v>7600100047660</v>
      </c>
      <c r="E1635" s="29" t="s">
        <v>371</v>
      </c>
      <c r="F1635" s="29" t="s">
        <v>372</v>
      </c>
      <c r="G1635">
        <v>10</v>
      </c>
      <c r="H1635" t="s">
        <v>323</v>
      </c>
      <c r="I1635" t="s">
        <v>45</v>
      </c>
      <c r="J1635" t="s">
        <v>185</v>
      </c>
      <c r="K1635">
        <v>0</v>
      </c>
      <c r="L1635" t="s">
        <v>327</v>
      </c>
    </row>
    <row r="1636" spans="1:12">
      <c r="A1636" t="s">
        <v>318</v>
      </c>
      <c r="B1636" t="s">
        <v>1533</v>
      </c>
      <c r="C1636" t="s">
        <v>1623</v>
      </c>
      <c r="D1636" s="28">
        <v>7600100047683</v>
      </c>
      <c r="E1636" s="29" t="s">
        <v>371</v>
      </c>
      <c r="F1636" s="29" t="s">
        <v>372</v>
      </c>
      <c r="G1636">
        <v>12</v>
      </c>
      <c r="H1636" t="s">
        <v>323</v>
      </c>
      <c r="I1636" t="s">
        <v>45</v>
      </c>
      <c r="J1636" t="s">
        <v>185</v>
      </c>
      <c r="K1636">
        <v>0</v>
      </c>
      <c r="L1636" t="s">
        <v>327</v>
      </c>
    </row>
    <row r="1637" spans="1:12">
      <c r="A1637" t="s">
        <v>318</v>
      </c>
      <c r="B1637" t="s">
        <v>1624</v>
      </c>
      <c r="C1637" t="s">
        <v>718</v>
      </c>
      <c r="D1637" s="28">
        <v>7656300050064</v>
      </c>
      <c r="E1637" s="29" t="s">
        <v>1045</v>
      </c>
      <c r="F1637" s="29" t="s">
        <v>372</v>
      </c>
      <c r="G1637">
        <v>15</v>
      </c>
      <c r="H1637" t="s">
        <v>1051</v>
      </c>
      <c r="I1637" t="s">
        <v>98</v>
      </c>
      <c r="J1637" t="s">
        <v>1625</v>
      </c>
      <c r="K1637" t="s">
        <v>1226</v>
      </c>
      <c r="L1637" t="s">
        <v>327</v>
      </c>
    </row>
    <row r="1638" spans="1:12">
      <c r="A1638" t="s">
        <v>318</v>
      </c>
      <c r="B1638" t="s">
        <v>1624</v>
      </c>
      <c r="C1638" t="s">
        <v>1626</v>
      </c>
      <c r="D1638" s="28">
        <v>7656300050069</v>
      </c>
      <c r="E1638" s="29" t="s">
        <v>371</v>
      </c>
      <c r="F1638" s="29" t="s">
        <v>372</v>
      </c>
      <c r="G1638">
        <v>12</v>
      </c>
      <c r="H1638" t="s">
        <v>1051</v>
      </c>
      <c r="I1638" t="s">
        <v>98</v>
      </c>
      <c r="J1638" t="s">
        <v>1625</v>
      </c>
      <c r="K1638" t="s">
        <v>285</v>
      </c>
      <c r="L1638" t="s">
        <v>327</v>
      </c>
    </row>
    <row r="1639" spans="1:12">
      <c r="A1639" t="s">
        <v>318</v>
      </c>
      <c r="B1639" t="s">
        <v>1624</v>
      </c>
      <c r="C1639" t="s">
        <v>1627</v>
      </c>
      <c r="D1639" s="28">
        <v>7656300050077</v>
      </c>
      <c r="E1639" s="29" t="s">
        <v>371</v>
      </c>
      <c r="F1639" s="29" t="s">
        <v>372</v>
      </c>
      <c r="G1639">
        <v>13</v>
      </c>
      <c r="H1639" t="s">
        <v>1051</v>
      </c>
      <c r="I1639" t="s">
        <v>98</v>
      </c>
      <c r="J1639" t="s">
        <v>1625</v>
      </c>
      <c r="K1639" t="s">
        <v>285</v>
      </c>
      <c r="L1639" t="s">
        <v>327</v>
      </c>
    </row>
    <row r="1640" spans="1:12">
      <c r="A1640" t="s">
        <v>318</v>
      </c>
      <c r="B1640" t="s">
        <v>1624</v>
      </c>
      <c r="C1640" t="s">
        <v>1628</v>
      </c>
      <c r="D1640" s="28">
        <v>7656300050084</v>
      </c>
      <c r="E1640" s="29" t="s">
        <v>371</v>
      </c>
      <c r="F1640" s="29" t="s">
        <v>372</v>
      </c>
      <c r="G1640">
        <v>13</v>
      </c>
      <c r="H1640" t="s">
        <v>1051</v>
      </c>
      <c r="I1640" t="s">
        <v>98</v>
      </c>
      <c r="J1640" t="s">
        <v>1625</v>
      </c>
      <c r="K1640" t="s">
        <v>1226</v>
      </c>
      <c r="L1640" t="s">
        <v>327</v>
      </c>
    </row>
    <row r="1641" spans="1:12">
      <c r="A1641" t="s">
        <v>318</v>
      </c>
      <c r="B1641" t="s">
        <v>1624</v>
      </c>
      <c r="C1641" t="s">
        <v>1629</v>
      </c>
      <c r="D1641" s="28">
        <v>7656300050089</v>
      </c>
      <c r="E1641" s="29" t="s">
        <v>371</v>
      </c>
      <c r="F1641" s="29" t="s">
        <v>372</v>
      </c>
      <c r="G1641">
        <v>13</v>
      </c>
      <c r="H1641" t="s">
        <v>1051</v>
      </c>
      <c r="I1641" t="s">
        <v>98</v>
      </c>
      <c r="J1641" t="s">
        <v>1625</v>
      </c>
      <c r="K1641" t="s">
        <v>285</v>
      </c>
      <c r="L1641" t="s">
        <v>1090</v>
      </c>
    </row>
    <row r="1642" spans="1:12">
      <c r="A1642" t="s">
        <v>318</v>
      </c>
      <c r="B1642" t="s">
        <v>1624</v>
      </c>
      <c r="C1642" t="s">
        <v>389</v>
      </c>
      <c r="D1642" s="28">
        <v>7656300050106</v>
      </c>
      <c r="E1642" s="29" t="s">
        <v>371</v>
      </c>
      <c r="F1642" s="29" t="s">
        <v>372</v>
      </c>
      <c r="G1642">
        <v>13</v>
      </c>
      <c r="H1642" t="s">
        <v>1051</v>
      </c>
      <c r="I1642" t="s">
        <v>98</v>
      </c>
      <c r="J1642" t="s">
        <v>1625</v>
      </c>
      <c r="K1642" t="s">
        <v>365</v>
      </c>
      <c r="L1642" t="s">
        <v>327</v>
      </c>
    </row>
    <row r="1643" spans="1:12">
      <c r="A1643" t="s">
        <v>318</v>
      </c>
      <c r="B1643" t="s">
        <v>1624</v>
      </c>
      <c r="C1643" t="s">
        <v>348</v>
      </c>
      <c r="D1643" s="28">
        <v>7656300050116</v>
      </c>
      <c r="E1643" s="29" t="s">
        <v>371</v>
      </c>
      <c r="F1643" s="29" t="s">
        <v>372</v>
      </c>
      <c r="G1643">
        <v>13</v>
      </c>
      <c r="H1643" t="s">
        <v>1051</v>
      </c>
      <c r="I1643" t="s">
        <v>98</v>
      </c>
      <c r="J1643" t="s">
        <v>1625</v>
      </c>
      <c r="K1643" t="s">
        <v>285</v>
      </c>
      <c r="L1643" t="s">
        <v>327</v>
      </c>
    </row>
    <row r="1644" spans="1:12">
      <c r="A1644" t="s">
        <v>318</v>
      </c>
      <c r="B1644" t="s">
        <v>1624</v>
      </c>
      <c r="C1644" t="s">
        <v>642</v>
      </c>
      <c r="D1644" s="28">
        <v>7656300050163</v>
      </c>
      <c r="E1644" s="29" t="s">
        <v>371</v>
      </c>
      <c r="F1644" s="29" t="s">
        <v>372</v>
      </c>
      <c r="G1644">
        <v>13</v>
      </c>
      <c r="H1644" t="s">
        <v>1051</v>
      </c>
      <c r="I1644" t="s">
        <v>98</v>
      </c>
      <c r="J1644" t="s">
        <v>1625</v>
      </c>
      <c r="K1644" t="s">
        <v>1226</v>
      </c>
      <c r="L1644" t="s">
        <v>327</v>
      </c>
    </row>
    <row r="1645" spans="1:12">
      <c r="A1645" t="s">
        <v>318</v>
      </c>
      <c r="B1645" t="s">
        <v>1624</v>
      </c>
      <c r="C1645" t="s">
        <v>1630</v>
      </c>
      <c r="D1645" s="28">
        <v>7656300050174</v>
      </c>
      <c r="E1645" s="29" t="s">
        <v>441</v>
      </c>
      <c r="F1645" s="29" t="s">
        <v>372</v>
      </c>
      <c r="G1645">
        <v>52</v>
      </c>
      <c r="H1645" t="s">
        <v>1051</v>
      </c>
      <c r="I1645" t="s">
        <v>98</v>
      </c>
      <c r="J1645" t="s">
        <v>1625</v>
      </c>
      <c r="K1645" t="s">
        <v>285</v>
      </c>
      <c r="L1645" t="s">
        <v>1090</v>
      </c>
    </row>
    <row r="1646" spans="1:12">
      <c r="A1646" t="s">
        <v>318</v>
      </c>
      <c r="B1646" t="s">
        <v>1624</v>
      </c>
      <c r="C1646" t="s">
        <v>1631</v>
      </c>
      <c r="D1646" s="28">
        <v>7656300050614</v>
      </c>
      <c r="E1646" s="29" t="s">
        <v>1045</v>
      </c>
      <c r="F1646" s="29" t="s">
        <v>372</v>
      </c>
      <c r="G1646">
        <v>15</v>
      </c>
      <c r="H1646" t="s">
        <v>1051</v>
      </c>
      <c r="I1646" t="s">
        <v>98</v>
      </c>
      <c r="J1646" t="s">
        <v>1625</v>
      </c>
      <c r="K1646" t="s">
        <v>365</v>
      </c>
      <c r="L1646" t="s">
        <v>327</v>
      </c>
    </row>
    <row r="1647" spans="1:12">
      <c r="A1647" t="s">
        <v>318</v>
      </c>
      <c r="B1647" t="s">
        <v>1624</v>
      </c>
      <c r="C1647" t="s">
        <v>1632</v>
      </c>
      <c r="D1647" s="28">
        <v>7656300050621</v>
      </c>
      <c r="E1647" s="29" t="s">
        <v>371</v>
      </c>
      <c r="F1647" s="29" t="s">
        <v>372</v>
      </c>
      <c r="G1647">
        <v>13</v>
      </c>
      <c r="H1647" t="s">
        <v>1051</v>
      </c>
      <c r="I1647" t="s">
        <v>98</v>
      </c>
      <c r="J1647" t="s">
        <v>1625</v>
      </c>
      <c r="K1647" t="s">
        <v>285</v>
      </c>
      <c r="L1647" t="s">
        <v>327</v>
      </c>
    </row>
    <row r="1648" spans="1:12">
      <c r="A1648" t="s">
        <v>318</v>
      </c>
      <c r="B1648" t="s">
        <v>1624</v>
      </c>
      <c r="C1648" t="s">
        <v>1285</v>
      </c>
      <c r="D1648" s="28">
        <v>7656300050627</v>
      </c>
      <c r="E1648" s="29" t="s">
        <v>371</v>
      </c>
      <c r="F1648" s="29" t="s">
        <v>372</v>
      </c>
      <c r="G1648">
        <v>12</v>
      </c>
      <c r="H1648" t="s">
        <v>1051</v>
      </c>
      <c r="I1648" t="s">
        <v>98</v>
      </c>
      <c r="J1648" t="s">
        <v>1625</v>
      </c>
      <c r="K1648" t="s">
        <v>1226</v>
      </c>
      <c r="L1648" t="s">
        <v>327</v>
      </c>
    </row>
    <row r="1649" spans="1:12">
      <c r="A1649" t="s">
        <v>318</v>
      </c>
      <c r="B1649" t="s">
        <v>1624</v>
      </c>
      <c r="C1649" t="s">
        <v>1633</v>
      </c>
      <c r="D1649" s="28">
        <v>7656300050660</v>
      </c>
      <c r="E1649" s="29" t="s">
        <v>371</v>
      </c>
      <c r="F1649" s="29" t="s">
        <v>372</v>
      </c>
      <c r="G1649">
        <v>13</v>
      </c>
      <c r="H1649" t="s">
        <v>1051</v>
      </c>
      <c r="I1649" t="s">
        <v>98</v>
      </c>
      <c r="J1649" t="s">
        <v>1625</v>
      </c>
      <c r="K1649" t="s">
        <v>1226</v>
      </c>
      <c r="L1649" t="s">
        <v>327</v>
      </c>
    </row>
    <row r="1650" spans="1:12">
      <c r="A1650" t="s">
        <v>318</v>
      </c>
      <c r="B1650" t="s">
        <v>1624</v>
      </c>
      <c r="C1650" t="s">
        <v>1634</v>
      </c>
      <c r="D1650" s="28">
        <v>7656300050670</v>
      </c>
      <c r="E1650" s="29" t="s">
        <v>371</v>
      </c>
      <c r="F1650" s="29" t="s">
        <v>372</v>
      </c>
      <c r="G1650">
        <v>13</v>
      </c>
      <c r="H1650" t="s">
        <v>1051</v>
      </c>
      <c r="I1650" t="s">
        <v>98</v>
      </c>
      <c r="J1650" t="s">
        <v>1625</v>
      </c>
      <c r="K1650" t="s">
        <v>285</v>
      </c>
      <c r="L1650" t="s">
        <v>327</v>
      </c>
    </row>
    <row r="1651" spans="1:12">
      <c r="A1651" t="s">
        <v>318</v>
      </c>
      <c r="B1651" t="s">
        <v>1624</v>
      </c>
      <c r="C1651" t="s">
        <v>1635</v>
      </c>
      <c r="D1651" s="28">
        <v>7656300050675</v>
      </c>
      <c r="E1651" s="29" t="s">
        <v>371</v>
      </c>
      <c r="F1651" s="29" t="s">
        <v>372</v>
      </c>
      <c r="G1651">
        <v>13</v>
      </c>
      <c r="H1651" t="s">
        <v>1051</v>
      </c>
      <c r="I1651" t="s">
        <v>98</v>
      </c>
      <c r="J1651" t="s">
        <v>1625</v>
      </c>
      <c r="K1651" t="s">
        <v>285</v>
      </c>
      <c r="L1651" t="s">
        <v>327</v>
      </c>
    </row>
    <row r="1652" spans="1:12">
      <c r="A1652" t="s">
        <v>318</v>
      </c>
      <c r="B1652" t="s">
        <v>1624</v>
      </c>
      <c r="C1652" t="s">
        <v>1636</v>
      </c>
      <c r="D1652" s="28">
        <v>7656300050688</v>
      </c>
      <c r="E1652" s="29" t="s">
        <v>371</v>
      </c>
      <c r="F1652" s="29" t="s">
        <v>372</v>
      </c>
      <c r="G1652">
        <v>13</v>
      </c>
      <c r="H1652" t="s">
        <v>1051</v>
      </c>
      <c r="I1652" t="s">
        <v>98</v>
      </c>
      <c r="J1652" t="s">
        <v>1625</v>
      </c>
      <c r="K1652" t="s">
        <v>285</v>
      </c>
      <c r="L1652" t="s">
        <v>327</v>
      </c>
    </row>
    <row r="1653" spans="1:12">
      <c r="A1653" t="s">
        <v>318</v>
      </c>
      <c r="B1653" t="s">
        <v>1624</v>
      </c>
      <c r="C1653" t="s">
        <v>1637</v>
      </c>
      <c r="D1653" s="28">
        <v>7656300067459</v>
      </c>
      <c r="E1653" s="29" t="s">
        <v>441</v>
      </c>
      <c r="F1653" s="29" t="s">
        <v>372</v>
      </c>
      <c r="G1653">
        <v>78</v>
      </c>
      <c r="H1653" t="s">
        <v>1051</v>
      </c>
      <c r="I1653" t="s">
        <v>98</v>
      </c>
      <c r="J1653" t="s">
        <v>1625</v>
      </c>
      <c r="K1653" t="s">
        <v>337</v>
      </c>
      <c r="L1653" t="s">
        <v>327</v>
      </c>
    </row>
    <row r="1654" spans="1:12">
      <c r="A1654" t="s">
        <v>318</v>
      </c>
      <c r="B1654" t="s">
        <v>1624</v>
      </c>
      <c r="C1654" t="s">
        <v>1638</v>
      </c>
      <c r="D1654" s="28">
        <v>7656300109813</v>
      </c>
      <c r="E1654" s="29" t="s">
        <v>441</v>
      </c>
      <c r="F1654" s="29" t="s">
        <v>372</v>
      </c>
      <c r="G1654">
        <v>65</v>
      </c>
      <c r="H1654" t="s">
        <v>1051</v>
      </c>
      <c r="I1654" t="s">
        <v>98</v>
      </c>
      <c r="J1654" t="s">
        <v>1625</v>
      </c>
      <c r="K1654" t="s">
        <v>1226</v>
      </c>
      <c r="L1654" t="s">
        <v>327</v>
      </c>
    </row>
    <row r="1655" spans="1:12">
      <c r="A1655" t="s">
        <v>318</v>
      </c>
      <c r="B1655" t="s">
        <v>1624</v>
      </c>
      <c r="C1655" t="s">
        <v>1639</v>
      </c>
      <c r="D1655" s="28">
        <v>765631112229</v>
      </c>
      <c r="E1655" s="29" t="s">
        <v>371</v>
      </c>
      <c r="F1655" s="29" t="s">
        <v>372</v>
      </c>
      <c r="G1655">
        <v>12</v>
      </c>
      <c r="H1655" t="s">
        <v>1051</v>
      </c>
      <c r="I1655" t="s">
        <v>98</v>
      </c>
      <c r="J1655" t="s">
        <v>1625</v>
      </c>
      <c r="K1655" t="s">
        <v>1226</v>
      </c>
      <c r="L1655" t="s">
        <v>1090</v>
      </c>
    </row>
    <row r="1656" spans="1:12">
      <c r="A1656" t="s">
        <v>318</v>
      </c>
      <c r="B1656" t="s">
        <v>1624</v>
      </c>
      <c r="C1656" t="s">
        <v>1640</v>
      </c>
      <c r="D1656" s="28">
        <v>765631112271</v>
      </c>
      <c r="E1656" s="29" t="s">
        <v>1045</v>
      </c>
      <c r="F1656" s="29" t="s">
        <v>372</v>
      </c>
      <c r="G1656">
        <v>15</v>
      </c>
      <c r="H1656" t="s">
        <v>1051</v>
      </c>
      <c r="I1656" t="s">
        <v>98</v>
      </c>
      <c r="J1656" t="s">
        <v>1625</v>
      </c>
      <c r="K1656" t="s">
        <v>337</v>
      </c>
      <c r="L1656" t="s">
        <v>327</v>
      </c>
    </row>
    <row r="1657" spans="1:12">
      <c r="A1657" t="s">
        <v>318</v>
      </c>
      <c r="B1657" t="s">
        <v>1624</v>
      </c>
      <c r="C1657" t="s">
        <v>1641</v>
      </c>
      <c r="D1657" s="28">
        <v>765631112288</v>
      </c>
      <c r="E1657" s="29" t="s">
        <v>1045</v>
      </c>
      <c r="F1657" s="29" t="s">
        <v>372</v>
      </c>
      <c r="G1657">
        <v>15</v>
      </c>
      <c r="H1657" t="s">
        <v>1051</v>
      </c>
      <c r="I1657" t="s">
        <v>98</v>
      </c>
      <c r="J1657" t="s">
        <v>1625</v>
      </c>
      <c r="K1657" t="s">
        <v>337</v>
      </c>
      <c r="L1657" t="s">
        <v>327</v>
      </c>
    </row>
    <row r="1658" spans="1:12">
      <c r="A1658" t="s">
        <v>318</v>
      </c>
      <c r="B1658" t="s">
        <v>1624</v>
      </c>
      <c r="C1658" t="s">
        <v>1186</v>
      </c>
      <c r="D1658" s="28">
        <v>765631112310</v>
      </c>
      <c r="E1658" s="29" t="s">
        <v>371</v>
      </c>
      <c r="F1658" s="29" t="s">
        <v>372</v>
      </c>
      <c r="G1658">
        <v>13</v>
      </c>
      <c r="H1658" t="s">
        <v>1051</v>
      </c>
      <c r="I1658" t="s">
        <v>98</v>
      </c>
      <c r="J1658" t="s">
        <v>1625</v>
      </c>
      <c r="K1658" t="s">
        <v>1226</v>
      </c>
      <c r="L1658" t="s">
        <v>327</v>
      </c>
    </row>
    <row r="1659" spans="1:12">
      <c r="A1659" t="s">
        <v>318</v>
      </c>
      <c r="B1659" t="s">
        <v>1624</v>
      </c>
      <c r="C1659" t="s">
        <v>1642</v>
      </c>
      <c r="D1659" s="28">
        <v>765631124786</v>
      </c>
      <c r="E1659" s="29" t="s">
        <v>371</v>
      </c>
      <c r="F1659" s="29" t="s">
        <v>372</v>
      </c>
      <c r="G1659">
        <v>13</v>
      </c>
      <c r="H1659" t="s">
        <v>1051</v>
      </c>
      <c r="I1659" t="s">
        <v>98</v>
      </c>
      <c r="J1659" t="s">
        <v>1625</v>
      </c>
      <c r="K1659" t="s">
        <v>1226</v>
      </c>
      <c r="L1659" t="s">
        <v>327</v>
      </c>
    </row>
    <row r="1660" spans="1:12">
      <c r="A1660" t="s">
        <v>318</v>
      </c>
      <c r="B1660" t="s">
        <v>1624</v>
      </c>
      <c r="C1660" t="s">
        <v>1643</v>
      </c>
      <c r="D1660" s="28">
        <v>7627500104526</v>
      </c>
      <c r="E1660" s="29" t="s">
        <v>393</v>
      </c>
      <c r="F1660" s="29" t="s">
        <v>372</v>
      </c>
      <c r="G1660">
        <v>40</v>
      </c>
      <c r="H1660" t="s">
        <v>323</v>
      </c>
      <c r="I1660" t="s">
        <v>98</v>
      </c>
      <c r="J1660" t="s">
        <v>1644</v>
      </c>
      <c r="K1660" t="s">
        <v>394</v>
      </c>
      <c r="L1660" t="s">
        <v>1090</v>
      </c>
    </row>
    <row r="1661" spans="1:12">
      <c r="A1661" t="s">
        <v>318</v>
      </c>
      <c r="B1661" t="s">
        <v>1624</v>
      </c>
      <c r="C1661" t="s">
        <v>1645</v>
      </c>
      <c r="D1661" s="28">
        <v>7627500114491</v>
      </c>
      <c r="E1661" s="29" t="s">
        <v>1248</v>
      </c>
      <c r="F1661" s="29" t="s">
        <v>322</v>
      </c>
      <c r="G1661">
        <v>37</v>
      </c>
      <c r="H1661" t="s">
        <v>323</v>
      </c>
      <c r="I1661" t="s">
        <v>98</v>
      </c>
      <c r="J1661" t="s">
        <v>1644</v>
      </c>
      <c r="K1661" t="s">
        <v>394</v>
      </c>
      <c r="L1661" t="s">
        <v>1090</v>
      </c>
    </row>
    <row r="1662" spans="1:12">
      <c r="A1662" t="s">
        <v>318</v>
      </c>
      <c r="B1662" t="s">
        <v>1624</v>
      </c>
      <c r="C1662" t="s">
        <v>1646</v>
      </c>
      <c r="D1662" s="28">
        <v>7627500114492</v>
      </c>
      <c r="E1662" s="29" t="s">
        <v>393</v>
      </c>
      <c r="F1662" s="29" t="s">
        <v>372</v>
      </c>
      <c r="G1662">
        <v>20</v>
      </c>
      <c r="H1662" t="s">
        <v>323</v>
      </c>
      <c r="I1662" t="s">
        <v>98</v>
      </c>
      <c r="J1662" t="s">
        <v>1644</v>
      </c>
      <c r="K1662" t="s">
        <v>394</v>
      </c>
      <c r="L1662" t="s">
        <v>1090</v>
      </c>
    </row>
    <row r="1663" spans="1:12">
      <c r="A1663" t="s">
        <v>318</v>
      </c>
      <c r="B1663" t="s">
        <v>1624</v>
      </c>
      <c r="C1663" t="s">
        <v>1647</v>
      </c>
      <c r="D1663" s="28">
        <v>7627500132625</v>
      </c>
      <c r="E1663" s="29" t="s">
        <v>393</v>
      </c>
      <c r="F1663" s="29" t="s">
        <v>372</v>
      </c>
      <c r="G1663">
        <v>67</v>
      </c>
      <c r="H1663" t="s">
        <v>323</v>
      </c>
      <c r="I1663" t="s">
        <v>98</v>
      </c>
      <c r="J1663" t="s">
        <v>1644</v>
      </c>
      <c r="K1663" t="s">
        <v>394</v>
      </c>
      <c r="L1663" t="s">
        <v>327</v>
      </c>
    </row>
    <row r="1664" spans="1:12">
      <c r="A1664" t="s">
        <v>318</v>
      </c>
      <c r="B1664" t="s">
        <v>1624</v>
      </c>
      <c r="C1664" t="s">
        <v>385</v>
      </c>
      <c r="D1664" s="28">
        <v>762751128016</v>
      </c>
      <c r="E1664" s="29" t="s">
        <v>1248</v>
      </c>
      <c r="F1664" s="29" t="s">
        <v>322</v>
      </c>
      <c r="G1664">
        <v>23</v>
      </c>
      <c r="H1664" t="s">
        <v>323</v>
      </c>
      <c r="I1664" t="s">
        <v>98</v>
      </c>
      <c r="J1664" t="s">
        <v>1644</v>
      </c>
      <c r="K1664" t="s">
        <v>394</v>
      </c>
      <c r="L1664" t="s">
        <v>327</v>
      </c>
    </row>
    <row r="1665" spans="1:12">
      <c r="A1665" t="s">
        <v>318</v>
      </c>
      <c r="B1665" t="s">
        <v>1624</v>
      </c>
      <c r="C1665" t="s">
        <v>1648</v>
      </c>
      <c r="D1665" s="28">
        <v>762751137100</v>
      </c>
      <c r="E1665" s="29" t="s">
        <v>1248</v>
      </c>
      <c r="F1665" s="29" t="s">
        <v>322</v>
      </c>
      <c r="G1665">
        <v>36</v>
      </c>
      <c r="H1665" t="s">
        <v>323</v>
      </c>
      <c r="I1665" t="s">
        <v>98</v>
      </c>
      <c r="J1665" t="s">
        <v>1644</v>
      </c>
      <c r="K1665" t="s">
        <v>394</v>
      </c>
      <c r="L1665" t="s">
        <v>327</v>
      </c>
    </row>
    <row r="1666" spans="1:12">
      <c r="A1666" t="s">
        <v>318</v>
      </c>
      <c r="B1666" t="s">
        <v>1624</v>
      </c>
      <c r="C1666" t="s">
        <v>1649</v>
      </c>
      <c r="D1666" s="28">
        <v>7613000050427</v>
      </c>
      <c r="E1666" s="29" t="s">
        <v>1045</v>
      </c>
      <c r="F1666" s="29" t="s">
        <v>372</v>
      </c>
      <c r="G1666">
        <v>14</v>
      </c>
      <c r="H1666" t="s">
        <v>323</v>
      </c>
      <c r="I1666" t="s">
        <v>98</v>
      </c>
      <c r="J1666" t="s">
        <v>1650</v>
      </c>
      <c r="K1666" t="s">
        <v>285</v>
      </c>
      <c r="L1666" t="s">
        <v>327</v>
      </c>
    </row>
    <row r="1667" spans="1:12">
      <c r="A1667" t="s">
        <v>318</v>
      </c>
      <c r="B1667" t="s">
        <v>1624</v>
      </c>
      <c r="C1667" t="s">
        <v>381</v>
      </c>
      <c r="D1667" s="28">
        <v>7613000050814</v>
      </c>
      <c r="E1667" s="29" t="s">
        <v>371</v>
      </c>
      <c r="F1667" s="29" t="s">
        <v>372</v>
      </c>
      <c r="G1667">
        <v>10</v>
      </c>
      <c r="H1667" t="s">
        <v>1051</v>
      </c>
      <c r="I1667" t="s">
        <v>98</v>
      </c>
      <c r="J1667" t="s">
        <v>1650</v>
      </c>
      <c r="K1667" t="s">
        <v>1226</v>
      </c>
      <c r="L1667" t="s">
        <v>327</v>
      </c>
    </row>
    <row r="1668" spans="1:12">
      <c r="A1668" t="s">
        <v>318</v>
      </c>
      <c r="B1668" t="s">
        <v>1624</v>
      </c>
      <c r="C1668" t="s">
        <v>1651</v>
      </c>
      <c r="D1668" s="28">
        <v>7613000050825</v>
      </c>
      <c r="E1668" s="29" t="s">
        <v>371</v>
      </c>
      <c r="F1668" s="29" t="s">
        <v>372</v>
      </c>
      <c r="G1668">
        <v>13</v>
      </c>
      <c r="H1668" t="s">
        <v>1051</v>
      </c>
      <c r="I1668" t="s">
        <v>98</v>
      </c>
      <c r="J1668" t="s">
        <v>1650</v>
      </c>
      <c r="K1668" t="s">
        <v>1226</v>
      </c>
      <c r="L1668" t="s">
        <v>327</v>
      </c>
    </row>
    <row r="1669" spans="1:12">
      <c r="A1669" t="s">
        <v>318</v>
      </c>
      <c r="B1669" t="s">
        <v>1624</v>
      </c>
      <c r="C1669" t="s">
        <v>1652</v>
      </c>
      <c r="D1669" s="28">
        <v>7613000050834</v>
      </c>
      <c r="E1669" s="29" t="s">
        <v>371</v>
      </c>
      <c r="F1669" s="29" t="s">
        <v>372</v>
      </c>
      <c r="G1669">
        <v>13</v>
      </c>
      <c r="H1669" t="s">
        <v>1051</v>
      </c>
      <c r="I1669" t="s">
        <v>98</v>
      </c>
      <c r="J1669" t="s">
        <v>1650</v>
      </c>
      <c r="K1669" t="s">
        <v>285</v>
      </c>
      <c r="L1669" t="s">
        <v>327</v>
      </c>
    </row>
    <row r="1670" spans="1:12">
      <c r="A1670" t="s">
        <v>318</v>
      </c>
      <c r="B1670" t="s">
        <v>1624</v>
      </c>
      <c r="C1670" t="s">
        <v>1653</v>
      </c>
      <c r="D1670" s="28">
        <v>7613000062037</v>
      </c>
      <c r="E1670" s="29" t="s">
        <v>371</v>
      </c>
      <c r="F1670" s="29" t="s">
        <v>372</v>
      </c>
      <c r="G1670">
        <v>11</v>
      </c>
      <c r="H1670" t="s">
        <v>1051</v>
      </c>
      <c r="I1670" t="s">
        <v>98</v>
      </c>
      <c r="J1670" t="s">
        <v>1650</v>
      </c>
      <c r="K1670" t="s">
        <v>285</v>
      </c>
      <c r="L1670" t="s">
        <v>327</v>
      </c>
    </row>
    <row r="1671" spans="1:12">
      <c r="A1671" t="s">
        <v>318</v>
      </c>
      <c r="B1671" t="s">
        <v>1624</v>
      </c>
      <c r="C1671" t="s">
        <v>377</v>
      </c>
      <c r="D1671" s="28">
        <v>7613000062039</v>
      </c>
      <c r="E1671" s="29" t="s">
        <v>371</v>
      </c>
      <c r="F1671" s="29" t="s">
        <v>372</v>
      </c>
      <c r="G1671">
        <v>13</v>
      </c>
      <c r="H1671" t="s">
        <v>1051</v>
      </c>
      <c r="I1671" t="s">
        <v>98</v>
      </c>
      <c r="J1671" t="s">
        <v>1650</v>
      </c>
      <c r="K1671" t="s">
        <v>285</v>
      </c>
      <c r="L1671" t="s">
        <v>327</v>
      </c>
    </row>
    <row r="1672" spans="1:12">
      <c r="A1672" t="s">
        <v>318</v>
      </c>
      <c r="B1672" t="s">
        <v>1624</v>
      </c>
      <c r="C1672" t="s">
        <v>1176</v>
      </c>
      <c r="D1672" s="28">
        <v>7613000062042</v>
      </c>
      <c r="E1672" s="29" t="s">
        <v>1045</v>
      </c>
      <c r="F1672" s="29" t="s">
        <v>372</v>
      </c>
      <c r="G1672">
        <v>15</v>
      </c>
      <c r="H1672" t="s">
        <v>1051</v>
      </c>
      <c r="I1672" t="s">
        <v>98</v>
      </c>
      <c r="J1672" t="s">
        <v>1650</v>
      </c>
      <c r="K1672" t="s">
        <v>285</v>
      </c>
      <c r="L1672" t="s">
        <v>327</v>
      </c>
    </row>
    <row r="1673" spans="1:12">
      <c r="A1673" t="s">
        <v>318</v>
      </c>
      <c r="B1673" t="s">
        <v>1624</v>
      </c>
      <c r="C1673" t="s">
        <v>486</v>
      </c>
      <c r="D1673" s="28">
        <v>7613000062050</v>
      </c>
      <c r="E1673" s="29" t="s">
        <v>371</v>
      </c>
      <c r="F1673" s="29" t="s">
        <v>372</v>
      </c>
      <c r="G1673">
        <v>13</v>
      </c>
      <c r="H1673" t="s">
        <v>1051</v>
      </c>
      <c r="I1673" t="s">
        <v>98</v>
      </c>
      <c r="J1673" t="s">
        <v>1650</v>
      </c>
      <c r="K1673" t="s">
        <v>285</v>
      </c>
      <c r="L1673" t="s">
        <v>327</v>
      </c>
    </row>
    <row r="1674" spans="1:12">
      <c r="A1674" t="s">
        <v>318</v>
      </c>
      <c r="B1674" t="s">
        <v>1624</v>
      </c>
      <c r="C1674" t="s">
        <v>1654</v>
      </c>
      <c r="D1674" s="28">
        <v>7613000062052</v>
      </c>
      <c r="E1674" s="29" t="s">
        <v>371</v>
      </c>
      <c r="F1674" s="29" t="s">
        <v>372</v>
      </c>
      <c r="G1674">
        <v>12</v>
      </c>
      <c r="H1674" t="s">
        <v>1051</v>
      </c>
      <c r="I1674" t="s">
        <v>98</v>
      </c>
      <c r="J1674" t="s">
        <v>1650</v>
      </c>
      <c r="K1674" t="s">
        <v>285</v>
      </c>
      <c r="L1674" t="s">
        <v>327</v>
      </c>
    </row>
    <row r="1675" spans="1:12">
      <c r="A1675" t="s">
        <v>318</v>
      </c>
      <c r="B1675" t="s">
        <v>1624</v>
      </c>
      <c r="C1675" t="s">
        <v>1655</v>
      </c>
      <c r="D1675" s="28">
        <v>7613000062064</v>
      </c>
      <c r="E1675" s="29" t="s">
        <v>441</v>
      </c>
      <c r="F1675" s="29" t="s">
        <v>372</v>
      </c>
      <c r="G1675">
        <v>26</v>
      </c>
      <c r="H1675" t="s">
        <v>323</v>
      </c>
      <c r="I1675" t="s">
        <v>98</v>
      </c>
      <c r="J1675" t="s">
        <v>1650</v>
      </c>
      <c r="K1675" t="s">
        <v>285</v>
      </c>
      <c r="L1675" t="s">
        <v>327</v>
      </c>
    </row>
    <row r="1676" spans="1:12">
      <c r="A1676" t="s">
        <v>318</v>
      </c>
      <c r="B1676" t="s">
        <v>1624</v>
      </c>
      <c r="C1676" t="s">
        <v>1656</v>
      </c>
      <c r="D1676" s="28">
        <v>7613000062075</v>
      </c>
      <c r="E1676" s="29" t="s">
        <v>1045</v>
      </c>
      <c r="F1676" s="29" t="s">
        <v>372</v>
      </c>
      <c r="G1676">
        <v>15</v>
      </c>
      <c r="H1676" t="s">
        <v>1051</v>
      </c>
      <c r="I1676" t="s">
        <v>98</v>
      </c>
      <c r="J1676" t="s">
        <v>1650</v>
      </c>
      <c r="K1676" t="s">
        <v>285</v>
      </c>
      <c r="L1676" t="s">
        <v>327</v>
      </c>
    </row>
    <row r="1677" spans="1:12">
      <c r="A1677" t="s">
        <v>318</v>
      </c>
      <c r="B1677" t="s">
        <v>1624</v>
      </c>
      <c r="C1677" t="s">
        <v>1001</v>
      </c>
      <c r="D1677" s="28">
        <v>7613000062078</v>
      </c>
      <c r="E1677" s="29" t="s">
        <v>371</v>
      </c>
      <c r="F1677" s="29" t="s">
        <v>372</v>
      </c>
      <c r="G1677">
        <v>13</v>
      </c>
      <c r="H1677" t="s">
        <v>1051</v>
      </c>
      <c r="I1677" t="s">
        <v>98</v>
      </c>
      <c r="J1677" t="s">
        <v>1650</v>
      </c>
      <c r="K1677" t="s">
        <v>285</v>
      </c>
      <c r="L1677" t="s">
        <v>327</v>
      </c>
    </row>
    <row r="1678" spans="1:12">
      <c r="A1678" t="s">
        <v>318</v>
      </c>
      <c r="B1678" t="s">
        <v>1624</v>
      </c>
      <c r="C1678" t="s">
        <v>575</v>
      </c>
      <c r="D1678" s="28">
        <v>7613000062080</v>
      </c>
      <c r="E1678" s="29" t="s">
        <v>371</v>
      </c>
      <c r="F1678" s="29" t="s">
        <v>372</v>
      </c>
      <c r="G1678">
        <v>13</v>
      </c>
      <c r="H1678" t="s">
        <v>1051</v>
      </c>
      <c r="I1678" t="s">
        <v>98</v>
      </c>
      <c r="J1678" t="s">
        <v>1650</v>
      </c>
      <c r="K1678" t="s">
        <v>1226</v>
      </c>
      <c r="L1678" t="s">
        <v>327</v>
      </c>
    </row>
    <row r="1679" spans="1:12">
      <c r="A1679" t="s">
        <v>318</v>
      </c>
      <c r="B1679" t="s">
        <v>1624</v>
      </c>
      <c r="C1679" t="s">
        <v>1657</v>
      </c>
      <c r="D1679" s="28">
        <v>7613000062083</v>
      </c>
      <c r="E1679" s="29" t="s">
        <v>371</v>
      </c>
      <c r="F1679" s="29" t="s">
        <v>372</v>
      </c>
      <c r="G1679">
        <v>13</v>
      </c>
      <c r="H1679" t="s">
        <v>1051</v>
      </c>
      <c r="I1679" t="s">
        <v>98</v>
      </c>
      <c r="J1679" t="s">
        <v>1650</v>
      </c>
      <c r="K1679" t="s">
        <v>285</v>
      </c>
      <c r="L1679" t="s">
        <v>327</v>
      </c>
    </row>
    <row r="1680" spans="1:12">
      <c r="A1680" t="s">
        <v>318</v>
      </c>
      <c r="B1680" t="s">
        <v>1624</v>
      </c>
      <c r="C1680" t="s">
        <v>547</v>
      </c>
      <c r="D1680" s="28">
        <v>7613000062086</v>
      </c>
      <c r="E1680" s="29" t="s">
        <v>1045</v>
      </c>
      <c r="F1680" s="29" t="s">
        <v>372</v>
      </c>
      <c r="G1680">
        <v>15</v>
      </c>
      <c r="H1680" t="s">
        <v>323</v>
      </c>
      <c r="I1680" t="s">
        <v>98</v>
      </c>
      <c r="J1680" t="s">
        <v>1650</v>
      </c>
      <c r="K1680" t="s">
        <v>285</v>
      </c>
      <c r="L1680" t="s">
        <v>327</v>
      </c>
    </row>
    <row r="1681" spans="1:12">
      <c r="A1681" t="s">
        <v>318</v>
      </c>
      <c r="B1681" t="s">
        <v>1624</v>
      </c>
      <c r="C1681" t="s">
        <v>1658</v>
      </c>
      <c r="D1681" s="28">
        <v>7613000062090</v>
      </c>
      <c r="E1681" s="29" t="s">
        <v>441</v>
      </c>
      <c r="F1681" s="29" t="s">
        <v>372</v>
      </c>
      <c r="G1681">
        <v>25</v>
      </c>
      <c r="H1681" t="s">
        <v>1051</v>
      </c>
      <c r="I1681" t="s">
        <v>98</v>
      </c>
      <c r="J1681" t="s">
        <v>1650</v>
      </c>
      <c r="K1681" t="s">
        <v>285</v>
      </c>
      <c r="L1681" t="s">
        <v>327</v>
      </c>
    </row>
    <row r="1682" spans="1:12">
      <c r="A1682" t="s">
        <v>318</v>
      </c>
      <c r="B1682" t="s">
        <v>1624</v>
      </c>
      <c r="C1682" t="s">
        <v>900</v>
      </c>
      <c r="D1682" s="28">
        <v>7613000062092</v>
      </c>
      <c r="E1682" s="29" t="s">
        <v>441</v>
      </c>
      <c r="F1682" s="29" t="s">
        <v>372</v>
      </c>
      <c r="G1682">
        <v>26</v>
      </c>
      <c r="H1682" t="s">
        <v>1051</v>
      </c>
      <c r="I1682" t="s">
        <v>98</v>
      </c>
      <c r="J1682" t="s">
        <v>1650</v>
      </c>
      <c r="K1682" t="s">
        <v>285</v>
      </c>
      <c r="L1682" t="s">
        <v>327</v>
      </c>
    </row>
    <row r="1683" spans="1:12">
      <c r="A1683" t="s">
        <v>318</v>
      </c>
      <c r="B1683" t="s">
        <v>1624</v>
      </c>
      <c r="C1683" t="s">
        <v>1659</v>
      </c>
      <c r="D1683" s="28">
        <v>7613000123506</v>
      </c>
      <c r="E1683" s="29" t="s">
        <v>371</v>
      </c>
      <c r="F1683" s="29" t="s">
        <v>372</v>
      </c>
      <c r="G1683">
        <v>13</v>
      </c>
      <c r="H1683" t="s">
        <v>1051</v>
      </c>
      <c r="I1683" t="s">
        <v>98</v>
      </c>
      <c r="J1683" t="s">
        <v>1650</v>
      </c>
      <c r="K1683" t="s">
        <v>285</v>
      </c>
      <c r="L1683" t="s">
        <v>327</v>
      </c>
    </row>
    <row r="1684" spans="1:12">
      <c r="A1684" t="s">
        <v>318</v>
      </c>
      <c r="B1684" t="s">
        <v>1624</v>
      </c>
      <c r="C1684" t="s">
        <v>1660</v>
      </c>
      <c r="D1684" s="28">
        <v>7627500072146</v>
      </c>
      <c r="E1684" s="29" t="s">
        <v>371</v>
      </c>
      <c r="F1684" s="29" t="s">
        <v>372</v>
      </c>
      <c r="G1684">
        <v>11</v>
      </c>
      <c r="H1684" t="s">
        <v>1051</v>
      </c>
      <c r="I1684" t="s">
        <v>98</v>
      </c>
      <c r="J1684" t="s">
        <v>1644</v>
      </c>
      <c r="K1684" t="s">
        <v>285</v>
      </c>
      <c r="L1684" t="s">
        <v>327</v>
      </c>
    </row>
    <row r="1685" spans="1:12">
      <c r="A1685" t="s">
        <v>318</v>
      </c>
      <c r="B1685" t="s">
        <v>1624</v>
      </c>
      <c r="C1685" t="s">
        <v>1661</v>
      </c>
      <c r="D1685" s="28">
        <v>7627500072148</v>
      </c>
      <c r="E1685" s="29" t="s">
        <v>371</v>
      </c>
      <c r="F1685" s="29" t="s">
        <v>372</v>
      </c>
      <c r="G1685">
        <v>13</v>
      </c>
      <c r="H1685" t="s">
        <v>1051</v>
      </c>
      <c r="I1685" t="s">
        <v>98</v>
      </c>
      <c r="J1685" t="s">
        <v>1644</v>
      </c>
      <c r="K1685" t="s">
        <v>285</v>
      </c>
      <c r="L1685" t="s">
        <v>327</v>
      </c>
    </row>
    <row r="1686" spans="1:12">
      <c r="A1686" t="s">
        <v>318</v>
      </c>
      <c r="B1686" t="s">
        <v>1624</v>
      </c>
      <c r="C1686" t="s">
        <v>1662</v>
      </c>
      <c r="D1686" s="28">
        <v>7627500072152</v>
      </c>
      <c r="E1686" s="29" t="s">
        <v>371</v>
      </c>
      <c r="F1686" s="29" t="s">
        <v>372</v>
      </c>
      <c r="G1686">
        <v>13</v>
      </c>
      <c r="H1686" t="s">
        <v>1051</v>
      </c>
      <c r="I1686" t="s">
        <v>98</v>
      </c>
      <c r="J1686" t="s">
        <v>1644</v>
      </c>
      <c r="K1686" t="s">
        <v>285</v>
      </c>
      <c r="L1686" t="s">
        <v>327</v>
      </c>
    </row>
    <row r="1687" spans="1:12">
      <c r="A1687" t="s">
        <v>318</v>
      </c>
      <c r="B1687" t="s">
        <v>1624</v>
      </c>
      <c r="C1687" t="s">
        <v>1663</v>
      </c>
      <c r="D1687" s="28">
        <v>7627500072209</v>
      </c>
      <c r="E1687" s="29" t="s">
        <v>371</v>
      </c>
      <c r="F1687" s="29" t="s">
        <v>372</v>
      </c>
      <c r="G1687">
        <v>12</v>
      </c>
      <c r="H1687" t="s">
        <v>1051</v>
      </c>
      <c r="I1687" t="s">
        <v>98</v>
      </c>
      <c r="J1687" t="s">
        <v>1644</v>
      </c>
      <c r="K1687" t="s">
        <v>285</v>
      </c>
      <c r="L1687" t="s">
        <v>327</v>
      </c>
    </row>
    <row r="1688" spans="1:12">
      <c r="A1688" t="s">
        <v>318</v>
      </c>
      <c r="B1688" t="s">
        <v>1624</v>
      </c>
      <c r="C1688" t="s">
        <v>1664</v>
      </c>
      <c r="D1688" s="28">
        <v>7627500072232</v>
      </c>
      <c r="E1688" s="29" t="s">
        <v>371</v>
      </c>
      <c r="F1688" s="29" t="s">
        <v>372</v>
      </c>
      <c r="G1688">
        <v>13</v>
      </c>
      <c r="H1688" t="s">
        <v>1051</v>
      </c>
      <c r="I1688" t="s">
        <v>98</v>
      </c>
      <c r="J1688" t="s">
        <v>1644</v>
      </c>
      <c r="K1688" t="s">
        <v>285</v>
      </c>
      <c r="L1688" t="s">
        <v>327</v>
      </c>
    </row>
    <row r="1689" spans="1:12">
      <c r="A1689" t="s">
        <v>318</v>
      </c>
      <c r="B1689" t="s">
        <v>1624</v>
      </c>
      <c r="C1689" t="s">
        <v>442</v>
      </c>
      <c r="D1689" s="28">
        <v>7627500117646</v>
      </c>
      <c r="E1689" s="29" t="s">
        <v>371</v>
      </c>
      <c r="F1689" s="29" t="s">
        <v>372</v>
      </c>
      <c r="G1689">
        <v>11</v>
      </c>
      <c r="H1689" t="s">
        <v>1051</v>
      </c>
      <c r="I1689" t="s">
        <v>98</v>
      </c>
      <c r="J1689" t="s">
        <v>1644</v>
      </c>
      <c r="K1689" t="s">
        <v>285</v>
      </c>
      <c r="L1689" t="s">
        <v>327</v>
      </c>
    </row>
    <row r="1690" spans="1:12">
      <c r="A1690" t="s">
        <v>318</v>
      </c>
      <c r="B1690" t="s">
        <v>1624</v>
      </c>
      <c r="C1690" t="s">
        <v>1665</v>
      </c>
      <c r="D1690" s="28">
        <v>7627500064515</v>
      </c>
      <c r="E1690" s="29" t="s">
        <v>371</v>
      </c>
      <c r="F1690" s="29" t="s">
        <v>372</v>
      </c>
      <c r="G1690">
        <v>13</v>
      </c>
      <c r="H1690" t="s">
        <v>1051</v>
      </c>
      <c r="I1690" t="s">
        <v>98</v>
      </c>
      <c r="J1690" t="s">
        <v>1644</v>
      </c>
      <c r="K1690" t="s">
        <v>285</v>
      </c>
      <c r="L1690" t="s">
        <v>327</v>
      </c>
    </row>
    <row r="1691" spans="1:12">
      <c r="A1691" t="s">
        <v>318</v>
      </c>
      <c r="B1691" t="s">
        <v>1624</v>
      </c>
      <c r="C1691" t="s">
        <v>1666</v>
      </c>
      <c r="D1691" s="28">
        <v>7627500064544</v>
      </c>
      <c r="E1691" s="29" t="s">
        <v>371</v>
      </c>
      <c r="F1691" s="29" t="s">
        <v>372</v>
      </c>
      <c r="G1691">
        <v>13</v>
      </c>
      <c r="H1691" t="s">
        <v>1051</v>
      </c>
      <c r="I1691" t="s">
        <v>98</v>
      </c>
      <c r="J1691" t="s">
        <v>1644</v>
      </c>
      <c r="K1691" t="s">
        <v>285</v>
      </c>
      <c r="L1691" t="s">
        <v>327</v>
      </c>
    </row>
    <row r="1692" spans="1:12">
      <c r="A1692" t="s">
        <v>318</v>
      </c>
      <c r="B1692" t="s">
        <v>1624</v>
      </c>
      <c r="C1692" t="s">
        <v>1667</v>
      </c>
      <c r="D1692" s="28">
        <v>7627500064771</v>
      </c>
      <c r="E1692" s="29" t="s">
        <v>371</v>
      </c>
      <c r="F1692" s="29" t="s">
        <v>372</v>
      </c>
      <c r="G1692">
        <v>13</v>
      </c>
      <c r="H1692" t="s">
        <v>1051</v>
      </c>
      <c r="I1692" t="s">
        <v>98</v>
      </c>
      <c r="J1692" t="s">
        <v>1644</v>
      </c>
      <c r="K1692" t="s">
        <v>285</v>
      </c>
      <c r="L1692" t="s">
        <v>327</v>
      </c>
    </row>
    <row r="1693" spans="1:12">
      <c r="A1693" t="s">
        <v>318</v>
      </c>
      <c r="B1693" t="s">
        <v>1624</v>
      </c>
      <c r="C1693" t="s">
        <v>1668</v>
      </c>
      <c r="D1693" s="28">
        <v>7627500064800</v>
      </c>
      <c r="E1693" s="29" t="s">
        <v>371</v>
      </c>
      <c r="F1693" s="29" t="s">
        <v>372</v>
      </c>
      <c r="G1693">
        <v>11</v>
      </c>
      <c r="H1693" t="s">
        <v>1051</v>
      </c>
      <c r="I1693" t="s">
        <v>98</v>
      </c>
      <c r="J1693" t="s">
        <v>1644</v>
      </c>
      <c r="K1693" t="s">
        <v>285</v>
      </c>
      <c r="L1693" t="s">
        <v>327</v>
      </c>
    </row>
    <row r="1694" spans="1:12">
      <c r="A1694" t="s">
        <v>318</v>
      </c>
      <c r="B1694" t="s">
        <v>1624</v>
      </c>
      <c r="C1694" t="s">
        <v>1669</v>
      </c>
      <c r="D1694" s="28">
        <v>7627500064856</v>
      </c>
      <c r="E1694" s="29" t="s">
        <v>1045</v>
      </c>
      <c r="F1694" s="29" t="s">
        <v>372</v>
      </c>
      <c r="G1694">
        <v>15</v>
      </c>
      <c r="H1694" t="s">
        <v>1051</v>
      </c>
      <c r="I1694" t="s">
        <v>98</v>
      </c>
      <c r="J1694" t="s">
        <v>1644</v>
      </c>
      <c r="K1694" t="s">
        <v>285</v>
      </c>
      <c r="L1694" t="s">
        <v>327</v>
      </c>
    </row>
    <row r="1695" spans="1:12">
      <c r="A1695" t="s">
        <v>318</v>
      </c>
      <c r="B1695" t="s">
        <v>1624</v>
      </c>
      <c r="C1695" t="s">
        <v>1670</v>
      </c>
      <c r="D1695" s="28">
        <v>7627500064864</v>
      </c>
      <c r="E1695" s="29" t="s">
        <v>1045</v>
      </c>
      <c r="F1695" s="29" t="s">
        <v>372</v>
      </c>
      <c r="G1695">
        <v>15</v>
      </c>
      <c r="H1695" t="s">
        <v>1051</v>
      </c>
      <c r="I1695" t="s">
        <v>98</v>
      </c>
      <c r="J1695" t="s">
        <v>1644</v>
      </c>
      <c r="K1695" t="s">
        <v>285</v>
      </c>
      <c r="L1695" t="s">
        <v>327</v>
      </c>
    </row>
    <row r="1696" spans="1:12">
      <c r="A1696" t="s">
        <v>318</v>
      </c>
      <c r="B1696" t="s">
        <v>1624</v>
      </c>
      <c r="C1696" t="s">
        <v>1671</v>
      </c>
      <c r="D1696" s="28">
        <v>7627500064866</v>
      </c>
      <c r="E1696" s="29" t="s">
        <v>371</v>
      </c>
      <c r="F1696" s="29" t="s">
        <v>372</v>
      </c>
      <c r="G1696">
        <v>12</v>
      </c>
      <c r="H1696" t="s">
        <v>1051</v>
      </c>
      <c r="I1696" t="s">
        <v>98</v>
      </c>
      <c r="J1696" t="s">
        <v>1644</v>
      </c>
      <c r="K1696" t="s">
        <v>285</v>
      </c>
      <c r="L1696" t="s">
        <v>327</v>
      </c>
    </row>
    <row r="1697" spans="1:12">
      <c r="A1697" t="s">
        <v>318</v>
      </c>
      <c r="B1697" t="s">
        <v>1624</v>
      </c>
      <c r="C1697" t="s">
        <v>1672</v>
      </c>
      <c r="D1697" s="28">
        <v>7627500064870</v>
      </c>
      <c r="E1697" s="29" t="s">
        <v>371</v>
      </c>
      <c r="F1697" s="29" t="s">
        <v>372</v>
      </c>
      <c r="G1697">
        <v>13</v>
      </c>
      <c r="H1697" t="s">
        <v>1051</v>
      </c>
      <c r="I1697" t="s">
        <v>98</v>
      </c>
      <c r="J1697" t="s">
        <v>1644</v>
      </c>
      <c r="K1697" t="s">
        <v>285</v>
      </c>
      <c r="L1697" t="s">
        <v>327</v>
      </c>
    </row>
    <row r="1698" spans="1:12">
      <c r="A1698" t="s">
        <v>318</v>
      </c>
      <c r="B1698" t="s">
        <v>1624</v>
      </c>
      <c r="C1698" t="s">
        <v>1083</v>
      </c>
      <c r="D1698" s="28">
        <v>7627500065052</v>
      </c>
      <c r="E1698" s="29" t="s">
        <v>371</v>
      </c>
      <c r="F1698" s="29" t="s">
        <v>372</v>
      </c>
      <c r="G1698">
        <v>10</v>
      </c>
      <c r="H1698" t="s">
        <v>1051</v>
      </c>
      <c r="I1698" t="s">
        <v>98</v>
      </c>
      <c r="J1698" t="s">
        <v>1644</v>
      </c>
      <c r="K1698" t="s">
        <v>285</v>
      </c>
      <c r="L1698" t="s">
        <v>327</v>
      </c>
    </row>
    <row r="1699" spans="1:12">
      <c r="A1699" t="s">
        <v>318</v>
      </c>
      <c r="B1699" t="s">
        <v>1624</v>
      </c>
      <c r="C1699" t="s">
        <v>1673</v>
      </c>
      <c r="D1699" s="28">
        <v>7627500065350</v>
      </c>
      <c r="E1699" s="29" t="s">
        <v>371</v>
      </c>
      <c r="F1699" s="29" t="s">
        <v>372</v>
      </c>
      <c r="G1699">
        <v>13</v>
      </c>
      <c r="H1699" t="s">
        <v>1051</v>
      </c>
      <c r="I1699" t="s">
        <v>98</v>
      </c>
      <c r="J1699" t="s">
        <v>1644</v>
      </c>
      <c r="K1699" t="s">
        <v>285</v>
      </c>
      <c r="L1699" t="s">
        <v>327</v>
      </c>
    </row>
    <row r="1700" spans="1:12">
      <c r="A1700" t="s">
        <v>318</v>
      </c>
      <c r="B1700" t="s">
        <v>1624</v>
      </c>
      <c r="C1700" t="s">
        <v>1674</v>
      </c>
      <c r="D1700" s="28">
        <v>7627500065368</v>
      </c>
      <c r="E1700" s="29" t="s">
        <v>371</v>
      </c>
      <c r="F1700" s="29" t="s">
        <v>372</v>
      </c>
      <c r="G1700">
        <v>13</v>
      </c>
      <c r="H1700" t="s">
        <v>1051</v>
      </c>
      <c r="I1700" t="s">
        <v>98</v>
      </c>
      <c r="J1700" t="s">
        <v>1644</v>
      </c>
      <c r="K1700" t="s">
        <v>285</v>
      </c>
      <c r="L1700" t="s">
        <v>327</v>
      </c>
    </row>
    <row r="1701" spans="1:12">
      <c r="A1701" t="s">
        <v>318</v>
      </c>
      <c r="B1701" t="s">
        <v>1624</v>
      </c>
      <c r="C1701" t="s">
        <v>1675</v>
      </c>
      <c r="D1701" s="28">
        <v>7627500065395</v>
      </c>
      <c r="E1701" s="29" t="s">
        <v>371</v>
      </c>
      <c r="F1701" s="29" t="s">
        <v>372</v>
      </c>
      <c r="G1701">
        <v>12</v>
      </c>
      <c r="H1701" t="s">
        <v>1051</v>
      </c>
      <c r="I1701" t="s">
        <v>98</v>
      </c>
      <c r="J1701" t="s">
        <v>1644</v>
      </c>
      <c r="K1701" t="s">
        <v>285</v>
      </c>
      <c r="L1701" t="s">
        <v>327</v>
      </c>
    </row>
    <row r="1702" spans="1:12">
      <c r="A1702" t="s">
        <v>318</v>
      </c>
      <c r="B1702" t="s">
        <v>1624</v>
      </c>
      <c r="C1702" t="s">
        <v>1676</v>
      </c>
      <c r="D1702" s="28">
        <v>7627500065404</v>
      </c>
      <c r="E1702" s="29" t="s">
        <v>371</v>
      </c>
      <c r="F1702" s="29" t="s">
        <v>372</v>
      </c>
      <c r="G1702">
        <v>13</v>
      </c>
      <c r="H1702" t="s">
        <v>1051</v>
      </c>
      <c r="I1702" t="s">
        <v>98</v>
      </c>
      <c r="J1702" t="s">
        <v>1644</v>
      </c>
      <c r="K1702" t="s">
        <v>285</v>
      </c>
      <c r="L1702" t="s">
        <v>327</v>
      </c>
    </row>
    <row r="1703" spans="1:12">
      <c r="A1703" t="s">
        <v>318</v>
      </c>
      <c r="B1703" t="s">
        <v>1624</v>
      </c>
      <c r="C1703" t="s">
        <v>1677</v>
      </c>
      <c r="D1703" s="28">
        <v>7627500065412</v>
      </c>
      <c r="E1703" s="29" t="s">
        <v>371</v>
      </c>
      <c r="F1703" s="29" t="s">
        <v>372</v>
      </c>
      <c r="G1703">
        <v>11</v>
      </c>
      <c r="H1703" t="s">
        <v>1051</v>
      </c>
      <c r="I1703" t="s">
        <v>98</v>
      </c>
      <c r="J1703" t="s">
        <v>1644</v>
      </c>
      <c r="K1703" t="s">
        <v>285</v>
      </c>
      <c r="L1703" t="s">
        <v>327</v>
      </c>
    </row>
    <row r="1704" spans="1:12">
      <c r="A1704" t="s">
        <v>318</v>
      </c>
      <c r="B1704" t="s">
        <v>1624</v>
      </c>
      <c r="C1704" t="s">
        <v>1678</v>
      </c>
      <c r="D1704" s="28">
        <v>7627500065426</v>
      </c>
      <c r="E1704" s="29" t="s">
        <v>371</v>
      </c>
      <c r="F1704" s="29" t="s">
        <v>372</v>
      </c>
      <c r="G1704">
        <v>13</v>
      </c>
      <c r="H1704" t="s">
        <v>1051</v>
      </c>
      <c r="I1704" t="s">
        <v>98</v>
      </c>
      <c r="J1704" t="s">
        <v>1644</v>
      </c>
      <c r="K1704" t="s">
        <v>285</v>
      </c>
      <c r="L1704" t="s">
        <v>327</v>
      </c>
    </row>
    <row r="1705" spans="1:12">
      <c r="A1705" t="s">
        <v>318</v>
      </c>
      <c r="B1705" t="s">
        <v>1624</v>
      </c>
      <c r="C1705" t="s">
        <v>1164</v>
      </c>
      <c r="D1705" s="28">
        <v>7627500065434</v>
      </c>
      <c r="E1705" s="29" t="s">
        <v>371</v>
      </c>
      <c r="F1705" s="29" t="s">
        <v>372</v>
      </c>
      <c r="G1705">
        <v>11</v>
      </c>
      <c r="H1705" t="s">
        <v>1051</v>
      </c>
      <c r="I1705" t="s">
        <v>98</v>
      </c>
      <c r="J1705" t="s">
        <v>1644</v>
      </c>
      <c r="K1705" t="s">
        <v>285</v>
      </c>
      <c r="L1705" t="s">
        <v>327</v>
      </c>
    </row>
    <row r="1706" spans="1:12">
      <c r="A1706" t="s">
        <v>318</v>
      </c>
      <c r="B1706" t="s">
        <v>1624</v>
      </c>
      <c r="C1706" t="s">
        <v>900</v>
      </c>
      <c r="D1706" s="28">
        <v>7627500104196</v>
      </c>
      <c r="E1706" s="29" t="s">
        <v>371</v>
      </c>
      <c r="F1706" s="29" t="s">
        <v>372</v>
      </c>
      <c r="G1706">
        <v>13</v>
      </c>
      <c r="H1706" t="s">
        <v>1051</v>
      </c>
      <c r="I1706" t="s">
        <v>98</v>
      </c>
      <c r="J1706" t="s">
        <v>1644</v>
      </c>
      <c r="K1706" t="s">
        <v>285</v>
      </c>
      <c r="L1706" t="s">
        <v>327</v>
      </c>
    </row>
    <row r="1707" spans="1:12">
      <c r="A1707" t="s">
        <v>318</v>
      </c>
      <c r="B1707" t="s">
        <v>1624</v>
      </c>
      <c r="C1707" t="s">
        <v>1679</v>
      </c>
      <c r="D1707" s="28">
        <v>7613000025237</v>
      </c>
      <c r="E1707" s="29" t="s">
        <v>371</v>
      </c>
      <c r="F1707" s="29" t="s">
        <v>372</v>
      </c>
      <c r="G1707">
        <v>13</v>
      </c>
      <c r="H1707" t="s">
        <v>1051</v>
      </c>
      <c r="I1707" t="s">
        <v>98</v>
      </c>
      <c r="J1707" t="s">
        <v>1650</v>
      </c>
      <c r="K1707" t="s">
        <v>1226</v>
      </c>
      <c r="L1707" t="s">
        <v>327</v>
      </c>
    </row>
    <row r="1708" spans="1:12">
      <c r="A1708" t="s">
        <v>318</v>
      </c>
      <c r="B1708" t="s">
        <v>1624</v>
      </c>
      <c r="C1708" t="s">
        <v>1680</v>
      </c>
      <c r="D1708" s="28">
        <v>7613000025256</v>
      </c>
      <c r="E1708" s="29" t="s">
        <v>371</v>
      </c>
      <c r="F1708" s="29" t="s">
        <v>372</v>
      </c>
      <c r="G1708">
        <v>13</v>
      </c>
      <c r="H1708" t="s">
        <v>1051</v>
      </c>
      <c r="I1708" t="s">
        <v>98</v>
      </c>
      <c r="J1708" t="s">
        <v>1650</v>
      </c>
      <c r="K1708" t="s">
        <v>1226</v>
      </c>
      <c r="L1708" t="s">
        <v>1090</v>
      </c>
    </row>
    <row r="1709" spans="1:12">
      <c r="A1709" t="s">
        <v>318</v>
      </c>
      <c r="B1709" t="s">
        <v>1624</v>
      </c>
      <c r="C1709" t="s">
        <v>1681</v>
      </c>
      <c r="D1709" s="28">
        <v>7613000025267</v>
      </c>
      <c r="E1709" s="29" t="s">
        <v>371</v>
      </c>
      <c r="F1709" s="29" t="s">
        <v>372</v>
      </c>
      <c r="G1709">
        <v>13</v>
      </c>
      <c r="H1709" t="s">
        <v>1051</v>
      </c>
      <c r="I1709" t="s">
        <v>98</v>
      </c>
      <c r="J1709" t="s">
        <v>1650</v>
      </c>
      <c r="K1709" t="s">
        <v>1226</v>
      </c>
      <c r="L1709" t="s">
        <v>1090</v>
      </c>
    </row>
    <row r="1710" spans="1:12">
      <c r="A1710" t="s">
        <v>318</v>
      </c>
      <c r="B1710" t="s">
        <v>1624</v>
      </c>
      <c r="C1710" t="s">
        <v>1682</v>
      </c>
      <c r="D1710" s="28">
        <v>7613000025278</v>
      </c>
      <c r="E1710" s="29" t="s">
        <v>371</v>
      </c>
      <c r="F1710" s="29" t="s">
        <v>372</v>
      </c>
      <c r="G1710">
        <v>12</v>
      </c>
      <c r="H1710" t="s">
        <v>1051</v>
      </c>
      <c r="I1710" t="s">
        <v>98</v>
      </c>
      <c r="J1710" t="s">
        <v>1650</v>
      </c>
      <c r="K1710" t="s">
        <v>1226</v>
      </c>
      <c r="L1710" t="s">
        <v>1090</v>
      </c>
    </row>
    <row r="1711" spans="1:12">
      <c r="A1711" t="s">
        <v>318</v>
      </c>
      <c r="B1711" t="s">
        <v>1624</v>
      </c>
      <c r="C1711" t="s">
        <v>1683</v>
      </c>
      <c r="D1711" s="28">
        <v>7613000025291</v>
      </c>
      <c r="E1711" s="29" t="s">
        <v>371</v>
      </c>
      <c r="F1711" s="29" t="s">
        <v>372</v>
      </c>
      <c r="G1711">
        <v>13</v>
      </c>
      <c r="H1711" t="s">
        <v>1051</v>
      </c>
      <c r="I1711" t="s">
        <v>98</v>
      </c>
      <c r="J1711" t="s">
        <v>1650</v>
      </c>
      <c r="K1711" t="s">
        <v>1226</v>
      </c>
      <c r="L1711" t="s">
        <v>1090</v>
      </c>
    </row>
    <row r="1712" spans="1:12">
      <c r="A1712" t="s">
        <v>318</v>
      </c>
      <c r="B1712" t="s">
        <v>1624</v>
      </c>
      <c r="C1712" t="s">
        <v>1684</v>
      </c>
      <c r="D1712" s="28">
        <v>7613000025299</v>
      </c>
      <c r="E1712" s="29" t="s">
        <v>371</v>
      </c>
      <c r="F1712" s="29" t="s">
        <v>372</v>
      </c>
      <c r="G1712">
        <v>13</v>
      </c>
      <c r="H1712" t="s">
        <v>1051</v>
      </c>
      <c r="I1712" t="s">
        <v>98</v>
      </c>
      <c r="J1712" t="s">
        <v>1650</v>
      </c>
      <c r="K1712" t="s">
        <v>1226</v>
      </c>
      <c r="L1712" t="s">
        <v>327</v>
      </c>
    </row>
    <row r="1713" spans="1:12">
      <c r="A1713" t="s">
        <v>318</v>
      </c>
      <c r="B1713" t="s">
        <v>1624</v>
      </c>
      <c r="C1713" t="s">
        <v>511</v>
      </c>
      <c r="D1713" s="28">
        <v>7613000025315</v>
      </c>
      <c r="E1713" s="29" t="s">
        <v>371</v>
      </c>
      <c r="F1713" s="29" t="s">
        <v>372</v>
      </c>
      <c r="G1713">
        <v>13</v>
      </c>
      <c r="H1713" t="s">
        <v>1051</v>
      </c>
      <c r="I1713" t="s">
        <v>98</v>
      </c>
      <c r="J1713" t="s">
        <v>1650</v>
      </c>
      <c r="K1713" t="s">
        <v>1226</v>
      </c>
      <c r="L1713" t="s">
        <v>327</v>
      </c>
    </row>
    <row r="1714" spans="1:12">
      <c r="A1714" t="s">
        <v>318</v>
      </c>
      <c r="B1714" t="s">
        <v>1624</v>
      </c>
      <c r="C1714" t="s">
        <v>839</v>
      </c>
      <c r="D1714" s="28">
        <v>7613000025330</v>
      </c>
      <c r="E1714" s="29" t="s">
        <v>371</v>
      </c>
      <c r="F1714" s="29" t="s">
        <v>372</v>
      </c>
      <c r="G1714">
        <v>11</v>
      </c>
      <c r="H1714" t="s">
        <v>1051</v>
      </c>
      <c r="I1714" t="s">
        <v>98</v>
      </c>
      <c r="J1714" t="s">
        <v>1650</v>
      </c>
      <c r="K1714" t="s">
        <v>337</v>
      </c>
      <c r="L1714" t="s">
        <v>327</v>
      </c>
    </row>
    <row r="1715" spans="1:12">
      <c r="A1715" t="s">
        <v>318</v>
      </c>
      <c r="B1715" t="s">
        <v>1624</v>
      </c>
      <c r="C1715" t="s">
        <v>1685</v>
      </c>
      <c r="D1715" s="28">
        <v>7613000025340</v>
      </c>
      <c r="E1715" s="29" t="s">
        <v>371</v>
      </c>
      <c r="F1715" s="29" t="s">
        <v>372</v>
      </c>
      <c r="G1715">
        <v>13</v>
      </c>
      <c r="H1715" t="s">
        <v>1051</v>
      </c>
      <c r="I1715" t="s">
        <v>98</v>
      </c>
      <c r="J1715" t="s">
        <v>1650</v>
      </c>
      <c r="K1715" t="s">
        <v>285</v>
      </c>
      <c r="L1715" t="s">
        <v>1090</v>
      </c>
    </row>
    <row r="1716" spans="1:12">
      <c r="A1716" t="s">
        <v>318</v>
      </c>
      <c r="B1716" t="s">
        <v>1624</v>
      </c>
      <c r="C1716" t="s">
        <v>1686</v>
      </c>
      <c r="D1716" s="28">
        <v>7613000025351</v>
      </c>
      <c r="E1716" s="29" t="s">
        <v>371</v>
      </c>
      <c r="F1716" s="29" t="s">
        <v>372</v>
      </c>
      <c r="G1716">
        <v>13</v>
      </c>
      <c r="H1716" t="s">
        <v>1051</v>
      </c>
      <c r="I1716" t="s">
        <v>98</v>
      </c>
      <c r="J1716" t="s">
        <v>1650</v>
      </c>
      <c r="K1716" t="s">
        <v>1226</v>
      </c>
      <c r="L1716" t="s">
        <v>327</v>
      </c>
    </row>
    <row r="1717" spans="1:12">
      <c r="A1717" t="s">
        <v>318</v>
      </c>
      <c r="B1717" t="s">
        <v>1624</v>
      </c>
      <c r="C1717" t="s">
        <v>1687</v>
      </c>
      <c r="D1717" s="28">
        <v>7613000025370</v>
      </c>
      <c r="E1717" s="29" t="s">
        <v>441</v>
      </c>
      <c r="F1717" s="29" t="s">
        <v>372</v>
      </c>
      <c r="G1717">
        <v>39</v>
      </c>
      <c r="H1717" t="s">
        <v>1051</v>
      </c>
      <c r="I1717" t="s">
        <v>98</v>
      </c>
      <c r="J1717" t="s">
        <v>1650</v>
      </c>
      <c r="K1717" t="s">
        <v>394</v>
      </c>
      <c r="L1717" t="s">
        <v>1090</v>
      </c>
    </row>
    <row r="1718" spans="1:12">
      <c r="A1718" t="s">
        <v>318</v>
      </c>
      <c r="B1718" t="s">
        <v>1624</v>
      </c>
      <c r="C1718" t="s">
        <v>1688</v>
      </c>
      <c r="D1718" s="28">
        <v>7613000025411</v>
      </c>
      <c r="E1718" s="29" t="s">
        <v>1045</v>
      </c>
      <c r="F1718" s="29" t="s">
        <v>372</v>
      </c>
      <c r="G1718">
        <v>15</v>
      </c>
      <c r="H1718" t="s">
        <v>1051</v>
      </c>
      <c r="I1718" t="s">
        <v>98</v>
      </c>
      <c r="J1718" t="s">
        <v>1650</v>
      </c>
      <c r="K1718" t="s">
        <v>1226</v>
      </c>
      <c r="L1718" t="s">
        <v>327</v>
      </c>
    </row>
    <row r="1719" spans="1:12">
      <c r="A1719" t="s">
        <v>318</v>
      </c>
      <c r="B1719" t="s">
        <v>1624</v>
      </c>
      <c r="C1719" t="s">
        <v>1689</v>
      </c>
      <c r="D1719" s="28">
        <v>7613000025418</v>
      </c>
      <c r="E1719" s="29" t="s">
        <v>1045</v>
      </c>
      <c r="F1719" s="29" t="s">
        <v>372</v>
      </c>
      <c r="G1719">
        <v>15</v>
      </c>
      <c r="H1719" t="s">
        <v>1051</v>
      </c>
      <c r="I1719" t="s">
        <v>98</v>
      </c>
      <c r="J1719" t="s">
        <v>1650</v>
      </c>
      <c r="K1719" t="s">
        <v>285</v>
      </c>
      <c r="L1719" t="s">
        <v>327</v>
      </c>
    </row>
    <row r="1720" spans="1:12">
      <c r="A1720" t="s">
        <v>318</v>
      </c>
      <c r="B1720" t="s">
        <v>1624</v>
      </c>
      <c r="C1720" t="s">
        <v>1690</v>
      </c>
      <c r="D1720" s="28">
        <v>7613000050325</v>
      </c>
      <c r="E1720" s="29" t="s">
        <v>371</v>
      </c>
      <c r="F1720" s="29" t="s">
        <v>372</v>
      </c>
      <c r="G1720">
        <v>11</v>
      </c>
      <c r="H1720" t="s">
        <v>1051</v>
      </c>
      <c r="I1720" t="s">
        <v>98</v>
      </c>
      <c r="J1720" t="s">
        <v>1650</v>
      </c>
      <c r="K1720" t="s">
        <v>1226</v>
      </c>
      <c r="L1720" t="s">
        <v>1090</v>
      </c>
    </row>
    <row r="1721" spans="1:12">
      <c r="A1721" t="s">
        <v>318</v>
      </c>
      <c r="B1721" t="s">
        <v>1624</v>
      </c>
      <c r="C1721" t="s">
        <v>1230</v>
      </c>
      <c r="D1721" s="28">
        <v>7613000050332</v>
      </c>
      <c r="E1721" s="29" t="s">
        <v>371</v>
      </c>
      <c r="F1721" s="29" t="s">
        <v>372</v>
      </c>
      <c r="G1721">
        <v>13</v>
      </c>
      <c r="H1721" t="s">
        <v>1051</v>
      </c>
      <c r="I1721" t="s">
        <v>98</v>
      </c>
      <c r="J1721" t="s">
        <v>1650</v>
      </c>
      <c r="K1721" t="s">
        <v>1226</v>
      </c>
      <c r="L1721" t="s">
        <v>1090</v>
      </c>
    </row>
    <row r="1722" spans="1:12">
      <c r="A1722" t="s">
        <v>318</v>
      </c>
      <c r="B1722" t="s">
        <v>1624</v>
      </c>
      <c r="C1722" t="s">
        <v>351</v>
      </c>
      <c r="D1722" s="28">
        <v>7613000050337</v>
      </c>
      <c r="E1722" s="29" t="s">
        <v>371</v>
      </c>
      <c r="F1722" s="29" t="s">
        <v>372</v>
      </c>
      <c r="G1722">
        <v>13</v>
      </c>
      <c r="H1722" t="s">
        <v>1051</v>
      </c>
      <c r="I1722" t="s">
        <v>98</v>
      </c>
      <c r="J1722" t="s">
        <v>1650</v>
      </c>
      <c r="K1722" t="s">
        <v>1226</v>
      </c>
      <c r="L1722" t="s">
        <v>1090</v>
      </c>
    </row>
    <row r="1723" spans="1:12">
      <c r="A1723" t="s">
        <v>318</v>
      </c>
      <c r="B1723" t="s">
        <v>1624</v>
      </c>
      <c r="C1723" t="s">
        <v>486</v>
      </c>
      <c r="D1723" s="28">
        <v>7613000050349</v>
      </c>
      <c r="E1723" s="29" t="s">
        <v>371</v>
      </c>
      <c r="F1723" s="29" t="s">
        <v>372</v>
      </c>
      <c r="G1723">
        <v>12</v>
      </c>
      <c r="H1723" t="s">
        <v>1051</v>
      </c>
      <c r="I1723" t="s">
        <v>98</v>
      </c>
      <c r="J1723" t="s">
        <v>1650</v>
      </c>
      <c r="K1723" t="s">
        <v>1226</v>
      </c>
      <c r="L1723" t="s">
        <v>327</v>
      </c>
    </row>
    <row r="1724" spans="1:12">
      <c r="A1724" t="s">
        <v>318</v>
      </c>
      <c r="B1724" t="s">
        <v>1624</v>
      </c>
      <c r="C1724" t="s">
        <v>1691</v>
      </c>
      <c r="D1724" s="28">
        <v>7613000050361</v>
      </c>
      <c r="E1724" s="29" t="s">
        <v>371</v>
      </c>
      <c r="F1724" s="29" t="s">
        <v>372</v>
      </c>
      <c r="G1724">
        <v>13</v>
      </c>
      <c r="H1724" t="s">
        <v>1051</v>
      </c>
      <c r="I1724" t="s">
        <v>98</v>
      </c>
      <c r="J1724" t="s">
        <v>1650</v>
      </c>
      <c r="K1724" t="s">
        <v>1226</v>
      </c>
      <c r="L1724" t="s">
        <v>327</v>
      </c>
    </row>
    <row r="1725" spans="1:12">
      <c r="A1725" t="s">
        <v>318</v>
      </c>
      <c r="B1725" t="s">
        <v>1624</v>
      </c>
      <c r="C1725" t="s">
        <v>348</v>
      </c>
      <c r="D1725" s="28">
        <v>7613000050376</v>
      </c>
      <c r="E1725" s="29" t="s">
        <v>441</v>
      </c>
      <c r="F1725" s="29" t="s">
        <v>372</v>
      </c>
      <c r="G1725">
        <v>65</v>
      </c>
      <c r="H1725" t="s">
        <v>1051</v>
      </c>
      <c r="I1725" t="s">
        <v>98</v>
      </c>
      <c r="J1725" t="s">
        <v>1650</v>
      </c>
      <c r="K1725" t="s">
        <v>285</v>
      </c>
      <c r="L1725" t="s">
        <v>1090</v>
      </c>
    </row>
    <row r="1726" spans="1:12">
      <c r="A1726" t="s">
        <v>318</v>
      </c>
      <c r="B1726" t="s">
        <v>1624</v>
      </c>
      <c r="C1726" t="s">
        <v>536</v>
      </c>
      <c r="D1726" s="28">
        <v>7613000050390</v>
      </c>
      <c r="E1726" s="29" t="s">
        <v>371</v>
      </c>
      <c r="F1726" s="29" t="s">
        <v>372</v>
      </c>
      <c r="G1726">
        <v>13</v>
      </c>
      <c r="H1726" t="s">
        <v>1051</v>
      </c>
      <c r="I1726" t="s">
        <v>98</v>
      </c>
      <c r="J1726" t="s">
        <v>1650</v>
      </c>
      <c r="K1726" t="s">
        <v>285</v>
      </c>
      <c r="L1726" t="s">
        <v>1090</v>
      </c>
    </row>
    <row r="1727" spans="1:12">
      <c r="A1727" t="s">
        <v>318</v>
      </c>
      <c r="B1727" t="s">
        <v>1624</v>
      </c>
      <c r="C1727" t="s">
        <v>1692</v>
      </c>
      <c r="D1727" s="28">
        <v>7613000050412</v>
      </c>
      <c r="E1727" s="29" t="s">
        <v>371</v>
      </c>
      <c r="F1727" s="29" t="s">
        <v>372</v>
      </c>
      <c r="G1727">
        <v>13</v>
      </c>
      <c r="H1727" t="s">
        <v>1051</v>
      </c>
      <c r="I1727" t="s">
        <v>98</v>
      </c>
      <c r="J1727" t="s">
        <v>1650</v>
      </c>
      <c r="K1727" t="s">
        <v>285</v>
      </c>
      <c r="L1727" t="s">
        <v>1090</v>
      </c>
    </row>
    <row r="1728" spans="1:12">
      <c r="A1728" t="s">
        <v>318</v>
      </c>
      <c r="B1728" t="s">
        <v>1624</v>
      </c>
      <c r="C1728" t="s">
        <v>900</v>
      </c>
      <c r="D1728" s="28">
        <v>7613000050830</v>
      </c>
      <c r="E1728" s="29" t="s">
        <v>371</v>
      </c>
      <c r="F1728" s="29" t="s">
        <v>372</v>
      </c>
      <c r="G1728">
        <v>13</v>
      </c>
      <c r="H1728" t="s">
        <v>1051</v>
      </c>
      <c r="I1728" t="s">
        <v>98</v>
      </c>
      <c r="J1728" t="s">
        <v>1650</v>
      </c>
      <c r="K1728" t="s">
        <v>285</v>
      </c>
      <c r="L1728" t="s">
        <v>327</v>
      </c>
    </row>
    <row r="1729" spans="1:12">
      <c r="A1729" t="s">
        <v>318</v>
      </c>
      <c r="B1729" t="s">
        <v>1624</v>
      </c>
      <c r="C1729" t="s">
        <v>1230</v>
      </c>
      <c r="D1729" s="28">
        <v>7613000123497</v>
      </c>
      <c r="E1729" s="29" t="s">
        <v>441</v>
      </c>
      <c r="F1729" s="29" t="s">
        <v>372</v>
      </c>
      <c r="G1729">
        <v>39</v>
      </c>
      <c r="H1729" t="s">
        <v>1051</v>
      </c>
      <c r="I1729" t="s">
        <v>98</v>
      </c>
      <c r="J1729" t="s">
        <v>1650</v>
      </c>
      <c r="K1729" t="s">
        <v>1226</v>
      </c>
      <c r="L1729" t="s">
        <v>1090</v>
      </c>
    </row>
    <row r="1730" spans="1:12">
      <c r="A1730" t="s">
        <v>318</v>
      </c>
      <c r="B1730" t="s">
        <v>1624</v>
      </c>
      <c r="C1730" t="s">
        <v>777</v>
      </c>
      <c r="D1730" s="28">
        <v>7624800129758</v>
      </c>
      <c r="E1730" s="29" t="s">
        <v>393</v>
      </c>
      <c r="F1730" s="29" t="s">
        <v>372</v>
      </c>
      <c r="G1730">
        <v>33</v>
      </c>
      <c r="H1730" t="s">
        <v>323</v>
      </c>
      <c r="I1730" t="s">
        <v>98</v>
      </c>
      <c r="J1730" t="s">
        <v>1693</v>
      </c>
      <c r="K1730" t="s">
        <v>394</v>
      </c>
      <c r="L1730" t="s">
        <v>1090</v>
      </c>
    </row>
    <row r="1731" spans="1:12">
      <c r="A1731" t="s">
        <v>318</v>
      </c>
      <c r="B1731" t="s">
        <v>1624</v>
      </c>
      <c r="C1731" t="s">
        <v>1694</v>
      </c>
      <c r="D1731" s="28">
        <v>7624800132136</v>
      </c>
      <c r="E1731" s="29" t="s">
        <v>393</v>
      </c>
      <c r="F1731" s="29" t="s">
        <v>372</v>
      </c>
      <c r="G1731">
        <v>40</v>
      </c>
      <c r="H1731" t="s">
        <v>323</v>
      </c>
      <c r="I1731" t="s">
        <v>98</v>
      </c>
      <c r="J1731" t="s">
        <v>1693</v>
      </c>
      <c r="K1731" t="s">
        <v>394</v>
      </c>
      <c r="L1731" t="s">
        <v>1090</v>
      </c>
    </row>
    <row r="1732" spans="1:12">
      <c r="A1732" t="s">
        <v>318</v>
      </c>
      <c r="B1732" t="s">
        <v>1624</v>
      </c>
      <c r="C1732" t="s">
        <v>1695</v>
      </c>
      <c r="D1732" s="28">
        <v>7624800132175</v>
      </c>
      <c r="E1732" s="29" t="s">
        <v>393</v>
      </c>
      <c r="F1732" s="29" t="s">
        <v>372</v>
      </c>
      <c r="G1732">
        <v>40</v>
      </c>
      <c r="H1732" t="s">
        <v>323</v>
      </c>
      <c r="I1732" t="s">
        <v>98</v>
      </c>
      <c r="J1732" t="s">
        <v>1693</v>
      </c>
      <c r="K1732" t="s">
        <v>394</v>
      </c>
      <c r="L1732" t="s">
        <v>327</v>
      </c>
    </row>
    <row r="1733" spans="1:12">
      <c r="A1733" t="s">
        <v>318</v>
      </c>
      <c r="B1733" t="s">
        <v>1624</v>
      </c>
      <c r="C1733" t="s">
        <v>1696</v>
      </c>
      <c r="D1733" s="28">
        <v>762481112874</v>
      </c>
      <c r="E1733" s="29" t="s">
        <v>393</v>
      </c>
      <c r="F1733" s="29" t="s">
        <v>372</v>
      </c>
      <c r="G1733">
        <v>33</v>
      </c>
      <c r="H1733" t="s">
        <v>323</v>
      </c>
      <c r="I1733" t="s">
        <v>98</v>
      </c>
      <c r="J1733" t="s">
        <v>1693</v>
      </c>
      <c r="K1733" t="s">
        <v>394</v>
      </c>
      <c r="L1733" t="s">
        <v>1090</v>
      </c>
    </row>
    <row r="1734" spans="1:12">
      <c r="A1734" t="s">
        <v>318</v>
      </c>
      <c r="B1734" t="s">
        <v>1624</v>
      </c>
      <c r="C1734" t="s">
        <v>1697</v>
      </c>
      <c r="D1734" s="28">
        <v>762481127973</v>
      </c>
      <c r="E1734" s="29" t="s">
        <v>393</v>
      </c>
      <c r="F1734" s="29" t="s">
        <v>372</v>
      </c>
      <c r="G1734">
        <v>12</v>
      </c>
      <c r="H1734" t="s">
        <v>323</v>
      </c>
      <c r="I1734" t="s">
        <v>98</v>
      </c>
      <c r="J1734" t="s">
        <v>1693</v>
      </c>
      <c r="K1734" t="s">
        <v>394</v>
      </c>
      <c r="L1734" t="s">
        <v>1090</v>
      </c>
    </row>
    <row r="1735" spans="1:12">
      <c r="A1735" t="s">
        <v>318</v>
      </c>
      <c r="B1735" t="s">
        <v>1624</v>
      </c>
      <c r="C1735" t="s">
        <v>1698</v>
      </c>
      <c r="D1735" s="28">
        <v>762481127974</v>
      </c>
      <c r="E1735" s="29" t="s">
        <v>393</v>
      </c>
      <c r="F1735" s="29" t="s">
        <v>372</v>
      </c>
      <c r="G1735">
        <v>29</v>
      </c>
      <c r="H1735" t="s">
        <v>323</v>
      </c>
      <c r="I1735" t="s">
        <v>98</v>
      </c>
      <c r="J1735" t="s">
        <v>1693</v>
      </c>
      <c r="K1735" t="s">
        <v>394</v>
      </c>
      <c r="L1735" t="s">
        <v>327</v>
      </c>
    </row>
    <row r="1736" spans="1:12">
      <c r="A1736" t="s">
        <v>318</v>
      </c>
      <c r="B1736" t="s">
        <v>1624</v>
      </c>
      <c r="C1736" t="s">
        <v>1699</v>
      </c>
      <c r="D1736" s="28">
        <v>7630600048178</v>
      </c>
      <c r="E1736" s="29" t="s">
        <v>368</v>
      </c>
      <c r="F1736" s="29" t="s">
        <v>364</v>
      </c>
      <c r="G1736">
        <v>41</v>
      </c>
      <c r="H1736" t="s">
        <v>1051</v>
      </c>
      <c r="I1736" t="s">
        <v>98</v>
      </c>
      <c r="J1736" t="s">
        <v>1700</v>
      </c>
      <c r="K1736" t="s">
        <v>394</v>
      </c>
      <c r="L1736" t="s">
        <v>1090</v>
      </c>
    </row>
    <row r="1737" spans="1:12">
      <c r="A1737" t="s">
        <v>318</v>
      </c>
      <c r="B1737" t="s">
        <v>1624</v>
      </c>
      <c r="C1737" t="s">
        <v>1701</v>
      </c>
      <c r="D1737" s="28">
        <v>7630600103368</v>
      </c>
      <c r="E1737" s="29" t="s">
        <v>368</v>
      </c>
      <c r="F1737" s="29" t="s">
        <v>364</v>
      </c>
      <c r="G1737">
        <v>99</v>
      </c>
      <c r="H1737" t="s">
        <v>1051</v>
      </c>
      <c r="I1737" t="s">
        <v>98</v>
      </c>
      <c r="J1737" t="s">
        <v>1700</v>
      </c>
      <c r="K1737" t="s">
        <v>394</v>
      </c>
      <c r="L1737" t="s">
        <v>1090</v>
      </c>
    </row>
    <row r="1738" spans="1:12">
      <c r="A1738" t="s">
        <v>318</v>
      </c>
      <c r="B1738" t="s">
        <v>1624</v>
      </c>
      <c r="C1738" t="s">
        <v>1702</v>
      </c>
      <c r="D1738" s="28">
        <v>7630600129764</v>
      </c>
      <c r="E1738" s="29" t="s">
        <v>393</v>
      </c>
      <c r="F1738" s="29" t="s">
        <v>372</v>
      </c>
      <c r="G1738">
        <v>38</v>
      </c>
      <c r="H1738" t="s">
        <v>1051</v>
      </c>
      <c r="I1738" t="s">
        <v>98</v>
      </c>
      <c r="J1738" t="s">
        <v>1700</v>
      </c>
      <c r="K1738" t="s">
        <v>394</v>
      </c>
      <c r="L1738" t="s">
        <v>1090</v>
      </c>
    </row>
    <row r="1739" spans="1:12">
      <c r="A1739" t="s">
        <v>318</v>
      </c>
      <c r="B1739" t="s">
        <v>1624</v>
      </c>
      <c r="C1739" t="s">
        <v>1703</v>
      </c>
      <c r="D1739" s="28">
        <v>7630600129766</v>
      </c>
      <c r="E1739" s="29" t="s">
        <v>393</v>
      </c>
      <c r="F1739" s="29" t="s">
        <v>372</v>
      </c>
      <c r="G1739">
        <v>37</v>
      </c>
      <c r="H1739" t="s">
        <v>1051</v>
      </c>
      <c r="I1739" t="s">
        <v>98</v>
      </c>
      <c r="J1739" t="s">
        <v>1700</v>
      </c>
      <c r="K1739" t="s">
        <v>394</v>
      </c>
      <c r="L1739" t="s">
        <v>1090</v>
      </c>
    </row>
    <row r="1740" spans="1:12">
      <c r="A1740" t="s">
        <v>318</v>
      </c>
      <c r="B1740" t="s">
        <v>1624</v>
      </c>
      <c r="C1740" t="s">
        <v>1704</v>
      </c>
      <c r="D1740" s="28">
        <v>7630600129774</v>
      </c>
      <c r="E1740" s="29" t="s">
        <v>393</v>
      </c>
      <c r="F1740" s="29" t="s">
        <v>372</v>
      </c>
      <c r="G1740">
        <v>37</v>
      </c>
      <c r="H1740" t="s">
        <v>1051</v>
      </c>
      <c r="I1740" t="s">
        <v>98</v>
      </c>
      <c r="J1740" t="s">
        <v>1700</v>
      </c>
      <c r="K1740" t="s">
        <v>394</v>
      </c>
      <c r="L1740" t="s">
        <v>1090</v>
      </c>
    </row>
    <row r="1741" spans="1:12">
      <c r="A1741" t="s">
        <v>318</v>
      </c>
      <c r="B1741" t="s">
        <v>1624</v>
      </c>
      <c r="C1741" t="s">
        <v>1705</v>
      </c>
      <c r="D1741" s="28">
        <v>7652000037076</v>
      </c>
      <c r="E1741" s="29" t="s">
        <v>371</v>
      </c>
      <c r="F1741" s="29" t="s">
        <v>372</v>
      </c>
      <c r="G1741">
        <v>12</v>
      </c>
      <c r="H1741" t="s">
        <v>323</v>
      </c>
      <c r="I1741" t="s">
        <v>98</v>
      </c>
      <c r="J1741" t="s">
        <v>1706</v>
      </c>
      <c r="K1741" t="s">
        <v>1226</v>
      </c>
      <c r="L1741" t="s">
        <v>327</v>
      </c>
    </row>
    <row r="1742" spans="1:12">
      <c r="A1742" t="s">
        <v>318</v>
      </c>
      <c r="B1742" t="s">
        <v>1624</v>
      </c>
      <c r="C1742" t="s">
        <v>1707</v>
      </c>
      <c r="D1742" s="28">
        <v>7652000038645</v>
      </c>
      <c r="E1742" s="29" t="s">
        <v>441</v>
      </c>
      <c r="F1742" s="29" t="s">
        <v>372</v>
      </c>
      <c r="G1742">
        <v>25</v>
      </c>
      <c r="H1742" t="s">
        <v>323</v>
      </c>
      <c r="I1742" t="s">
        <v>45</v>
      </c>
      <c r="J1742" t="s">
        <v>1706</v>
      </c>
      <c r="K1742" t="s">
        <v>285</v>
      </c>
      <c r="L1742" t="s">
        <v>327</v>
      </c>
    </row>
    <row r="1743" spans="1:12">
      <c r="A1743" t="s">
        <v>318</v>
      </c>
      <c r="B1743" t="s">
        <v>1624</v>
      </c>
      <c r="C1743" t="s">
        <v>1708</v>
      </c>
      <c r="D1743" s="28">
        <v>7652000038660</v>
      </c>
      <c r="E1743" s="29" t="s">
        <v>371</v>
      </c>
      <c r="F1743" s="29" t="s">
        <v>372</v>
      </c>
      <c r="G1743">
        <v>13</v>
      </c>
      <c r="H1743" t="s">
        <v>323</v>
      </c>
      <c r="I1743" t="s">
        <v>45</v>
      </c>
      <c r="J1743" t="s">
        <v>1706</v>
      </c>
      <c r="K1743" t="s">
        <v>285</v>
      </c>
      <c r="L1743" t="s">
        <v>327</v>
      </c>
    </row>
    <row r="1744" spans="1:12">
      <c r="A1744" t="s">
        <v>318</v>
      </c>
      <c r="B1744" t="s">
        <v>1624</v>
      </c>
      <c r="C1744" t="s">
        <v>1709</v>
      </c>
      <c r="D1744" s="28">
        <v>7652000038703</v>
      </c>
      <c r="E1744" s="29" t="s">
        <v>441</v>
      </c>
      <c r="F1744" s="29" t="s">
        <v>372</v>
      </c>
      <c r="G1744">
        <v>13</v>
      </c>
      <c r="H1744" t="s">
        <v>323</v>
      </c>
      <c r="I1744" t="s">
        <v>45</v>
      </c>
      <c r="J1744" t="s">
        <v>1706</v>
      </c>
      <c r="K1744" t="s">
        <v>1226</v>
      </c>
      <c r="L1744" t="s">
        <v>327</v>
      </c>
    </row>
    <row r="1745" spans="1:12">
      <c r="A1745" t="s">
        <v>318</v>
      </c>
      <c r="B1745" t="s">
        <v>1624</v>
      </c>
      <c r="C1745" t="s">
        <v>1296</v>
      </c>
      <c r="D1745" s="28">
        <v>7652000038767</v>
      </c>
      <c r="E1745" s="29" t="s">
        <v>371</v>
      </c>
      <c r="F1745" s="29" t="s">
        <v>372</v>
      </c>
      <c r="G1745">
        <v>13</v>
      </c>
      <c r="H1745" t="s">
        <v>323</v>
      </c>
      <c r="I1745" t="s">
        <v>45</v>
      </c>
      <c r="J1745" t="s">
        <v>1706</v>
      </c>
      <c r="K1745" t="s">
        <v>285</v>
      </c>
      <c r="L1745" t="s">
        <v>327</v>
      </c>
    </row>
    <row r="1746" spans="1:12">
      <c r="A1746" t="s">
        <v>318</v>
      </c>
      <c r="B1746" t="s">
        <v>1624</v>
      </c>
      <c r="C1746" t="s">
        <v>554</v>
      </c>
      <c r="D1746" s="28">
        <v>7652000039046</v>
      </c>
      <c r="E1746" s="29" t="s">
        <v>371</v>
      </c>
      <c r="F1746" s="29" t="s">
        <v>372</v>
      </c>
      <c r="G1746">
        <v>13</v>
      </c>
      <c r="H1746" t="s">
        <v>323</v>
      </c>
      <c r="I1746" t="s">
        <v>45</v>
      </c>
      <c r="J1746" t="s">
        <v>1706</v>
      </c>
      <c r="K1746" t="s">
        <v>285</v>
      </c>
      <c r="L1746" t="s">
        <v>327</v>
      </c>
    </row>
    <row r="1747" spans="1:12">
      <c r="A1747" t="s">
        <v>318</v>
      </c>
      <c r="B1747" t="s">
        <v>1624</v>
      </c>
      <c r="C1747" t="s">
        <v>773</v>
      </c>
      <c r="D1747" s="28">
        <v>7652000039230</v>
      </c>
      <c r="E1747" s="29" t="s">
        <v>371</v>
      </c>
      <c r="F1747" s="29" t="s">
        <v>372</v>
      </c>
      <c r="G1747">
        <v>11</v>
      </c>
      <c r="H1747" t="s">
        <v>323</v>
      </c>
      <c r="I1747" t="s">
        <v>45</v>
      </c>
      <c r="J1747" t="s">
        <v>1706</v>
      </c>
      <c r="K1747" t="s">
        <v>285</v>
      </c>
      <c r="L1747" t="s">
        <v>327</v>
      </c>
    </row>
    <row r="1748" spans="1:12">
      <c r="A1748" t="s">
        <v>318</v>
      </c>
      <c r="B1748" t="s">
        <v>1624</v>
      </c>
      <c r="C1748" t="s">
        <v>521</v>
      </c>
      <c r="D1748" s="28">
        <v>7652000039238</v>
      </c>
      <c r="E1748" s="29" t="s">
        <v>371</v>
      </c>
      <c r="F1748" s="29" t="s">
        <v>372</v>
      </c>
      <c r="G1748">
        <v>13</v>
      </c>
      <c r="H1748" t="s">
        <v>323</v>
      </c>
      <c r="I1748" t="s">
        <v>98</v>
      </c>
      <c r="J1748" t="s">
        <v>1706</v>
      </c>
      <c r="K1748" t="s">
        <v>285</v>
      </c>
      <c r="L1748" t="s">
        <v>327</v>
      </c>
    </row>
    <row r="1749" spans="1:12">
      <c r="A1749" t="s">
        <v>318</v>
      </c>
      <c r="B1749" t="s">
        <v>1624</v>
      </c>
      <c r="C1749" t="s">
        <v>1710</v>
      </c>
      <c r="D1749" s="28">
        <v>7652000039248</v>
      </c>
      <c r="E1749" s="29" t="s">
        <v>371</v>
      </c>
      <c r="F1749" s="29" t="s">
        <v>372</v>
      </c>
      <c r="G1749">
        <v>13</v>
      </c>
      <c r="H1749" t="s">
        <v>323</v>
      </c>
      <c r="I1749" t="s">
        <v>98</v>
      </c>
      <c r="J1749" t="s">
        <v>1706</v>
      </c>
      <c r="K1749" t="s">
        <v>1226</v>
      </c>
      <c r="L1749" t="s">
        <v>327</v>
      </c>
    </row>
    <row r="1750" spans="1:12">
      <c r="A1750" t="s">
        <v>318</v>
      </c>
      <c r="B1750" t="s">
        <v>1624</v>
      </c>
      <c r="C1750" t="s">
        <v>642</v>
      </c>
      <c r="D1750" s="28">
        <v>7652000039271</v>
      </c>
      <c r="E1750" s="29" t="s">
        <v>371</v>
      </c>
      <c r="F1750" s="29" t="s">
        <v>372</v>
      </c>
      <c r="G1750">
        <v>13</v>
      </c>
      <c r="H1750" t="s">
        <v>323</v>
      </c>
      <c r="I1750" t="s">
        <v>98</v>
      </c>
      <c r="J1750" t="s">
        <v>1706</v>
      </c>
      <c r="K1750" t="s">
        <v>285</v>
      </c>
      <c r="L1750" t="s">
        <v>327</v>
      </c>
    </row>
    <row r="1751" spans="1:12">
      <c r="A1751" t="s">
        <v>318</v>
      </c>
      <c r="B1751" t="s">
        <v>1624</v>
      </c>
      <c r="C1751" t="s">
        <v>1711</v>
      </c>
      <c r="D1751" s="28">
        <v>7652000039290</v>
      </c>
      <c r="E1751" s="29" t="s">
        <v>371</v>
      </c>
      <c r="F1751" s="29" t="s">
        <v>372</v>
      </c>
      <c r="G1751">
        <v>10</v>
      </c>
      <c r="H1751" t="s">
        <v>323</v>
      </c>
      <c r="I1751" t="s">
        <v>98</v>
      </c>
      <c r="J1751" t="s">
        <v>1706</v>
      </c>
      <c r="K1751" t="s">
        <v>285</v>
      </c>
      <c r="L1751" t="s">
        <v>327</v>
      </c>
    </row>
    <row r="1752" spans="1:12">
      <c r="A1752" t="s">
        <v>318</v>
      </c>
      <c r="B1752" t="s">
        <v>1624</v>
      </c>
      <c r="C1752" t="s">
        <v>1447</v>
      </c>
      <c r="D1752" s="28">
        <v>7652000039300</v>
      </c>
      <c r="E1752" s="29" t="s">
        <v>371</v>
      </c>
      <c r="F1752" s="29" t="s">
        <v>372</v>
      </c>
      <c r="G1752">
        <v>13</v>
      </c>
      <c r="H1752" t="s">
        <v>323</v>
      </c>
      <c r="I1752" t="s">
        <v>98</v>
      </c>
      <c r="J1752" t="s">
        <v>1706</v>
      </c>
      <c r="K1752" t="s">
        <v>285</v>
      </c>
      <c r="L1752" t="s">
        <v>327</v>
      </c>
    </row>
    <row r="1753" spans="1:12">
      <c r="A1753" t="s">
        <v>318</v>
      </c>
      <c r="B1753" t="s">
        <v>1624</v>
      </c>
      <c r="C1753" t="s">
        <v>964</v>
      </c>
      <c r="D1753" s="28">
        <v>7652000039509</v>
      </c>
      <c r="E1753" s="29" t="s">
        <v>371</v>
      </c>
      <c r="F1753" s="29" t="s">
        <v>372</v>
      </c>
      <c r="G1753">
        <v>13</v>
      </c>
      <c r="H1753" t="s">
        <v>323</v>
      </c>
      <c r="I1753" t="s">
        <v>98</v>
      </c>
      <c r="J1753" t="s">
        <v>1706</v>
      </c>
      <c r="K1753" t="s">
        <v>285</v>
      </c>
      <c r="L1753" t="s">
        <v>327</v>
      </c>
    </row>
    <row r="1754" spans="1:12">
      <c r="A1754" t="s">
        <v>318</v>
      </c>
      <c r="B1754" t="s">
        <v>1624</v>
      </c>
      <c r="C1754" t="s">
        <v>1712</v>
      </c>
      <c r="D1754" s="28">
        <v>7652000039578</v>
      </c>
      <c r="E1754" s="29" t="s">
        <v>371</v>
      </c>
      <c r="F1754" s="29" t="s">
        <v>372</v>
      </c>
      <c r="G1754">
        <v>13</v>
      </c>
      <c r="H1754" t="s">
        <v>323</v>
      </c>
      <c r="I1754" t="s">
        <v>98</v>
      </c>
      <c r="J1754" t="s">
        <v>1706</v>
      </c>
      <c r="K1754" t="s">
        <v>285</v>
      </c>
      <c r="L1754" t="s">
        <v>327</v>
      </c>
    </row>
    <row r="1755" spans="1:12">
      <c r="A1755" t="s">
        <v>318</v>
      </c>
      <c r="B1755" t="s">
        <v>1624</v>
      </c>
      <c r="C1755" t="s">
        <v>1713</v>
      </c>
      <c r="D1755" s="28">
        <v>7652000039586</v>
      </c>
      <c r="E1755" s="29" t="s">
        <v>371</v>
      </c>
      <c r="F1755" s="29" t="s">
        <v>372</v>
      </c>
      <c r="G1755">
        <v>13</v>
      </c>
      <c r="H1755" t="s">
        <v>323</v>
      </c>
      <c r="I1755" t="s">
        <v>98</v>
      </c>
      <c r="J1755" t="s">
        <v>1706</v>
      </c>
      <c r="K1755" t="s">
        <v>1226</v>
      </c>
      <c r="L1755" t="s">
        <v>327</v>
      </c>
    </row>
    <row r="1756" spans="1:12">
      <c r="A1756" t="s">
        <v>318</v>
      </c>
      <c r="B1756" t="s">
        <v>1624</v>
      </c>
      <c r="C1756" t="s">
        <v>1714</v>
      </c>
      <c r="D1756" s="28">
        <v>7652000039754</v>
      </c>
      <c r="E1756" s="29" t="s">
        <v>1045</v>
      </c>
      <c r="F1756" s="29" t="s">
        <v>372</v>
      </c>
      <c r="G1756">
        <v>15</v>
      </c>
      <c r="H1756" t="s">
        <v>323</v>
      </c>
      <c r="I1756" t="s">
        <v>98</v>
      </c>
      <c r="J1756" t="s">
        <v>1706</v>
      </c>
      <c r="K1756" t="s">
        <v>285</v>
      </c>
      <c r="L1756" t="s">
        <v>327</v>
      </c>
    </row>
    <row r="1757" spans="1:12">
      <c r="A1757" t="s">
        <v>318</v>
      </c>
      <c r="B1757" t="s">
        <v>1624</v>
      </c>
      <c r="C1757" t="s">
        <v>1715</v>
      </c>
      <c r="D1757" s="28">
        <v>7652000039773</v>
      </c>
      <c r="E1757" s="29" t="s">
        <v>441</v>
      </c>
      <c r="F1757" s="29" t="s">
        <v>372</v>
      </c>
      <c r="G1757">
        <v>56</v>
      </c>
      <c r="H1757" t="s">
        <v>323</v>
      </c>
      <c r="I1757" t="s">
        <v>45</v>
      </c>
      <c r="J1757" t="s">
        <v>1706</v>
      </c>
      <c r="K1757" t="s">
        <v>285</v>
      </c>
      <c r="L1757" t="s">
        <v>327</v>
      </c>
    </row>
    <row r="1758" spans="1:12">
      <c r="A1758" t="s">
        <v>318</v>
      </c>
      <c r="B1758" t="s">
        <v>1624</v>
      </c>
      <c r="C1758" t="s">
        <v>1716</v>
      </c>
      <c r="D1758" s="28">
        <v>7652000039805</v>
      </c>
      <c r="E1758" s="29" t="s">
        <v>441</v>
      </c>
      <c r="F1758" s="29" t="s">
        <v>372</v>
      </c>
      <c r="G1758">
        <v>39</v>
      </c>
      <c r="H1758" t="s">
        <v>323</v>
      </c>
      <c r="I1758" t="s">
        <v>98</v>
      </c>
      <c r="J1758" t="s">
        <v>1706</v>
      </c>
      <c r="K1758" t="s">
        <v>285</v>
      </c>
      <c r="L1758" t="s">
        <v>327</v>
      </c>
    </row>
    <row r="1759" spans="1:12">
      <c r="A1759" t="s">
        <v>318</v>
      </c>
      <c r="B1759" t="s">
        <v>1624</v>
      </c>
      <c r="C1759" t="s">
        <v>1717</v>
      </c>
      <c r="D1759" s="28">
        <v>7652000039830</v>
      </c>
      <c r="E1759" s="29" t="s">
        <v>441</v>
      </c>
      <c r="F1759" s="29" t="s">
        <v>372</v>
      </c>
      <c r="G1759">
        <v>16</v>
      </c>
      <c r="H1759" t="s">
        <v>323</v>
      </c>
      <c r="I1759" t="s">
        <v>45</v>
      </c>
      <c r="J1759" t="s">
        <v>1706</v>
      </c>
      <c r="K1759" t="s">
        <v>285</v>
      </c>
      <c r="L1759" t="s">
        <v>1090</v>
      </c>
    </row>
    <row r="1760" spans="1:12">
      <c r="A1760" t="s">
        <v>318</v>
      </c>
      <c r="B1760" t="s">
        <v>1624</v>
      </c>
      <c r="C1760" t="s">
        <v>1718</v>
      </c>
      <c r="D1760" s="28">
        <v>7652000039849</v>
      </c>
      <c r="E1760" s="29" t="s">
        <v>441</v>
      </c>
      <c r="F1760" s="29" t="s">
        <v>372</v>
      </c>
      <c r="G1760">
        <v>50</v>
      </c>
      <c r="H1760" t="s">
        <v>323</v>
      </c>
      <c r="I1760" t="s">
        <v>98</v>
      </c>
      <c r="J1760" t="s">
        <v>1706</v>
      </c>
      <c r="K1760" t="s">
        <v>285</v>
      </c>
      <c r="L1760" t="s">
        <v>327</v>
      </c>
    </row>
    <row r="1761" spans="1:12">
      <c r="A1761" t="s">
        <v>318</v>
      </c>
      <c r="B1761" t="s">
        <v>1624</v>
      </c>
      <c r="C1761" t="s">
        <v>1719</v>
      </c>
      <c r="D1761" s="28">
        <v>7652000039861</v>
      </c>
      <c r="E1761" s="29" t="s">
        <v>371</v>
      </c>
      <c r="F1761" s="29" t="s">
        <v>372</v>
      </c>
      <c r="G1761">
        <v>13</v>
      </c>
      <c r="H1761" t="s">
        <v>323</v>
      </c>
      <c r="I1761" t="s">
        <v>45</v>
      </c>
      <c r="J1761" t="s">
        <v>1706</v>
      </c>
      <c r="K1761" t="s">
        <v>285</v>
      </c>
      <c r="L1761" t="s">
        <v>327</v>
      </c>
    </row>
    <row r="1762" spans="1:12">
      <c r="A1762" t="s">
        <v>318</v>
      </c>
      <c r="B1762" t="s">
        <v>1624</v>
      </c>
      <c r="C1762" t="s">
        <v>1720</v>
      </c>
      <c r="D1762" s="28">
        <v>7652000039886</v>
      </c>
      <c r="E1762" s="29" t="s">
        <v>371</v>
      </c>
      <c r="F1762" s="29" t="s">
        <v>372</v>
      </c>
      <c r="G1762">
        <v>13</v>
      </c>
      <c r="H1762" t="s">
        <v>323</v>
      </c>
      <c r="I1762" t="s">
        <v>45</v>
      </c>
      <c r="J1762" t="s">
        <v>1706</v>
      </c>
      <c r="K1762" t="s">
        <v>285</v>
      </c>
      <c r="L1762" t="s">
        <v>327</v>
      </c>
    </row>
    <row r="1763" spans="1:12">
      <c r="A1763" t="s">
        <v>318</v>
      </c>
      <c r="B1763" t="s">
        <v>1624</v>
      </c>
      <c r="C1763" t="s">
        <v>1721</v>
      </c>
      <c r="D1763" s="28">
        <v>7652000039946</v>
      </c>
      <c r="E1763" s="29" t="s">
        <v>371</v>
      </c>
      <c r="F1763" s="29" t="s">
        <v>372</v>
      </c>
      <c r="G1763">
        <v>12</v>
      </c>
      <c r="H1763" t="s">
        <v>323</v>
      </c>
      <c r="I1763" t="s">
        <v>98</v>
      </c>
      <c r="J1763" t="s">
        <v>1706</v>
      </c>
      <c r="K1763" t="s">
        <v>285</v>
      </c>
      <c r="L1763" t="s">
        <v>327</v>
      </c>
    </row>
    <row r="1764" spans="1:12">
      <c r="A1764" t="s">
        <v>318</v>
      </c>
      <c r="B1764" t="s">
        <v>1624</v>
      </c>
      <c r="C1764" t="s">
        <v>1722</v>
      </c>
      <c r="D1764" s="28">
        <v>7652000039953</v>
      </c>
      <c r="E1764" s="29" t="s">
        <v>371</v>
      </c>
      <c r="F1764" s="29" t="s">
        <v>372</v>
      </c>
      <c r="G1764">
        <v>13</v>
      </c>
      <c r="H1764" t="s">
        <v>323</v>
      </c>
      <c r="I1764" t="s">
        <v>98</v>
      </c>
      <c r="J1764" t="s">
        <v>1706</v>
      </c>
      <c r="K1764" t="s">
        <v>1226</v>
      </c>
      <c r="L1764" t="s">
        <v>327</v>
      </c>
    </row>
    <row r="1765" spans="1:12">
      <c r="A1765" t="s">
        <v>318</v>
      </c>
      <c r="B1765" t="s">
        <v>1624</v>
      </c>
      <c r="C1765" t="s">
        <v>1723</v>
      </c>
      <c r="D1765" s="28">
        <v>7652000039962</v>
      </c>
      <c r="E1765" s="29" t="s">
        <v>371</v>
      </c>
      <c r="F1765" s="29" t="s">
        <v>372</v>
      </c>
      <c r="G1765">
        <v>13</v>
      </c>
      <c r="H1765" t="s">
        <v>323</v>
      </c>
      <c r="I1765" t="s">
        <v>45</v>
      </c>
      <c r="J1765" t="s">
        <v>1706</v>
      </c>
      <c r="K1765" t="s">
        <v>285</v>
      </c>
      <c r="L1765" t="s">
        <v>327</v>
      </c>
    </row>
    <row r="1766" spans="1:12">
      <c r="A1766" t="s">
        <v>318</v>
      </c>
      <c r="B1766" t="s">
        <v>1624</v>
      </c>
      <c r="C1766" t="s">
        <v>1724</v>
      </c>
      <c r="D1766" s="28">
        <v>7652000039980</v>
      </c>
      <c r="E1766" s="29" t="s">
        <v>371</v>
      </c>
      <c r="F1766" s="29" t="s">
        <v>372</v>
      </c>
      <c r="G1766">
        <v>13</v>
      </c>
      <c r="H1766" t="s">
        <v>323</v>
      </c>
      <c r="I1766" t="s">
        <v>98</v>
      </c>
      <c r="J1766" t="s">
        <v>1706</v>
      </c>
      <c r="K1766" t="s">
        <v>285</v>
      </c>
      <c r="L1766" t="s">
        <v>327</v>
      </c>
    </row>
    <row r="1767" spans="1:12">
      <c r="A1767" t="s">
        <v>318</v>
      </c>
      <c r="B1767" t="s">
        <v>1624</v>
      </c>
      <c r="C1767" t="s">
        <v>1725</v>
      </c>
      <c r="D1767" s="28">
        <v>7652000039995</v>
      </c>
      <c r="E1767" s="29" t="s">
        <v>371</v>
      </c>
      <c r="F1767" s="29" t="s">
        <v>372</v>
      </c>
      <c r="G1767">
        <v>13</v>
      </c>
      <c r="H1767" t="s">
        <v>323</v>
      </c>
      <c r="I1767" t="s">
        <v>98</v>
      </c>
      <c r="J1767" t="s">
        <v>1706</v>
      </c>
      <c r="K1767" t="s">
        <v>285</v>
      </c>
      <c r="L1767" t="s">
        <v>327</v>
      </c>
    </row>
    <row r="1768" spans="1:12">
      <c r="A1768" t="s">
        <v>318</v>
      </c>
      <c r="B1768" t="s">
        <v>1624</v>
      </c>
      <c r="C1768" t="s">
        <v>1726</v>
      </c>
      <c r="D1768" s="28">
        <v>7652000040010</v>
      </c>
      <c r="E1768" s="29" t="s">
        <v>441</v>
      </c>
      <c r="F1768" s="29" t="s">
        <v>372</v>
      </c>
      <c r="G1768">
        <v>39</v>
      </c>
      <c r="H1768" t="s">
        <v>323</v>
      </c>
      <c r="I1768" t="s">
        <v>98</v>
      </c>
      <c r="J1768" t="s">
        <v>1706</v>
      </c>
      <c r="K1768" t="s">
        <v>285</v>
      </c>
      <c r="L1768" t="s">
        <v>327</v>
      </c>
    </row>
    <row r="1769" spans="1:12">
      <c r="A1769" t="s">
        <v>318</v>
      </c>
      <c r="B1769" t="s">
        <v>1624</v>
      </c>
      <c r="C1769" t="s">
        <v>1727</v>
      </c>
      <c r="D1769" s="28">
        <v>7652000040052</v>
      </c>
      <c r="E1769" s="29" t="s">
        <v>371</v>
      </c>
      <c r="F1769" s="29" t="s">
        <v>372</v>
      </c>
      <c r="G1769">
        <v>12</v>
      </c>
      <c r="H1769" t="s">
        <v>323</v>
      </c>
      <c r="I1769" t="s">
        <v>98</v>
      </c>
      <c r="J1769" t="s">
        <v>1706</v>
      </c>
      <c r="K1769" t="s">
        <v>285</v>
      </c>
      <c r="L1769" t="s">
        <v>327</v>
      </c>
    </row>
    <row r="1770" spans="1:12">
      <c r="A1770" t="s">
        <v>318</v>
      </c>
      <c r="B1770" t="s">
        <v>1624</v>
      </c>
      <c r="C1770" t="s">
        <v>972</v>
      </c>
      <c r="D1770" s="28">
        <v>7652000040054</v>
      </c>
      <c r="E1770" s="29" t="s">
        <v>371</v>
      </c>
      <c r="F1770" s="29" t="s">
        <v>372</v>
      </c>
      <c r="G1770">
        <v>13</v>
      </c>
      <c r="H1770" t="s">
        <v>323</v>
      </c>
      <c r="I1770" t="s">
        <v>45</v>
      </c>
      <c r="J1770" t="s">
        <v>1706</v>
      </c>
      <c r="K1770" t="s">
        <v>285</v>
      </c>
      <c r="L1770" t="s">
        <v>327</v>
      </c>
    </row>
    <row r="1771" spans="1:12">
      <c r="A1771" t="s">
        <v>318</v>
      </c>
      <c r="B1771" t="s">
        <v>1624</v>
      </c>
      <c r="C1771" t="s">
        <v>1184</v>
      </c>
      <c r="D1771" s="28">
        <v>7652000040079</v>
      </c>
      <c r="E1771" s="29" t="s">
        <v>371</v>
      </c>
      <c r="F1771" s="29" t="s">
        <v>372</v>
      </c>
      <c r="G1771">
        <v>13</v>
      </c>
      <c r="H1771" t="s">
        <v>323</v>
      </c>
      <c r="I1771" t="s">
        <v>98</v>
      </c>
      <c r="J1771" t="s">
        <v>1706</v>
      </c>
      <c r="K1771" t="s">
        <v>285</v>
      </c>
      <c r="L1771" t="s">
        <v>327</v>
      </c>
    </row>
    <row r="1772" spans="1:12">
      <c r="A1772" t="s">
        <v>318</v>
      </c>
      <c r="B1772" t="s">
        <v>1624</v>
      </c>
      <c r="C1772" t="s">
        <v>1728</v>
      </c>
      <c r="D1772" s="28">
        <v>7652000047469</v>
      </c>
      <c r="E1772" s="29" t="s">
        <v>371</v>
      </c>
      <c r="F1772" s="29" t="s">
        <v>372</v>
      </c>
      <c r="G1772">
        <v>12</v>
      </c>
      <c r="H1772" t="s">
        <v>323</v>
      </c>
      <c r="I1772" t="s">
        <v>45</v>
      </c>
      <c r="J1772" t="s">
        <v>1706</v>
      </c>
      <c r="K1772" t="s">
        <v>285</v>
      </c>
      <c r="L1772" t="s">
        <v>327</v>
      </c>
    </row>
    <row r="1773" spans="1:12">
      <c r="A1773" t="s">
        <v>318</v>
      </c>
      <c r="B1773" t="s">
        <v>1624</v>
      </c>
      <c r="C1773" t="s">
        <v>1729</v>
      </c>
      <c r="D1773" s="28">
        <v>7652000047473</v>
      </c>
      <c r="E1773" s="29" t="s">
        <v>441</v>
      </c>
      <c r="F1773" s="29" t="s">
        <v>372</v>
      </c>
      <c r="G1773">
        <v>35</v>
      </c>
      <c r="H1773" t="s">
        <v>323</v>
      </c>
      <c r="I1773" t="s">
        <v>98</v>
      </c>
      <c r="J1773" t="s">
        <v>1706</v>
      </c>
      <c r="K1773" t="s">
        <v>285</v>
      </c>
      <c r="L1773" t="s">
        <v>327</v>
      </c>
    </row>
    <row r="1774" spans="1:12">
      <c r="A1774" t="s">
        <v>318</v>
      </c>
      <c r="B1774" t="s">
        <v>1624</v>
      </c>
      <c r="C1774" t="s">
        <v>1730</v>
      </c>
      <c r="D1774" s="28">
        <v>7652000047489</v>
      </c>
      <c r="E1774" s="29" t="s">
        <v>441</v>
      </c>
      <c r="F1774" s="29" t="s">
        <v>372</v>
      </c>
      <c r="G1774">
        <v>51</v>
      </c>
      <c r="H1774" t="s">
        <v>323</v>
      </c>
      <c r="I1774" t="s">
        <v>98</v>
      </c>
      <c r="J1774" t="s">
        <v>1706</v>
      </c>
      <c r="K1774" t="s">
        <v>1226</v>
      </c>
      <c r="L1774" t="s">
        <v>327</v>
      </c>
    </row>
    <row r="1775" spans="1:12">
      <c r="A1775" t="s">
        <v>318</v>
      </c>
      <c r="B1775" t="s">
        <v>1624</v>
      </c>
      <c r="C1775" t="s">
        <v>462</v>
      </c>
      <c r="D1775" s="28">
        <v>7652000047540</v>
      </c>
      <c r="E1775" s="29" t="s">
        <v>441</v>
      </c>
      <c r="F1775" s="29" t="s">
        <v>372</v>
      </c>
      <c r="G1775">
        <v>36</v>
      </c>
      <c r="H1775" t="s">
        <v>323</v>
      </c>
      <c r="I1775" t="s">
        <v>45</v>
      </c>
      <c r="J1775" t="s">
        <v>1706</v>
      </c>
      <c r="K1775" t="s">
        <v>285</v>
      </c>
      <c r="L1775" t="s">
        <v>327</v>
      </c>
    </row>
    <row r="1776" spans="1:12">
      <c r="A1776" t="s">
        <v>318</v>
      </c>
      <c r="B1776" t="s">
        <v>1624</v>
      </c>
      <c r="C1776" t="s">
        <v>462</v>
      </c>
      <c r="D1776" s="28">
        <v>7652000047591</v>
      </c>
      <c r="E1776" s="29" t="s">
        <v>371</v>
      </c>
      <c r="F1776" s="29" t="s">
        <v>372</v>
      </c>
      <c r="G1776">
        <v>11</v>
      </c>
      <c r="H1776" t="s">
        <v>323</v>
      </c>
      <c r="I1776" t="s">
        <v>98</v>
      </c>
      <c r="J1776" t="s">
        <v>1706</v>
      </c>
      <c r="K1776" t="s">
        <v>285</v>
      </c>
      <c r="L1776" t="s">
        <v>327</v>
      </c>
    </row>
    <row r="1777" spans="1:12">
      <c r="A1777" t="s">
        <v>318</v>
      </c>
      <c r="B1777" t="s">
        <v>1624</v>
      </c>
      <c r="C1777" t="s">
        <v>426</v>
      </c>
      <c r="D1777" s="28">
        <v>7652000047599</v>
      </c>
      <c r="E1777" s="29" t="s">
        <v>371</v>
      </c>
      <c r="F1777" s="29" t="s">
        <v>372</v>
      </c>
      <c r="G1777">
        <v>13</v>
      </c>
      <c r="H1777" t="s">
        <v>323</v>
      </c>
      <c r="I1777" t="s">
        <v>98</v>
      </c>
      <c r="J1777" t="s">
        <v>1706</v>
      </c>
      <c r="K1777" t="s">
        <v>285</v>
      </c>
      <c r="L1777" t="s">
        <v>327</v>
      </c>
    </row>
    <row r="1778" spans="1:12">
      <c r="A1778" t="s">
        <v>318</v>
      </c>
      <c r="B1778" t="s">
        <v>1624</v>
      </c>
      <c r="C1778" t="s">
        <v>1731</v>
      </c>
      <c r="D1778" s="28">
        <v>7652000047607</v>
      </c>
      <c r="E1778" s="29" t="s">
        <v>371</v>
      </c>
      <c r="F1778" s="29" t="s">
        <v>372</v>
      </c>
      <c r="G1778">
        <v>13</v>
      </c>
      <c r="H1778" t="s">
        <v>323</v>
      </c>
      <c r="I1778" t="s">
        <v>98</v>
      </c>
      <c r="J1778" t="s">
        <v>1706</v>
      </c>
      <c r="K1778" t="s">
        <v>285</v>
      </c>
      <c r="L1778" t="s">
        <v>327</v>
      </c>
    </row>
    <row r="1779" spans="1:12">
      <c r="A1779" t="s">
        <v>318</v>
      </c>
      <c r="B1779" t="s">
        <v>1624</v>
      </c>
      <c r="C1779" t="s">
        <v>1732</v>
      </c>
      <c r="D1779" s="28">
        <v>7652000047615</v>
      </c>
      <c r="E1779" s="29" t="s">
        <v>371</v>
      </c>
      <c r="F1779" s="29" t="s">
        <v>372</v>
      </c>
      <c r="G1779">
        <v>8</v>
      </c>
      <c r="H1779" t="s">
        <v>323</v>
      </c>
      <c r="I1779" t="s">
        <v>45</v>
      </c>
      <c r="J1779" t="s">
        <v>1706</v>
      </c>
      <c r="K1779" t="s">
        <v>285</v>
      </c>
      <c r="L1779" t="s">
        <v>327</v>
      </c>
    </row>
    <row r="1780" spans="1:12">
      <c r="A1780" t="s">
        <v>318</v>
      </c>
      <c r="B1780" t="s">
        <v>1624</v>
      </c>
      <c r="C1780" t="s">
        <v>1714</v>
      </c>
      <c r="D1780" s="28">
        <v>7652000047628</v>
      </c>
      <c r="E1780" s="29" t="s">
        <v>1045</v>
      </c>
      <c r="F1780" s="29" t="s">
        <v>372</v>
      </c>
      <c r="G1780">
        <v>15</v>
      </c>
      <c r="H1780" t="s">
        <v>323</v>
      </c>
      <c r="I1780" t="s">
        <v>98</v>
      </c>
      <c r="J1780" t="s">
        <v>1706</v>
      </c>
      <c r="K1780" t="s">
        <v>285</v>
      </c>
      <c r="L1780" t="s">
        <v>327</v>
      </c>
    </row>
    <row r="1781" spans="1:12">
      <c r="A1781" t="s">
        <v>318</v>
      </c>
      <c r="B1781" t="s">
        <v>1624</v>
      </c>
      <c r="C1781" t="s">
        <v>1714</v>
      </c>
      <c r="D1781" s="28">
        <v>7652000047635</v>
      </c>
      <c r="E1781" s="29" t="s">
        <v>1045</v>
      </c>
      <c r="F1781" s="29" t="s">
        <v>372</v>
      </c>
      <c r="G1781">
        <v>15</v>
      </c>
      <c r="H1781" t="s">
        <v>323</v>
      </c>
      <c r="I1781" t="s">
        <v>98</v>
      </c>
      <c r="J1781" t="s">
        <v>1706</v>
      </c>
      <c r="K1781" t="s">
        <v>285</v>
      </c>
      <c r="L1781" t="s">
        <v>327</v>
      </c>
    </row>
    <row r="1782" spans="1:12">
      <c r="A1782" t="s">
        <v>318</v>
      </c>
      <c r="B1782" t="s">
        <v>1624</v>
      </c>
      <c r="C1782" t="s">
        <v>1733</v>
      </c>
      <c r="D1782" s="28">
        <v>7652000110419</v>
      </c>
      <c r="E1782" s="29" t="s">
        <v>441</v>
      </c>
      <c r="F1782" s="29" t="s">
        <v>372</v>
      </c>
      <c r="G1782">
        <v>20</v>
      </c>
      <c r="H1782" t="s">
        <v>323</v>
      </c>
      <c r="I1782" t="s">
        <v>98</v>
      </c>
      <c r="J1782" t="s">
        <v>1706</v>
      </c>
      <c r="K1782" t="s">
        <v>1226</v>
      </c>
      <c r="L1782" t="s">
        <v>327</v>
      </c>
    </row>
    <row r="1783" spans="1:12">
      <c r="A1783" t="s">
        <v>318</v>
      </c>
      <c r="B1783" t="s">
        <v>1624</v>
      </c>
      <c r="C1783" t="s">
        <v>1409</v>
      </c>
      <c r="D1783" s="28">
        <v>7652000114705</v>
      </c>
      <c r="E1783" s="29" t="s">
        <v>371</v>
      </c>
      <c r="F1783" s="29" t="s">
        <v>372</v>
      </c>
      <c r="G1783">
        <v>13</v>
      </c>
      <c r="H1783" t="s">
        <v>323</v>
      </c>
      <c r="I1783" t="s">
        <v>45</v>
      </c>
      <c r="J1783" t="s">
        <v>1706</v>
      </c>
      <c r="K1783" t="s">
        <v>285</v>
      </c>
      <c r="L1783" t="s">
        <v>327</v>
      </c>
    </row>
    <row r="1784" spans="1:12">
      <c r="A1784" t="s">
        <v>318</v>
      </c>
      <c r="B1784" t="s">
        <v>1624</v>
      </c>
      <c r="C1784" t="s">
        <v>1734</v>
      </c>
      <c r="D1784" s="28">
        <v>765201140174</v>
      </c>
      <c r="E1784" s="29" t="s">
        <v>371</v>
      </c>
      <c r="F1784" s="29" t="s">
        <v>372</v>
      </c>
      <c r="G1784">
        <v>10</v>
      </c>
      <c r="H1784" t="s">
        <v>323</v>
      </c>
      <c r="I1784" t="s">
        <v>98</v>
      </c>
      <c r="J1784" t="s">
        <v>1706</v>
      </c>
      <c r="K1784" t="s">
        <v>285</v>
      </c>
      <c r="L1784" t="s">
        <v>327</v>
      </c>
    </row>
    <row r="1785" spans="1:12">
      <c r="A1785" t="s">
        <v>318</v>
      </c>
      <c r="B1785" t="s">
        <v>1624</v>
      </c>
      <c r="C1785" t="s">
        <v>1735</v>
      </c>
      <c r="D1785" s="28">
        <v>7613000018030</v>
      </c>
      <c r="E1785" s="29" t="s">
        <v>371</v>
      </c>
      <c r="F1785" s="29" t="s">
        <v>372</v>
      </c>
      <c r="G1785">
        <v>13</v>
      </c>
      <c r="H1785" t="s">
        <v>1051</v>
      </c>
      <c r="I1785" t="s">
        <v>98</v>
      </c>
      <c r="J1785" t="s">
        <v>1650</v>
      </c>
      <c r="K1785" t="s">
        <v>285</v>
      </c>
      <c r="L1785" t="s">
        <v>1090</v>
      </c>
    </row>
    <row r="1786" spans="1:12">
      <c r="A1786" t="s">
        <v>318</v>
      </c>
      <c r="B1786" t="s">
        <v>1624</v>
      </c>
      <c r="C1786" t="s">
        <v>1736</v>
      </c>
      <c r="D1786" s="28">
        <v>7613000018582</v>
      </c>
      <c r="E1786" s="29" t="s">
        <v>371</v>
      </c>
      <c r="F1786" s="29" t="s">
        <v>372</v>
      </c>
      <c r="G1786">
        <v>13</v>
      </c>
      <c r="H1786" t="s">
        <v>1051</v>
      </c>
      <c r="I1786" t="s">
        <v>98</v>
      </c>
      <c r="J1786" t="s">
        <v>1650</v>
      </c>
      <c r="K1786" t="s">
        <v>285</v>
      </c>
      <c r="L1786" t="s">
        <v>327</v>
      </c>
    </row>
    <row r="1787" spans="1:12">
      <c r="A1787" t="s">
        <v>318</v>
      </c>
      <c r="B1787" t="s">
        <v>1624</v>
      </c>
      <c r="C1787" t="s">
        <v>1737</v>
      </c>
      <c r="D1787" s="28">
        <v>7613000018614</v>
      </c>
      <c r="E1787" s="29" t="s">
        <v>371</v>
      </c>
      <c r="F1787" s="29" t="s">
        <v>372</v>
      </c>
      <c r="G1787">
        <v>13</v>
      </c>
      <c r="H1787" t="s">
        <v>1051</v>
      </c>
      <c r="I1787" t="s">
        <v>98</v>
      </c>
      <c r="J1787" t="s">
        <v>1650</v>
      </c>
      <c r="K1787" t="s">
        <v>285</v>
      </c>
      <c r="L1787" t="s">
        <v>1090</v>
      </c>
    </row>
    <row r="1788" spans="1:12">
      <c r="A1788" t="s">
        <v>318</v>
      </c>
      <c r="B1788" t="s">
        <v>1624</v>
      </c>
      <c r="C1788" t="s">
        <v>1296</v>
      </c>
      <c r="D1788" s="28">
        <v>7613000019793</v>
      </c>
      <c r="E1788" s="29" t="s">
        <v>371</v>
      </c>
      <c r="F1788" s="29" t="s">
        <v>372</v>
      </c>
      <c r="G1788">
        <v>13</v>
      </c>
      <c r="H1788" t="s">
        <v>1051</v>
      </c>
      <c r="I1788" t="s">
        <v>98</v>
      </c>
      <c r="J1788" t="s">
        <v>1650</v>
      </c>
      <c r="K1788" t="s">
        <v>285</v>
      </c>
      <c r="L1788" t="s">
        <v>327</v>
      </c>
    </row>
    <row r="1789" spans="1:12">
      <c r="A1789" t="s">
        <v>318</v>
      </c>
      <c r="B1789" t="s">
        <v>1624</v>
      </c>
      <c r="C1789" t="s">
        <v>1738</v>
      </c>
      <c r="D1789" s="28">
        <v>7613000019799</v>
      </c>
      <c r="E1789" s="29" t="s">
        <v>371</v>
      </c>
      <c r="F1789" s="29" t="s">
        <v>372</v>
      </c>
      <c r="G1789">
        <v>13</v>
      </c>
      <c r="H1789" t="s">
        <v>1051</v>
      </c>
      <c r="I1789" t="s">
        <v>98</v>
      </c>
      <c r="J1789" t="s">
        <v>1650</v>
      </c>
      <c r="K1789" t="s">
        <v>285</v>
      </c>
      <c r="L1789" t="s">
        <v>327</v>
      </c>
    </row>
    <row r="1790" spans="1:12">
      <c r="A1790" t="s">
        <v>318</v>
      </c>
      <c r="B1790" t="s">
        <v>1624</v>
      </c>
      <c r="C1790" t="s">
        <v>727</v>
      </c>
      <c r="D1790" s="28">
        <v>7613000019806</v>
      </c>
      <c r="E1790" s="29" t="s">
        <v>371</v>
      </c>
      <c r="F1790" s="29" t="s">
        <v>372</v>
      </c>
      <c r="G1790">
        <v>13</v>
      </c>
      <c r="H1790" t="s">
        <v>1051</v>
      </c>
      <c r="I1790" t="s">
        <v>98</v>
      </c>
      <c r="J1790" t="s">
        <v>1650</v>
      </c>
      <c r="K1790" t="s">
        <v>285</v>
      </c>
      <c r="L1790" t="s">
        <v>327</v>
      </c>
    </row>
    <row r="1791" spans="1:12">
      <c r="A1791" t="s">
        <v>318</v>
      </c>
      <c r="B1791" t="s">
        <v>1624</v>
      </c>
      <c r="C1791" t="s">
        <v>426</v>
      </c>
      <c r="D1791" s="28">
        <v>7613000019882</v>
      </c>
      <c r="E1791" s="29" t="s">
        <v>371</v>
      </c>
      <c r="F1791" s="29" t="s">
        <v>372</v>
      </c>
      <c r="G1791">
        <v>13</v>
      </c>
      <c r="H1791" t="s">
        <v>1051</v>
      </c>
      <c r="I1791" t="s">
        <v>98</v>
      </c>
      <c r="J1791" t="s">
        <v>1650</v>
      </c>
      <c r="K1791" t="s">
        <v>285</v>
      </c>
      <c r="L1791" t="s">
        <v>327</v>
      </c>
    </row>
    <row r="1792" spans="1:12">
      <c r="A1792" t="s">
        <v>318</v>
      </c>
      <c r="B1792" t="s">
        <v>1624</v>
      </c>
      <c r="C1792" t="s">
        <v>1186</v>
      </c>
      <c r="D1792" s="28">
        <v>7613000019904</v>
      </c>
      <c r="E1792" s="29" t="s">
        <v>371</v>
      </c>
      <c r="F1792" s="29" t="s">
        <v>372</v>
      </c>
      <c r="G1792">
        <v>13</v>
      </c>
      <c r="H1792" t="s">
        <v>1051</v>
      </c>
      <c r="I1792" t="s">
        <v>98</v>
      </c>
      <c r="J1792" t="s">
        <v>1650</v>
      </c>
      <c r="K1792" t="s">
        <v>285</v>
      </c>
      <c r="L1792" t="s">
        <v>327</v>
      </c>
    </row>
    <row r="1793" spans="1:12">
      <c r="A1793" t="s">
        <v>318</v>
      </c>
      <c r="B1793" t="s">
        <v>1624</v>
      </c>
      <c r="C1793" t="s">
        <v>1401</v>
      </c>
      <c r="D1793" s="28">
        <v>7613000019913</v>
      </c>
      <c r="E1793" s="29" t="s">
        <v>371</v>
      </c>
      <c r="F1793" s="29" t="s">
        <v>372</v>
      </c>
      <c r="G1793">
        <v>13</v>
      </c>
      <c r="H1793" t="s">
        <v>1051</v>
      </c>
      <c r="I1793" t="s">
        <v>98</v>
      </c>
      <c r="J1793" t="s">
        <v>1650</v>
      </c>
      <c r="K1793" t="s">
        <v>285</v>
      </c>
      <c r="L1793" t="s">
        <v>327</v>
      </c>
    </row>
    <row r="1794" spans="1:12">
      <c r="A1794" t="s">
        <v>318</v>
      </c>
      <c r="B1794" t="s">
        <v>1624</v>
      </c>
      <c r="C1794" t="s">
        <v>1739</v>
      </c>
      <c r="D1794" s="28">
        <v>7613000019922</v>
      </c>
      <c r="E1794" s="29" t="s">
        <v>441</v>
      </c>
      <c r="F1794" s="29" t="s">
        <v>372</v>
      </c>
      <c r="G1794">
        <v>65</v>
      </c>
      <c r="H1794" t="s">
        <v>1051</v>
      </c>
      <c r="I1794" t="s">
        <v>98</v>
      </c>
      <c r="J1794" t="s">
        <v>1650</v>
      </c>
      <c r="K1794" t="s">
        <v>285</v>
      </c>
      <c r="L1794" t="s">
        <v>1090</v>
      </c>
    </row>
    <row r="1795" spans="1:12">
      <c r="A1795" t="s">
        <v>318</v>
      </c>
      <c r="B1795" t="s">
        <v>1624</v>
      </c>
      <c r="C1795" t="s">
        <v>1410</v>
      </c>
      <c r="D1795" s="28">
        <v>7613000019960</v>
      </c>
      <c r="E1795" s="29" t="s">
        <v>371</v>
      </c>
      <c r="F1795" s="29" t="s">
        <v>372</v>
      </c>
      <c r="G1795">
        <v>13</v>
      </c>
      <c r="H1795" t="s">
        <v>1051</v>
      </c>
      <c r="I1795" t="s">
        <v>98</v>
      </c>
      <c r="J1795" t="s">
        <v>1650</v>
      </c>
      <c r="K1795" t="s">
        <v>285</v>
      </c>
      <c r="L1795" t="s">
        <v>327</v>
      </c>
    </row>
    <row r="1796" spans="1:12">
      <c r="A1796" t="s">
        <v>318</v>
      </c>
      <c r="B1796" t="s">
        <v>1624</v>
      </c>
      <c r="C1796" t="s">
        <v>1740</v>
      </c>
      <c r="D1796" s="28">
        <v>7613000019965</v>
      </c>
      <c r="E1796" s="29" t="s">
        <v>371</v>
      </c>
      <c r="F1796" s="29" t="s">
        <v>372</v>
      </c>
      <c r="G1796">
        <v>13</v>
      </c>
      <c r="H1796" t="s">
        <v>1051</v>
      </c>
      <c r="I1796" t="s">
        <v>98</v>
      </c>
      <c r="J1796" t="s">
        <v>1650</v>
      </c>
      <c r="K1796" t="s">
        <v>285</v>
      </c>
      <c r="L1796" t="s">
        <v>327</v>
      </c>
    </row>
    <row r="1797" spans="1:12">
      <c r="A1797" t="s">
        <v>318</v>
      </c>
      <c r="B1797" t="s">
        <v>1624</v>
      </c>
      <c r="C1797" t="s">
        <v>1741</v>
      </c>
      <c r="D1797" s="28">
        <v>7613000019977</v>
      </c>
      <c r="E1797" s="29" t="s">
        <v>1045</v>
      </c>
      <c r="F1797" s="29" t="s">
        <v>372</v>
      </c>
      <c r="G1797">
        <v>15</v>
      </c>
      <c r="H1797" t="s">
        <v>1051</v>
      </c>
      <c r="I1797" t="s">
        <v>98</v>
      </c>
      <c r="J1797" t="s">
        <v>1650</v>
      </c>
      <c r="K1797" t="s">
        <v>285</v>
      </c>
      <c r="L1797" t="s">
        <v>327</v>
      </c>
    </row>
    <row r="1798" spans="1:12">
      <c r="A1798" t="s">
        <v>318</v>
      </c>
      <c r="B1798" t="s">
        <v>1624</v>
      </c>
      <c r="C1798" t="s">
        <v>1742</v>
      </c>
      <c r="D1798" s="28">
        <v>7613000019982</v>
      </c>
      <c r="E1798" s="29" t="s">
        <v>1045</v>
      </c>
      <c r="F1798" s="29" t="s">
        <v>372</v>
      </c>
      <c r="G1798">
        <v>15</v>
      </c>
      <c r="H1798" t="s">
        <v>1051</v>
      </c>
      <c r="I1798" t="s">
        <v>98</v>
      </c>
      <c r="J1798" t="s">
        <v>1650</v>
      </c>
      <c r="K1798" t="s">
        <v>285</v>
      </c>
      <c r="L1798" t="s">
        <v>327</v>
      </c>
    </row>
    <row r="1799" spans="1:12">
      <c r="A1799" t="s">
        <v>318</v>
      </c>
      <c r="B1799" t="s">
        <v>1624</v>
      </c>
      <c r="C1799" t="s">
        <v>411</v>
      </c>
      <c r="D1799" s="28">
        <v>7652000020901</v>
      </c>
      <c r="E1799" s="29" t="s">
        <v>368</v>
      </c>
      <c r="F1799" s="29" t="s">
        <v>364</v>
      </c>
      <c r="G1799">
        <v>240</v>
      </c>
      <c r="H1799" t="s">
        <v>323</v>
      </c>
      <c r="I1799" t="s">
        <v>98</v>
      </c>
      <c r="J1799" t="s">
        <v>1706</v>
      </c>
      <c r="K1799" t="s">
        <v>394</v>
      </c>
      <c r="L1799" t="s">
        <v>327</v>
      </c>
    </row>
    <row r="1800" spans="1:12">
      <c r="A1800" t="s">
        <v>318</v>
      </c>
      <c r="B1800" t="s">
        <v>1624</v>
      </c>
      <c r="C1800" t="s">
        <v>1743</v>
      </c>
      <c r="D1800" s="28">
        <v>7652000113305</v>
      </c>
      <c r="E1800" s="29" t="s">
        <v>368</v>
      </c>
      <c r="F1800" s="29" t="s">
        <v>364</v>
      </c>
      <c r="G1800">
        <v>393</v>
      </c>
      <c r="H1800" t="s">
        <v>323</v>
      </c>
      <c r="I1800" t="s">
        <v>98</v>
      </c>
      <c r="J1800" t="s">
        <v>1706</v>
      </c>
      <c r="K1800" t="s">
        <v>394</v>
      </c>
      <c r="L1800" t="s">
        <v>327</v>
      </c>
    </row>
    <row r="1801" spans="1:12">
      <c r="A1801" t="s">
        <v>318</v>
      </c>
      <c r="B1801" t="s">
        <v>1624</v>
      </c>
      <c r="C1801" t="s">
        <v>1744</v>
      </c>
      <c r="D1801" s="28">
        <v>7656300051353</v>
      </c>
      <c r="E1801" s="29" t="s">
        <v>987</v>
      </c>
      <c r="F1801" s="29" t="s">
        <v>364</v>
      </c>
      <c r="G1801">
        <v>160</v>
      </c>
      <c r="H1801" t="s">
        <v>323</v>
      </c>
      <c r="I1801" t="s">
        <v>98</v>
      </c>
      <c r="J1801" t="s">
        <v>1625</v>
      </c>
      <c r="K1801" t="s">
        <v>989</v>
      </c>
      <c r="L1801" t="s">
        <v>327</v>
      </c>
    </row>
    <row r="1802" spans="1:12">
      <c r="A1802" t="s">
        <v>318</v>
      </c>
      <c r="B1802" t="s">
        <v>1624</v>
      </c>
      <c r="C1802" t="s">
        <v>1745</v>
      </c>
      <c r="D1802" s="28">
        <v>7613000051668</v>
      </c>
      <c r="E1802" s="29" t="s">
        <v>441</v>
      </c>
      <c r="F1802" s="29" t="s">
        <v>372</v>
      </c>
      <c r="G1802">
        <v>130</v>
      </c>
      <c r="H1802" t="s">
        <v>323</v>
      </c>
      <c r="I1802" t="s">
        <v>98</v>
      </c>
      <c r="J1802" t="s">
        <v>1650</v>
      </c>
      <c r="K1802" t="s">
        <v>285</v>
      </c>
      <c r="L1802" t="s">
        <v>327</v>
      </c>
    </row>
    <row r="1803" spans="1:12">
      <c r="A1803" t="s">
        <v>318</v>
      </c>
      <c r="B1803" t="s">
        <v>1624</v>
      </c>
      <c r="C1803" t="s">
        <v>1403</v>
      </c>
      <c r="D1803" s="28">
        <v>7613000051673</v>
      </c>
      <c r="E1803" s="29" t="s">
        <v>441</v>
      </c>
      <c r="F1803" s="29" t="s">
        <v>372</v>
      </c>
      <c r="G1803">
        <v>130</v>
      </c>
      <c r="H1803" t="s">
        <v>323</v>
      </c>
      <c r="I1803" t="s">
        <v>98</v>
      </c>
      <c r="J1803" t="s">
        <v>1650</v>
      </c>
      <c r="K1803" t="s">
        <v>285</v>
      </c>
      <c r="L1803" t="s">
        <v>327</v>
      </c>
    </row>
    <row r="1804" spans="1:12">
      <c r="A1804" t="s">
        <v>318</v>
      </c>
      <c r="B1804" t="s">
        <v>1624</v>
      </c>
      <c r="C1804" t="s">
        <v>1746</v>
      </c>
      <c r="D1804" s="28">
        <v>7627500065461</v>
      </c>
      <c r="E1804" s="29" t="s">
        <v>371</v>
      </c>
      <c r="F1804" s="29" t="s">
        <v>372</v>
      </c>
      <c r="G1804">
        <v>12</v>
      </c>
      <c r="H1804" t="s">
        <v>1051</v>
      </c>
      <c r="I1804" t="s">
        <v>98</v>
      </c>
      <c r="J1804" t="s">
        <v>1644</v>
      </c>
      <c r="K1804" t="s">
        <v>285</v>
      </c>
      <c r="L1804" t="s">
        <v>327</v>
      </c>
    </row>
    <row r="1805" spans="1:12">
      <c r="A1805" t="s">
        <v>318</v>
      </c>
      <c r="B1805" t="s">
        <v>1624</v>
      </c>
      <c r="C1805" t="s">
        <v>972</v>
      </c>
      <c r="D1805" s="28">
        <v>7627500065524</v>
      </c>
      <c r="E1805" s="29" t="s">
        <v>371</v>
      </c>
      <c r="F1805" s="29" t="s">
        <v>372</v>
      </c>
      <c r="G1805">
        <v>10</v>
      </c>
      <c r="H1805" t="s">
        <v>1051</v>
      </c>
      <c r="I1805" t="s">
        <v>98</v>
      </c>
      <c r="J1805" t="s">
        <v>1644</v>
      </c>
      <c r="K1805" t="s">
        <v>1226</v>
      </c>
      <c r="L1805" t="s">
        <v>327</v>
      </c>
    </row>
    <row r="1806" spans="1:12">
      <c r="A1806" t="s">
        <v>318</v>
      </c>
      <c r="B1806" t="s">
        <v>1624</v>
      </c>
      <c r="C1806" t="s">
        <v>1747</v>
      </c>
      <c r="D1806" s="28">
        <v>7627500065562</v>
      </c>
      <c r="E1806" s="29" t="s">
        <v>371</v>
      </c>
      <c r="F1806" s="29" t="s">
        <v>372</v>
      </c>
      <c r="G1806">
        <v>12</v>
      </c>
      <c r="H1806" t="s">
        <v>1051</v>
      </c>
      <c r="I1806" t="s">
        <v>98</v>
      </c>
      <c r="J1806" t="s">
        <v>1644</v>
      </c>
      <c r="K1806" t="s">
        <v>285</v>
      </c>
      <c r="L1806" t="s">
        <v>327</v>
      </c>
    </row>
    <row r="1807" spans="1:12">
      <c r="A1807" t="s">
        <v>318</v>
      </c>
      <c r="B1807" t="s">
        <v>1624</v>
      </c>
      <c r="C1807" t="s">
        <v>389</v>
      </c>
      <c r="D1807" s="28">
        <v>7627500065563</v>
      </c>
      <c r="E1807" s="29" t="s">
        <v>371</v>
      </c>
      <c r="F1807" s="29" t="s">
        <v>372</v>
      </c>
      <c r="G1807">
        <v>10</v>
      </c>
      <c r="H1807" t="s">
        <v>1051</v>
      </c>
      <c r="I1807" t="s">
        <v>98</v>
      </c>
      <c r="J1807" t="s">
        <v>1644</v>
      </c>
      <c r="K1807" t="s">
        <v>1226</v>
      </c>
      <c r="L1807" t="s">
        <v>327</v>
      </c>
    </row>
    <row r="1808" spans="1:12">
      <c r="A1808" t="s">
        <v>318</v>
      </c>
      <c r="B1808" t="s">
        <v>1624</v>
      </c>
      <c r="C1808" t="s">
        <v>1073</v>
      </c>
      <c r="D1808" s="28">
        <v>7627500065565</v>
      </c>
      <c r="E1808" s="29" t="s">
        <v>371</v>
      </c>
      <c r="F1808" s="29" t="s">
        <v>372</v>
      </c>
      <c r="G1808">
        <v>13</v>
      </c>
      <c r="H1808" t="s">
        <v>1051</v>
      </c>
      <c r="I1808" t="s">
        <v>98</v>
      </c>
      <c r="J1808" t="s">
        <v>1644</v>
      </c>
      <c r="K1808" t="s">
        <v>285</v>
      </c>
      <c r="L1808" t="s">
        <v>327</v>
      </c>
    </row>
    <row r="1809" spans="1:12">
      <c r="A1809" t="s">
        <v>318</v>
      </c>
      <c r="B1809" t="s">
        <v>1624</v>
      </c>
      <c r="C1809" t="s">
        <v>1748</v>
      </c>
      <c r="D1809" s="28">
        <v>7627500065566</v>
      </c>
      <c r="E1809" s="29" t="s">
        <v>371</v>
      </c>
      <c r="F1809" s="29" t="s">
        <v>372</v>
      </c>
      <c r="G1809">
        <v>12</v>
      </c>
      <c r="H1809" t="s">
        <v>1051</v>
      </c>
      <c r="I1809" t="s">
        <v>98</v>
      </c>
      <c r="J1809" t="s">
        <v>1644</v>
      </c>
      <c r="K1809" t="s">
        <v>285</v>
      </c>
      <c r="L1809" t="s">
        <v>327</v>
      </c>
    </row>
    <row r="1810" spans="1:12">
      <c r="A1810" t="s">
        <v>318</v>
      </c>
      <c r="B1810" t="s">
        <v>1624</v>
      </c>
      <c r="C1810" t="s">
        <v>1749</v>
      </c>
      <c r="D1810" s="28">
        <v>7627500065632</v>
      </c>
      <c r="E1810" s="29" t="s">
        <v>371</v>
      </c>
      <c r="F1810" s="29" t="s">
        <v>372</v>
      </c>
      <c r="G1810">
        <v>10</v>
      </c>
      <c r="H1810" t="s">
        <v>1051</v>
      </c>
      <c r="I1810" t="s">
        <v>98</v>
      </c>
      <c r="J1810" t="s">
        <v>1644</v>
      </c>
      <c r="K1810" t="s">
        <v>1226</v>
      </c>
      <c r="L1810" t="s">
        <v>327</v>
      </c>
    </row>
    <row r="1811" spans="1:12">
      <c r="A1811" t="s">
        <v>318</v>
      </c>
      <c r="B1811" t="s">
        <v>1624</v>
      </c>
      <c r="C1811" t="s">
        <v>1505</v>
      </c>
      <c r="D1811" s="28">
        <v>7627500065637</v>
      </c>
      <c r="E1811" s="29" t="s">
        <v>371</v>
      </c>
      <c r="F1811" s="29" t="s">
        <v>372</v>
      </c>
      <c r="G1811">
        <v>12</v>
      </c>
      <c r="H1811" t="s">
        <v>1051</v>
      </c>
      <c r="I1811" t="s">
        <v>98</v>
      </c>
      <c r="J1811" t="s">
        <v>1644</v>
      </c>
      <c r="K1811" t="s">
        <v>285</v>
      </c>
      <c r="L1811" t="s">
        <v>327</v>
      </c>
    </row>
    <row r="1812" spans="1:12">
      <c r="A1812" t="s">
        <v>318</v>
      </c>
      <c r="B1812" t="s">
        <v>1624</v>
      </c>
      <c r="C1812" t="s">
        <v>1750</v>
      </c>
      <c r="D1812" s="28">
        <v>7627500065654</v>
      </c>
      <c r="E1812" s="29" t="s">
        <v>371</v>
      </c>
      <c r="F1812" s="29" t="s">
        <v>372</v>
      </c>
      <c r="G1812">
        <v>7</v>
      </c>
      <c r="H1812" t="s">
        <v>1051</v>
      </c>
      <c r="I1812" t="s">
        <v>98</v>
      </c>
      <c r="J1812" t="s">
        <v>1644</v>
      </c>
      <c r="K1812" t="s">
        <v>285</v>
      </c>
      <c r="L1812" t="s">
        <v>327</v>
      </c>
    </row>
    <row r="1813" spans="1:12">
      <c r="A1813" t="s">
        <v>318</v>
      </c>
      <c r="B1813" t="s">
        <v>1624</v>
      </c>
      <c r="C1813" t="s">
        <v>1751</v>
      </c>
      <c r="D1813" s="28">
        <v>7627500065666</v>
      </c>
      <c r="E1813" s="29" t="s">
        <v>371</v>
      </c>
      <c r="F1813" s="29" t="s">
        <v>372</v>
      </c>
      <c r="G1813">
        <v>9</v>
      </c>
      <c r="H1813" t="s">
        <v>1051</v>
      </c>
      <c r="I1813" t="s">
        <v>98</v>
      </c>
      <c r="J1813" t="s">
        <v>1644</v>
      </c>
      <c r="K1813" t="s">
        <v>285</v>
      </c>
      <c r="L1813" t="s">
        <v>327</v>
      </c>
    </row>
    <row r="1814" spans="1:12">
      <c r="A1814" t="s">
        <v>318</v>
      </c>
      <c r="B1814" t="s">
        <v>1624</v>
      </c>
      <c r="C1814" t="s">
        <v>1752</v>
      </c>
      <c r="D1814" s="28">
        <v>7627500065681</v>
      </c>
      <c r="E1814" s="29" t="s">
        <v>371</v>
      </c>
      <c r="F1814" s="29" t="s">
        <v>372</v>
      </c>
      <c r="G1814">
        <v>13</v>
      </c>
      <c r="H1814" t="s">
        <v>1051</v>
      </c>
      <c r="I1814" t="s">
        <v>98</v>
      </c>
      <c r="J1814" t="s">
        <v>1644</v>
      </c>
      <c r="K1814" t="s">
        <v>285</v>
      </c>
      <c r="L1814" t="s">
        <v>327</v>
      </c>
    </row>
    <row r="1815" spans="1:12">
      <c r="A1815" t="s">
        <v>318</v>
      </c>
      <c r="B1815" t="s">
        <v>1624</v>
      </c>
      <c r="C1815" t="s">
        <v>1753</v>
      </c>
      <c r="D1815" s="28">
        <v>7613000114425</v>
      </c>
      <c r="E1815" s="29" t="s">
        <v>393</v>
      </c>
      <c r="F1815" s="29" t="s">
        <v>372</v>
      </c>
      <c r="G1815">
        <v>13</v>
      </c>
      <c r="H1815" t="s">
        <v>1051</v>
      </c>
      <c r="I1815" t="s">
        <v>98</v>
      </c>
      <c r="J1815" t="s">
        <v>1650</v>
      </c>
      <c r="K1815" t="s">
        <v>394</v>
      </c>
      <c r="L1815" t="s">
        <v>327</v>
      </c>
    </row>
    <row r="1816" spans="1:12">
      <c r="A1816" t="s">
        <v>318</v>
      </c>
      <c r="B1816" t="s">
        <v>1624</v>
      </c>
      <c r="C1816" t="s">
        <v>1754</v>
      </c>
      <c r="D1816" s="28">
        <v>7613000130400</v>
      </c>
      <c r="E1816" s="29" t="s">
        <v>393</v>
      </c>
      <c r="F1816" s="29" t="s">
        <v>372</v>
      </c>
      <c r="G1816">
        <v>40</v>
      </c>
      <c r="H1816" t="s">
        <v>1051</v>
      </c>
      <c r="I1816" t="s">
        <v>98</v>
      </c>
      <c r="J1816" t="s">
        <v>1650</v>
      </c>
      <c r="K1816" t="s">
        <v>394</v>
      </c>
      <c r="L1816" t="s">
        <v>327</v>
      </c>
    </row>
    <row r="1817" spans="1:12">
      <c r="A1817" t="s">
        <v>318</v>
      </c>
      <c r="B1817" t="s">
        <v>1624</v>
      </c>
      <c r="C1817" t="s">
        <v>1755</v>
      </c>
      <c r="D1817" s="28">
        <v>7613000130441</v>
      </c>
      <c r="E1817" s="29" t="s">
        <v>393</v>
      </c>
      <c r="F1817" s="29" t="s">
        <v>372</v>
      </c>
      <c r="G1817">
        <v>11</v>
      </c>
      <c r="H1817" t="s">
        <v>1051</v>
      </c>
      <c r="I1817" t="s">
        <v>98</v>
      </c>
      <c r="J1817" t="s">
        <v>1650</v>
      </c>
      <c r="K1817" t="s">
        <v>394</v>
      </c>
      <c r="L1817" t="s">
        <v>327</v>
      </c>
    </row>
    <row r="1818" spans="1:12">
      <c r="A1818" t="s">
        <v>318</v>
      </c>
      <c r="B1818" t="s">
        <v>1624</v>
      </c>
      <c r="C1818" t="s">
        <v>1756</v>
      </c>
      <c r="D1818" s="28">
        <v>7613000130464</v>
      </c>
      <c r="E1818" s="29" t="s">
        <v>393</v>
      </c>
      <c r="F1818" s="29" t="s">
        <v>372</v>
      </c>
      <c r="G1818">
        <v>76</v>
      </c>
      <c r="H1818" t="s">
        <v>1051</v>
      </c>
      <c r="I1818" t="s">
        <v>98</v>
      </c>
      <c r="J1818" t="s">
        <v>1650</v>
      </c>
      <c r="K1818" t="s">
        <v>369</v>
      </c>
      <c r="L1818" t="s">
        <v>327</v>
      </c>
    </row>
    <row r="1819" spans="1:12">
      <c r="A1819" t="s">
        <v>318</v>
      </c>
      <c r="B1819" t="s">
        <v>1624</v>
      </c>
      <c r="C1819" t="s">
        <v>1757</v>
      </c>
      <c r="D1819" s="28">
        <v>7613000130742</v>
      </c>
      <c r="E1819" s="29" t="s">
        <v>393</v>
      </c>
      <c r="F1819" s="29" t="s">
        <v>372</v>
      </c>
      <c r="G1819">
        <v>14</v>
      </c>
      <c r="H1819" t="s">
        <v>1051</v>
      </c>
      <c r="I1819" t="s">
        <v>98</v>
      </c>
      <c r="J1819" t="s">
        <v>1650</v>
      </c>
      <c r="K1819" t="s">
        <v>394</v>
      </c>
      <c r="L1819" t="s">
        <v>327</v>
      </c>
    </row>
    <row r="1820" spans="1:12">
      <c r="A1820" t="s">
        <v>318</v>
      </c>
      <c r="B1820" t="s">
        <v>1624</v>
      </c>
      <c r="C1820" t="s">
        <v>1099</v>
      </c>
      <c r="D1820" s="28">
        <v>7613000130754</v>
      </c>
      <c r="E1820" s="29" t="s">
        <v>393</v>
      </c>
      <c r="F1820" s="29" t="s">
        <v>372</v>
      </c>
      <c r="G1820">
        <v>32</v>
      </c>
      <c r="H1820" t="s">
        <v>1051</v>
      </c>
      <c r="I1820" t="s">
        <v>98</v>
      </c>
      <c r="J1820" t="s">
        <v>1650</v>
      </c>
      <c r="K1820" t="s">
        <v>365</v>
      </c>
      <c r="L1820" t="s">
        <v>327</v>
      </c>
    </row>
    <row r="1821" spans="1:12">
      <c r="A1821" t="s">
        <v>318</v>
      </c>
      <c r="B1821" t="s">
        <v>1624</v>
      </c>
      <c r="C1821" t="s">
        <v>1758</v>
      </c>
      <c r="D1821" s="28">
        <v>7613000130790</v>
      </c>
      <c r="E1821" s="29" t="s">
        <v>393</v>
      </c>
      <c r="F1821" s="29" t="s">
        <v>372</v>
      </c>
      <c r="G1821">
        <v>36</v>
      </c>
      <c r="H1821" t="s">
        <v>1051</v>
      </c>
      <c r="I1821" t="s">
        <v>98</v>
      </c>
      <c r="J1821" t="s">
        <v>1650</v>
      </c>
      <c r="K1821" t="s">
        <v>394</v>
      </c>
      <c r="L1821" t="s">
        <v>327</v>
      </c>
    </row>
    <row r="1822" spans="1:12">
      <c r="A1822" t="s">
        <v>318</v>
      </c>
      <c r="B1822" t="s">
        <v>1624</v>
      </c>
      <c r="C1822" t="s">
        <v>1759</v>
      </c>
      <c r="D1822" s="28">
        <v>7613000135078</v>
      </c>
      <c r="E1822" s="29" t="s">
        <v>393</v>
      </c>
      <c r="F1822" s="29" t="s">
        <v>372</v>
      </c>
      <c r="G1822">
        <v>14</v>
      </c>
      <c r="H1822" t="s">
        <v>1051</v>
      </c>
      <c r="I1822" t="s">
        <v>98</v>
      </c>
      <c r="J1822" t="s">
        <v>1650</v>
      </c>
      <c r="K1822" t="s">
        <v>369</v>
      </c>
      <c r="L1822" t="s">
        <v>327</v>
      </c>
    </row>
    <row r="1823" spans="1:12">
      <c r="A1823" t="s">
        <v>318</v>
      </c>
      <c r="B1823" t="s">
        <v>1624</v>
      </c>
      <c r="C1823" t="s">
        <v>1760</v>
      </c>
      <c r="D1823" s="28">
        <v>7613000135087</v>
      </c>
      <c r="E1823" s="29" t="s">
        <v>393</v>
      </c>
      <c r="F1823" s="29" t="s">
        <v>372</v>
      </c>
      <c r="G1823">
        <v>76</v>
      </c>
      <c r="H1823" t="s">
        <v>1051</v>
      </c>
      <c r="I1823" t="s">
        <v>98</v>
      </c>
      <c r="J1823" t="s">
        <v>1650</v>
      </c>
      <c r="K1823" t="s">
        <v>394</v>
      </c>
      <c r="L1823" t="s">
        <v>327</v>
      </c>
    </row>
    <row r="1824" spans="1:12">
      <c r="A1824" t="s">
        <v>318</v>
      </c>
      <c r="B1824" t="s">
        <v>1624</v>
      </c>
      <c r="C1824" t="s">
        <v>1761</v>
      </c>
      <c r="D1824" s="28">
        <v>7613000135090</v>
      </c>
      <c r="E1824" s="29" t="s">
        <v>393</v>
      </c>
      <c r="F1824" s="29" t="s">
        <v>372</v>
      </c>
      <c r="G1824">
        <v>13</v>
      </c>
      <c r="H1824" t="s">
        <v>1051</v>
      </c>
      <c r="I1824" t="s">
        <v>98</v>
      </c>
      <c r="J1824" t="s">
        <v>1650</v>
      </c>
      <c r="K1824" t="s">
        <v>394</v>
      </c>
      <c r="L1824" t="s">
        <v>327</v>
      </c>
    </row>
    <row r="1825" spans="1:12">
      <c r="A1825" t="s">
        <v>318</v>
      </c>
      <c r="B1825" t="s">
        <v>1624</v>
      </c>
      <c r="C1825" t="s">
        <v>1762</v>
      </c>
      <c r="D1825" s="28">
        <v>7613000135093</v>
      </c>
      <c r="E1825" s="29" t="s">
        <v>393</v>
      </c>
      <c r="F1825" s="29" t="s">
        <v>372</v>
      </c>
      <c r="G1825">
        <v>36</v>
      </c>
      <c r="H1825" t="s">
        <v>1051</v>
      </c>
      <c r="I1825" t="s">
        <v>98</v>
      </c>
      <c r="J1825" t="s">
        <v>1650</v>
      </c>
      <c r="K1825" t="s">
        <v>394</v>
      </c>
      <c r="L1825" t="s">
        <v>327</v>
      </c>
    </row>
    <row r="1826" spans="1:12">
      <c r="A1826" t="s">
        <v>318</v>
      </c>
      <c r="B1826" t="s">
        <v>1624</v>
      </c>
      <c r="C1826" t="s">
        <v>1763</v>
      </c>
      <c r="D1826" s="28">
        <v>7613000135096</v>
      </c>
      <c r="E1826" s="29" t="s">
        <v>393</v>
      </c>
      <c r="F1826" s="29" t="s">
        <v>372</v>
      </c>
      <c r="G1826">
        <v>36</v>
      </c>
      <c r="H1826" t="s">
        <v>1051</v>
      </c>
      <c r="I1826" t="s">
        <v>98</v>
      </c>
      <c r="J1826" t="s">
        <v>1650</v>
      </c>
      <c r="K1826" t="s">
        <v>394</v>
      </c>
      <c r="L1826" t="s">
        <v>327</v>
      </c>
    </row>
    <row r="1827" spans="1:12">
      <c r="A1827" t="s">
        <v>318</v>
      </c>
      <c r="B1827" t="s">
        <v>1624</v>
      </c>
      <c r="C1827" t="s">
        <v>1764</v>
      </c>
      <c r="D1827" s="28">
        <v>761301123755</v>
      </c>
      <c r="E1827" s="29" t="s">
        <v>393</v>
      </c>
      <c r="F1827" s="29" t="s">
        <v>372</v>
      </c>
      <c r="G1827">
        <v>16</v>
      </c>
      <c r="H1827" t="s">
        <v>1051</v>
      </c>
      <c r="I1827" t="s">
        <v>98</v>
      </c>
      <c r="J1827" t="s">
        <v>1650</v>
      </c>
      <c r="K1827" t="s">
        <v>394</v>
      </c>
      <c r="L1827" t="s">
        <v>327</v>
      </c>
    </row>
    <row r="1828" spans="1:12">
      <c r="A1828" t="s">
        <v>318</v>
      </c>
      <c r="B1828" t="s">
        <v>1624</v>
      </c>
      <c r="C1828" t="s">
        <v>1765</v>
      </c>
      <c r="D1828" s="28">
        <v>761301123943</v>
      </c>
      <c r="E1828" s="29" t="s">
        <v>393</v>
      </c>
      <c r="F1828" s="29" t="s">
        <v>372</v>
      </c>
      <c r="G1828">
        <v>13</v>
      </c>
      <c r="H1828" t="s">
        <v>1051</v>
      </c>
      <c r="I1828" t="s">
        <v>98</v>
      </c>
      <c r="J1828" t="s">
        <v>1650</v>
      </c>
      <c r="K1828" t="s">
        <v>394</v>
      </c>
      <c r="L1828" t="s">
        <v>327</v>
      </c>
    </row>
    <row r="1829" spans="1:12">
      <c r="A1829" t="s">
        <v>318</v>
      </c>
      <c r="B1829" t="s">
        <v>1624</v>
      </c>
      <c r="C1829" t="s">
        <v>1766</v>
      </c>
      <c r="D1829" s="28">
        <v>761301136755</v>
      </c>
      <c r="E1829" s="29" t="s">
        <v>393</v>
      </c>
      <c r="F1829" s="29" t="s">
        <v>372</v>
      </c>
      <c r="G1829">
        <v>28</v>
      </c>
      <c r="H1829" t="s">
        <v>1051</v>
      </c>
      <c r="I1829" t="s">
        <v>98</v>
      </c>
      <c r="J1829" t="s">
        <v>1650</v>
      </c>
      <c r="K1829" t="s">
        <v>394</v>
      </c>
      <c r="L1829" t="s">
        <v>327</v>
      </c>
    </row>
    <row r="1830" spans="1:12">
      <c r="A1830" t="s">
        <v>318</v>
      </c>
      <c r="B1830" t="s">
        <v>1624</v>
      </c>
      <c r="C1830" t="s">
        <v>1101</v>
      </c>
      <c r="D1830" s="28">
        <v>761301136757</v>
      </c>
      <c r="E1830" s="29" t="s">
        <v>393</v>
      </c>
      <c r="F1830" s="29" t="s">
        <v>372</v>
      </c>
      <c r="G1830">
        <v>12</v>
      </c>
      <c r="H1830" t="s">
        <v>1051</v>
      </c>
      <c r="I1830" t="s">
        <v>98</v>
      </c>
      <c r="J1830" t="s">
        <v>1650</v>
      </c>
      <c r="K1830" t="s">
        <v>369</v>
      </c>
      <c r="L1830" t="s">
        <v>327</v>
      </c>
    </row>
    <row r="1831" spans="1:12">
      <c r="A1831" t="s">
        <v>318</v>
      </c>
      <c r="B1831" t="s">
        <v>1624</v>
      </c>
      <c r="C1831" t="s">
        <v>1767</v>
      </c>
      <c r="D1831" s="28">
        <v>761301136768</v>
      </c>
      <c r="E1831" s="29" t="s">
        <v>393</v>
      </c>
      <c r="F1831" s="29" t="s">
        <v>372</v>
      </c>
      <c r="G1831">
        <v>28</v>
      </c>
      <c r="H1831" t="s">
        <v>1051</v>
      </c>
      <c r="I1831" t="s">
        <v>98</v>
      </c>
      <c r="J1831" t="s">
        <v>1650</v>
      </c>
      <c r="K1831" t="s">
        <v>394</v>
      </c>
      <c r="L1831" t="s">
        <v>327</v>
      </c>
    </row>
    <row r="1832" spans="1:12">
      <c r="A1832" t="s">
        <v>318</v>
      </c>
      <c r="B1832" t="s">
        <v>1624</v>
      </c>
      <c r="C1832" t="s">
        <v>1768</v>
      </c>
      <c r="D1832" s="28">
        <v>761301136770</v>
      </c>
      <c r="E1832" s="29" t="s">
        <v>393</v>
      </c>
      <c r="F1832" s="29" t="s">
        <v>372</v>
      </c>
      <c r="G1832">
        <v>12</v>
      </c>
      <c r="H1832" t="s">
        <v>1051</v>
      </c>
      <c r="I1832" t="s">
        <v>98</v>
      </c>
      <c r="J1832" t="s">
        <v>1650</v>
      </c>
      <c r="K1832" t="s">
        <v>394</v>
      </c>
      <c r="L1832" t="s">
        <v>327</v>
      </c>
    </row>
    <row r="1833" spans="1:12">
      <c r="A1833" t="s">
        <v>318</v>
      </c>
      <c r="B1833" t="s">
        <v>1624</v>
      </c>
      <c r="C1833" t="s">
        <v>1769</v>
      </c>
      <c r="D1833" s="28">
        <v>761301138432</v>
      </c>
      <c r="E1833" s="29" t="s">
        <v>393</v>
      </c>
      <c r="F1833" s="29" t="s">
        <v>372</v>
      </c>
      <c r="G1833">
        <v>36</v>
      </c>
      <c r="H1833" t="s">
        <v>1051</v>
      </c>
      <c r="I1833" t="s">
        <v>98</v>
      </c>
      <c r="J1833" t="s">
        <v>1650</v>
      </c>
      <c r="K1833" t="s">
        <v>394</v>
      </c>
      <c r="L1833" t="s">
        <v>327</v>
      </c>
    </row>
    <row r="1834" spans="1:12">
      <c r="A1834" t="s">
        <v>318</v>
      </c>
      <c r="B1834" t="s">
        <v>1624</v>
      </c>
      <c r="C1834" t="s">
        <v>1770</v>
      </c>
      <c r="D1834" s="28">
        <v>761301139351</v>
      </c>
      <c r="E1834" s="29" t="s">
        <v>393</v>
      </c>
      <c r="F1834" s="29" t="s">
        <v>372</v>
      </c>
      <c r="G1834">
        <v>33</v>
      </c>
      <c r="H1834" t="s">
        <v>1051</v>
      </c>
      <c r="I1834" t="s">
        <v>98</v>
      </c>
      <c r="J1834" t="s">
        <v>1650</v>
      </c>
      <c r="K1834" t="s">
        <v>394</v>
      </c>
      <c r="L1834" t="s">
        <v>327</v>
      </c>
    </row>
    <row r="1835" spans="1:12">
      <c r="A1835" t="s">
        <v>318</v>
      </c>
      <c r="B1835" t="s">
        <v>1624</v>
      </c>
      <c r="C1835" t="s">
        <v>1771</v>
      </c>
      <c r="D1835" s="28">
        <v>761301148796</v>
      </c>
      <c r="E1835" s="29" t="s">
        <v>393</v>
      </c>
      <c r="F1835" s="29" t="s">
        <v>372</v>
      </c>
      <c r="G1835">
        <v>24</v>
      </c>
      <c r="H1835" t="s">
        <v>1051</v>
      </c>
      <c r="I1835" t="s">
        <v>98</v>
      </c>
      <c r="J1835" t="s">
        <v>1650</v>
      </c>
      <c r="K1835" t="s">
        <v>394</v>
      </c>
      <c r="L1835" t="s">
        <v>327</v>
      </c>
    </row>
    <row r="1836" spans="1:12">
      <c r="A1836" t="s">
        <v>318</v>
      </c>
      <c r="B1836" t="s">
        <v>1624</v>
      </c>
      <c r="C1836" t="s">
        <v>1772</v>
      </c>
      <c r="D1836" s="28">
        <v>7656300069260</v>
      </c>
      <c r="E1836" s="29" t="s">
        <v>368</v>
      </c>
      <c r="F1836" s="29" t="s">
        <v>364</v>
      </c>
      <c r="G1836">
        <v>160</v>
      </c>
      <c r="H1836" t="s">
        <v>323</v>
      </c>
      <c r="I1836" t="s">
        <v>98</v>
      </c>
      <c r="J1836" t="s">
        <v>1625</v>
      </c>
      <c r="K1836" t="s">
        <v>394</v>
      </c>
      <c r="L1836" t="s">
        <v>327</v>
      </c>
    </row>
    <row r="1837" spans="1:12">
      <c r="A1837" t="s">
        <v>318</v>
      </c>
      <c r="B1837" t="s">
        <v>1624</v>
      </c>
      <c r="C1837" t="s">
        <v>1773</v>
      </c>
      <c r="D1837" s="28">
        <v>7656300122511</v>
      </c>
      <c r="E1837" s="29" t="s">
        <v>393</v>
      </c>
      <c r="F1837" s="29" t="s">
        <v>372</v>
      </c>
      <c r="G1837">
        <v>80</v>
      </c>
      <c r="H1837" t="s">
        <v>323</v>
      </c>
      <c r="I1837" t="s">
        <v>98</v>
      </c>
      <c r="J1837" t="s">
        <v>1625</v>
      </c>
      <c r="K1837" t="s">
        <v>394</v>
      </c>
      <c r="L1837" t="s">
        <v>327</v>
      </c>
    </row>
    <row r="1838" spans="1:12">
      <c r="A1838" t="s">
        <v>318</v>
      </c>
      <c r="B1838" t="s">
        <v>1624</v>
      </c>
      <c r="C1838" t="s">
        <v>1659</v>
      </c>
      <c r="D1838" s="28">
        <v>7656300137557</v>
      </c>
      <c r="E1838" s="29" t="s">
        <v>393</v>
      </c>
      <c r="F1838" s="29" t="s">
        <v>372</v>
      </c>
      <c r="G1838">
        <v>32</v>
      </c>
      <c r="H1838" t="s">
        <v>323</v>
      </c>
      <c r="I1838" t="s">
        <v>98</v>
      </c>
      <c r="J1838" t="s">
        <v>1625</v>
      </c>
      <c r="K1838" t="s">
        <v>394</v>
      </c>
      <c r="L1838" t="s">
        <v>327</v>
      </c>
    </row>
    <row r="1839" spans="1:12">
      <c r="A1839" t="s">
        <v>318</v>
      </c>
      <c r="B1839" t="s">
        <v>1624</v>
      </c>
      <c r="C1839" t="s">
        <v>1774</v>
      </c>
      <c r="D1839" s="28">
        <v>7656300137559</v>
      </c>
      <c r="E1839" s="29" t="s">
        <v>393</v>
      </c>
      <c r="F1839" s="29" t="s">
        <v>372</v>
      </c>
      <c r="G1839">
        <v>32</v>
      </c>
      <c r="H1839" t="s">
        <v>323</v>
      </c>
      <c r="I1839" t="s">
        <v>98</v>
      </c>
      <c r="J1839" t="s">
        <v>1625</v>
      </c>
      <c r="K1839" t="s">
        <v>365</v>
      </c>
      <c r="L1839" t="s">
        <v>327</v>
      </c>
    </row>
    <row r="1840" spans="1:12">
      <c r="A1840" t="s">
        <v>318</v>
      </c>
      <c r="B1840" t="s">
        <v>1624</v>
      </c>
      <c r="C1840" t="s">
        <v>388</v>
      </c>
      <c r="D1840" s="28">
        <v>7656300137560</v>
      </c>
      <c r="E1840" s="29" t="s">
        <v>1248</v>
      </c>
      <c r="F1840" s="29" t="s">
        <v>322</v>
      </c>
      <c r="G1840">
        <v>48</v>
      </c>
      <c r="H1840" t="s">
        <v>323</v>
      </c>
      <c r="I1840" t="s">
        <v>98</v>
      </c>
      <c r="J1840" t="s">
        <v>1625</v>
      </c>
      <c r="K1840" t="s">
        <v>394</v>
      </c>
      <c r="L1840" t="s">
        <v>327</v>
      </c>
    </row>
    <row r="1841" spans="1:12">
      <c r="A1841" t="s">
        <v>318</v>
      </c>
      <c r="B1841" t="s">
        <v>1624</v>
      </c>
      <c r="C1841" t="s">
        <v>377</v>
      </c>
      <c r="D1841" s="28">
        <v>7656300137561</v>
      </c>
      <c r="E1841" s="29" t="s">
        <v>393</v>
      </c>
      <c r="F1841" s="29" t="s">
        <v>372</v>
      </c>
      <c r="G1841">
        <v>48</v>
      </c>
      <c r="H1841" t="s">
        <v>323</v>
      </c>
      <c r="I1841" t="s">
        <v>98</v>
      </c>
      <c r="J1841" t="s">
        <v>1625</v>
      </c>
      <c r="K1841" t="s">
        <v>394</v>
      </c>
      <c r="L1841" t="s">
        <v>327</v>
      </c>
    </row>
    <row r="1842" spans="1:12">
      <c r="A1842" t="s">
        <v>318</v>
      </c>
      <c r="B1842" t="s">
        <v>1624</v>
      </c>
      <c r="C1842" t="s">
        <v>1371</v>
      </c>
      <c r="D1842" s="28">
        <v>7656300137564</v>
      </c>
      <c r="E1842" s="29" t="s">
        <v>393</v>
      </c>
      <c r="F1842" s="29" t="s">
        <v>372</v>
      </c>
      <c r="G1842">
        <v>48</v>
      </c>
      <c r="H1842" t="s">
        <v>323</v>
      </c>
      <c r="I1842" t="s">
        <v>98</v>
      </c>
      <c r="J1842" t="s">
        <v>1625</v>
      </c>
      <c r="K1842" t="s">
        <v>365</v>
      </c>
      <c r="L1842" t="s">
        <v>327</v>
      </c>
    </row>
    <row r="1843" spans="1:12">
      <c r="A1843" t="s">
        <v>318</v>
      </c>
      <c r="B1843" t="s">
        <v>1624</v>
      </c>
      <c r="C1843" t="s">
        <v>1775</v>
      </c>
      <c r="D1843" s="28">
        <v>765631114262</v>
      </c>
      <c r="E1843" s="29" t="s">
        <v>393</v>
      </c>
      <c r="F1843" s="29" t="s">
        <v>372</v>
      </c>
      <c r="G1843">
        <v>80</v>
      </c>
      <c r="H1843" t="s">
        <v>323</v>
      </c>
      <c r="I1843" t="s">
        <v>98</v>
      </c>
      <c r="J1843" t="s">
        <v>1625</v>
      </c>
      <c r="K1843" t="s">
        <v>394</v>
      </c>
      <c r="L1843" t="s">
        <v>327</v>
      </c>
    </row>
    <row r="1844" spans="1:12">
      <c r="A1844" t="s">
        <v>318</v>
      </c>
      <c r="B1844" t="s">
        <v>1624</v>
      </c>
      <c r="C1844" t="s">
        <v>1776</v>
      </c>
      <c r="D1844" s="28">
        <v>765631128007</v>
      </c>
      <c r="E1844" s="29" t="s">
        <v>1248</v>
      </c>
      <c r="F1844" s="29" t="s">
        <v>322</v>
      </c>
      <c r="G1844">
        <v>34</v>
      </c>
      <c r="H1844" t="s">
        <v>323</v>
      </c>
      <c r="I1844" t="s">
        <v>98</v>
      </c>
      <c r="J1844" t="s">
        <v>1625</v>
      </c>
      <c r="K1844" t="s">
        <v>394</v>
      </c>
      <c r="L1844" t="s">
        <v>327</v>
      </c>
    </row>
    <row r="1845" spans="1:12">
      <c r="A1845" t="s">
        <v>318</v>
      </c>
      <c r="B1845" t="s">
        <v>1624</v>
      </c>
      <c r="C1845" t="s">
        <v>1777</v>
      </c>
      <c r="D1845" s="28">
        <v>765631128008</v>
      </c>
      <c r="E1845" s="29" t="s">
        <v>1248</v>
      </c>
      <c r="F1845" s="29" t="s">
        <v>322</v>
      </c>
      <c r="G1845">
        <v>34</v>
      </c>
      <c r="H1845" t="s">
        <v>323</v>
      </c>
      <c r="I1845" t="s">
        <v>98</v>
      </c>
      <c r="J1845" t="s">
        <v>1625</v>
      </c>
      <c r="K1845" t="s">
        <v>394</v>
      </c>
      <c r="L1845" t="s">
        <v>327</v>
      </c>
    </row>
    <row r="1846" spans="1:12">
      <c r="A1846" t="s">
        <v>318</v>
      </c>
      <c r="B1846" t="s">
        <v>1624</v>
      </c>
      <c r="C1846" t="s">
        <v>902</v>
      </c>
      <c r="D1846" s="28">
        <v>765631137042</v>
      </c>
      <c r="E1846" s="29" t="s">
        <v>393</v>
      </c>
      <c r="F1846" s="29" t="s">
        <v>372</v>
      </c>
      <c r="G1846">
        <v>34</v>
      </c>
      <c r="H1846" t="s">
        <v>323</v>
      </c>
      <c r="I1846" t="s">
        <v>98</v>
      </c>
      <c r="J1846" t="s">
        <v>1625</v>
      </c>
      <c r="K1846" t="s">
        <v>365</v>
      </c>
      <c r="L1846" t="s">
        <v>327</v>
      </c>
    </row>
    <row r="1847" spans="1:12">
      <c r="A1847" t="s">
        <v>318</v>
      </c>
      <c r="B1847" t="s">
        <v>1624</v>
      </c>
      <c r="C1847" t="s">
        <v>1297</v>
      </c>
      <c r="D1847" s="28">
        <v>765631137203</v>
      </c>
      <c r="E1847" s="29" t="s">
        <v>393</v>
      </c>
      <c r="F1847" s="29" t="s">
        <v>372</v>
      </c>
      <c r="G1847">
        <v>34</v>
      </c>
      <c r="H1847" t="s">
        <v>323</v>
      </c>
      <c r="I1847" t="s">
        <v>98</v>
      </c>
      <c r="J1847" t="s">
        <v>1625</v>
      </c>
      <c r="K1847" t="s">
        <v>365</v>
      </c>
      <c r="L1847" t="s">
        <v>327</v>
      </c>
    </row>
    <row r="1848" spans="1:12">
      <c r="A1848" t="s">
        <v>318</v>
      </c>
      <c r="B1848" t="s">
        <v>1624</v>
      </c>
      <c r="C1848" t="s">
        <v>1778</v>
      </c>
      <c r="D1848" s="28">
        <v>765631137205</v>
      </c>
      <c r="E1848" s="29" t="s">
        <v>393</v>
      </c>
      <c r="F1848" s="29" t="s">
        <v>372</v>
      </c>
      <c r="G1848">
        <v>34</v>
      </c>
      <c r="H1848" t="s">
        <v>323</v>
      </c>
      <c r="I1848" t="s">
        <v>98</v>
      </c>
      <c r="J1848" t="s">
        <v>1625</v>
      </c>
      <c r="K1848" t="s">
        <v>365</v>
      </c>
      <c r="L1848" t="s">
        <v>327</v>
      </c>
    </row>
    <row r="1849" spans="1:12">
      <c r="A1849" t="s">
        <v>318</v>
      </c>
      <c r="B1849" t="s">
        <v>1624</v>
      </c>
      <c r="C1849" t="s">
        <v>1779</v>
      </c>
      <c r="D1849" s="28">
        <v>765631137207</v>
      </c>
      <c r="E1849" s="29" t="s">
        <v>393</v>
      </c>
      <c r="F1849" s="29" t="s">
        <v>372</v>
      </c>
      <c r="G1849">
        <v>33</v>
      </c>
      <c r="H1849" t="s">
        <v>323</v>
      </c>
      <c r="I1849" t="s">
        <v>98</v>
      </c>
      <c r="J1849" t="s">
        <v>1625</v>
      </c>
      <c r="K1849" t="s">
        <v>365</v>
      </c>
      <c r="L1849" t="s">
        <v>327</v>
      </c>
    </row>
    <row r="1850" spans="1:12">
      <c r="A1850" t="s">
        <v>318</v>
      </c>
      <c r="B1850" t="s">
        <v>1624</v>
      </c>
      <c r="C1850" t="s">
        <v>1780</v>
      </c>
      <c r="D1850" s="28">
        <v>765631137208</v>
      </c>
      <c r="E1850" s="29" t="s">
        <v>393</v>
      </c>
      <c r="F1850" s="29" t="s">
        <v>372</v>
      </c>
      <c r="G1850">
        <v>34</v>
      </c>
      <c r="H1850" t="s">
        <v>323</v>
      </c>
      <c r="I1850" t="s">
        <v>98</v>
      </c>
      <c r="J1850" t="s">
        <v>1625</v>
      </c>
      <c r="K1850" t="s">
        <v>365</v>
      </c>
      <c r="L1850" t="s">
        <v>327</v>
      </c>
    </row>
    <row r="1851" spans="1:12">
      <c r="A1851" t="s">
        <v>318</v>
      </c>
      <c r="B1851" t="s">
        <v>1624</v>
      </c>
      <c r="C1851" t="s">
        <v>1781</v>
      </c>
      <c r="D1851" s="28">
        <v>765631137535</v>
      </c>
      <c r="E1851" s="29" t="s">
        <v>393</v>
      </c>
      <c r="F1851" s="29" t="s">
        <v>372</v>
      </c>
      <c r="G1851">
        <v>34</v>
      </c>
      <c r="H1851" t="s">
        <v>323</v>
      </c>
      <c r="I1851" t="s">
        <v>98</v>
      </c>
      <c r="J1851" t="s">
        <v>1625</v>
      </c>
      <c r="K1851" t="s">
        <v>365</v>
      </c>
      <c r="L1851" t="s">
        <v>327</v>
      </c>
    </row>
    <row r="1852" spans="1:12">
      <c r="A1852" t="s">
        <v>318</v>
      </c>
      <c r="B1852" t="s">
        <v>1624</v>
      </c>
      <c r="C1852" t="s">
        <v>1782</v>
      </c>
      <c r="D1852" s="28">
        <v>765631151083</v>
      </c>
      <c r="E1852" s="29" t="s">
        <v>393</v>
      </c>
      <c r="F1852" s="29" t="s">
        <v>372</v>
      </c>
      <c r="G1852">
        <v>16</v>
      </c>
      <c r="H1852" t="s">
        <v>323</v>
      </c>
      <c r="I1852" t="s">
        <v>98</v>
      </c>
      <c r="J1852" t="s">
        <v>1625</v>
      </c>
      <c r="K1852" t="s">
        <v>394</v>
      </c>
      <c r="L1852" t="s">
        <v>327</v>
      </c>
    </row>
    <row r="1853" spans="1:12">
      <c r="A1853" t="s">
        <v>318</v>
      </c>
      <c r="B1853" t="s">
        <v>1624</v>
      </c>
      <c r="C1853" t="s">
        <v>1783</v>
      </c>
      <c r="D1853" s="28">
        <v>7652000129783</v>
      </c>
      <c r="E1853" s="29" t="s">
        <v>393</v>
      </c>
      <c r="F1853" s="29" t="s">
        <v>372</v>
      </c>
      <c r="G1853">
        <v>40</v>
      </c>
      <c r="H1853" t="s">
        <v>1051</v>
      </c>
      <c r="I1853" t="s">
        <v>98</v>
      </c>
      <c r="J1853" t="s">
        <v>1706</v>
      </c>
      <c r="K1853" t="s">
        <v>365</v>
      </c>
      <c r="L1853" t="s">
        <v>327</v>
      </c>
    </row>
    <row r="1854" spans="1:12">
      <c r="A1854" t="s">
        <v>318</v>
      </c>
      <c r="B1854" t="s">
        <v>1624</v>
      </c>
      <c r="C1854" t="s">
        <v>1784</v>
      </c>
      <c r="D1854" s="28">
        <v>7652000129788</v>
      </c>
      <c r="E1854" s="29" t="s">
        <v>393</v>
      </c>
      <c r="F1854" s="29" t="s">
        <v>372</v>
      </c>
      <c r="G1854">
        <v>41</v>
      </c>
      <c r="H1854" t="s">
        <v>1051</v>
      </c>
      <c r="I1854" t="s">
        <v>98</v>
      </c>
      <c r="J1854" t="s">
        <v>1706</v>
      </c>
      <c r="K1854" t="s">
        <v>365</v>
      </c>
      <c r="L1854" t="s">
        <v>327</v>
      </c>
    </row>
    <row r="1855" spans="1:12">
      <c r="A1855" t="s">
        <v>318</v>
      </c>
      <c r="B1855" t="s">
        <v>1624</v>
      </c>
      <c r="C1855" t="s">
        <v>1785</v>
      </c>
      <c r="D1855" s="28">
        <v>7652000129793</v>
      </c>
      <c r="E1855" s="29" t="s">
        <v>393</v>
      </c>
      <c r="F1855" s="29" t="s">
        <v>372</v>
      </c>
      <c r="G1855">
        <v>40</v>
      </c>
      <c r="H1855" t="s">
        <v>323</v>
      </c>
      <c r="I1855" t="s">
        <v>98</v>
      </c>
      <c r="J1855" t="s">
        <v>1706</v>
      </c>
      <c r="K1855" t="s">
        <v>394</v>
      </c>
      <c r="L1855" t="s">
        <v>327</v>
      </c>
    </row>
    <row r="1856" spans="1:12">
      <c r="A1856" t="s">
        <v>318</v>
      </c>
      <c r="B1856" t="s">
        <v>1624</v>
      </c>
      <c r="C1856" t="s">
        <v>1786</v>
      </c>
      <c r="D1856" s="28">
        <v>7652000129839</v>
      </c>
      <c r="E1856" s="29" t="s">
        <v>393</v>
      </c>
      <c r="F1856" s="29" t="s">
        <v>372</v>
      </c>
      <c r="G1856">
        <v>40</v>
      </c>
      <c r="H1856" t="s">
        <v>1051</v>
      </c>
      <c r="I1856" t="s">
        <v>98</v>
      </c>
      <c r="J1856" t="s">
        <v>1706</v>
      </c>
      <c r="K1856" t="s">
        <v>365</v>
      </c>
      <c r="L1856" t="s">
        <v>327</v>
      </c>
    </row>
    <row r="1857" spans="1:12">
      <c r="A1857" t="s">
        <v>318</v>
      </c>
      <c r="B1857" t="s">
        <v>1624</v>
      </c>
      <c r="C1857" t="s">
        <v>1787</v>
      </c>
      <c r="D1857" s="28">
        <v>7652000129843</v>
      </c>
      <c r="E1857" s="29" t="s">
        <v>393</v>
      </c>
      <c r="F1857" s="29" t="s">
        <v>372</v>
      </c>
      <c r="G1857">
        <v>40</v>
      </c>
      <c r="H1857" t="s">
        <v>1051</v>
      </c>
      <c r="I1857" t="s">
        <v>98</v>
      </c>
      <c r="J1857" t="s">
        <v>1706</v>
      </c>
      <c r="K1857" t="s">
        <v>365</v>
      </c>
      <c r="L1857" t="s">
        <v>327</v>
      </c>
    </row>
    <row r="1858" spans="1:12">
      <c r="A1858" t="s">
        <v>318</v>
      </c>
      <c r="B1858" t="s">
        <v>1624</v>
      </c>
      <c r="C1858" t="s">
        <v>1788</v>
      </c>
      <c r="D1858" s="28">
        <v>7652000129845</v>
      </c>
      <c r="E1858" s="29" t="s">
        <v>393</v>
      </c>
      <c r="F1858" s="29" t="s">
        <v>372</v>
      </c>
      <c r="G1858">
        <v>41</v>
      </c>
      <c r="H1858" t="s">
        <v>1051</v>
      </c>
      <c r="I1858" t="s">
        <v>98</v>
      </c>
      <c r="J1858" t="s">
        <v>1706</v>
      </c>
      <c r="K1858" t="s">
        <v>394</v>
      </c>
      <c r="L1858" t="s">
        <v>327</v>
      </c>
    </row>
    <row r="1859" spans="1:12">
      <c r="A1859" t="s">
        <v>318</v>
      </c>
      <c r="B1859" t="s">
        <v>1624</v>
      </c>
      <c r="C1859" t="s">
        <v>448</v>
      </c>
      <c r="D1859" s="28">
        <v>7652000129852</v>
      </c>
      <c r="E1859" s="29" t="s">
        <v>393</v>
      </c>
      <c r="F1859" s="29" t="s">
        <v>372</v>
      </c>
      <c r="G1859">
        <v>41</v>
      </c>
      <c r="H1859" t="s">
        <v>1051</v>
      </c>
      <c r="I1859" t="s">
        <v>98</v>
      </c>
      <c r="J1859" t="s">
        <v>1706</v>
      </c>
      <c r="K1859" t="s">
        <v>365</v>
      </c>
      <c r="L1859" t="s">
        <v>327</v>
      </c>
    </row>
    <row r="1860" spans="1:12">
      <c r="A1860" t="s">
        <v>318</v>
      </c>
      <c r="B1860" t="s">
        <v>1624</v>
      </c>
      <c r="C1860" t="s">
        <v>1789</v>
      </c>
      <c r="D1860" s="28">
        <v>7652000129853</v>
      </c>
      <c r="E1860" s="29" t="s">
        <v>393</v>
      </c>
      <c r="F1860" s="29" t="s">
        <v>372</v>
      </c>
      <c r="G1860">
        <v>41</v>
      </c>
      <c r="H1860" t="s">
        <v>323</v>
      </c>
      <c r="I1860" t="s">
        <v>98</v>
      </c>
      <c r="J1860" t="s">
        <v>1706</v>
      </c>
      <c r="K1860" t="s">
        <v>365</v>
      </c>
      <c r="L1860" t="s">
        <v>327</v>
      </c>
    </row>
    <row r="1861" spans="1:12">
      <c r="A1861" t="s">
        <v>318</v>
      </c>
      <c r="B1861" t="s">
        <v>1624</v>
      </c>
      <c r="C1861" t="s">
        <v>1790</v>
      </c>
      <c r="D1861" s="28">
        <v>7652000129857</v>
      </c>
      <c r="E1861" s="29" t="s">
        <v>393</v>
      </c>
      <c r="F1861" s="29" t="s">
        <v>372</v>
      </c>
      <c r="G1861">
        <v>41</v>
      </c>
      <c r="H1861" t="s">
        <v>1051</v>
      </c>
      <c r="I1861" t="s">
        <v>98</v>
      </c>
      <c r="J1861" t="s">
        <v>1706</v>
      </c>
      <c r="K1861" t="s">
        <v>394</v>
      </c>
      <c r="L1861" t="s">
        <v>327</v>
      </c>
    </row>
    <row r="1862" spans="1:12">
      <c r="A1862" t="s">
        <v>318</v>
      </c>
      <c r="B1862" t="s">
        <v>1624</v>
      </c>
      <c r="C1862" t="s">
        <v>1791</v>
      </c>
      <c r="D1862" s="28">
        <v>7652000129859</v>
      </c>
      <c r="E1862" s="29" t="s">
        <v>393</v>
      </c>
      <c r="F1862" s="29" t="s">
        <v>372</v>
      </c>
      <c r="G1862">
        <v>40</v>
      </c>
      <c r="H1862" t="s">
        <v>1051</v>
      </c>
      <c r="I1862" t="s">
        <v>98</v>
      </c>
      <c r="J1862" t="s">
        <v>1706</v>
      </c>
      <c r="K1862" t="s">
        <v>365</v>
      </c>
      <c r="L1862" t="s">
        <v>327</v>
      </c>
    </row>
    <row r="1863" spans="1:12">
      <c r="A1863" t="s">
        <v>318</v>
      </c>
      <c r="B1863" t="s">
        <v>1624</v>
      </c>
      <c r="C1863" t="s">
        <v>1792</v>
      </c>
      <c r="D1863" s="28">
        <v>7652000129862</v>
      </c>
      <c r="E1863" s="29" t="s">
        <v>393</v>
      </c>
      <c r="F1863" s="29" t="s">
        <v>372</v>
      </c>
      <c r="G1863">
        <v>40</v>
      </c>
      <c r="H1863" t="s">
        <v>1051</v>
      </c>
      <c r="I1863" t="s">
        <v>98</v>
      </c>
      <c r="J1863" t="s">
        <v>1706</v>
      </c>
      <c r="K1863" t="s">
        <v>365</v>
      </c>
      <c r="L1863" t="s">
        <v>1090</v>
      </c>
    </row>
    <row r="1864" spans="1:12">
      <c r="A1864" t="s">
        <v>318</v>
      </c>
      <c r="B1864" t="s">
        <v>1624</v>
      </c>
      <c r="C1864" t="s">
        <v>1659</v>
      </c>
      <c r="D1864" s="28">
        <v>7652000129865</v>
      </c>
      <c r="E1864" s="29" t="s">
        <v>393</v>
      </c>
      <c r="F1864" s="29" t="s">
        <v>372</v>
      </c>
      <c r="G1864">
        <v>41</v>
      </c>
      <c r="H1864" t="s">
        <v>1051</v>
      </c>
      <c r="I1864" t="s">
        <v>98</v>
      </c>
      <c r="J1864" t="s">
        <v>1706</v>
      </c>
      <c r="K1864" t="s">
        <v>394</v>
      </c>
      <c r="L1864" t="s">
        <v>327</v>
      </c>
    </row>
    <row r="1865" spans="1:12">
      <c r="A1865" t="s">
        <v>318</v>
      </c>
      <c r="B1865" t="s">
        <v>1624</v>
      </c>
      <c r="C1865" t="s">
        <v>1793</v>
      </c>
      <c r="D1865" s="28">
        <v>7652000129868</v>
      </c>
      <c r="E1865" s="29" t="s">
        <v>393</v>
      </c>
      <c r="F1865" s="29" t="s">
        <v>372</v>
      </c>
      <c r="G1865">
        <v>40</v>
      </c>
      <c r="H1865" t="s">
        <v>1051</v>
      </c>
      <c r="I1865" t="s">
        <v>98</v>
      </c>
      <c r="J1865" t="s">
        <v>1706</v>
      </c>
      <c r="K1865" t="s">
        <v>365</v>
      </c>
      <c r="L1865" t="s">
        <v>1090</v>
      </c>
    </row>
    <row r="1866" spans="1:12">
      <c r="A1866" t="s">
        <v>318</v>
      </c>
      <c r="B1866" t="s">
        <v>1624</v>
      </c>
      <c r="C1866" t="s">
        <v>1794</v>
      </c>
      <c r="D1866" s="28">
        <v>7652000129873</v>
      </c>
      <c r="E1866" s="29" t="s">
        <v>393</v>
      </c>
      <c r="F1866" s="29" t="s">
        <v>372</v>
      </c>
      <c r="G1866">
        <v>40</v>
      </c>
      <c r="H1866" t="s">
        <v>1051</v>
      </c>
      <c r="I1866" t="s">
        <v>98</v>
      </c>
      <c r="J1866" t="s">
        <v>1706</v>
      </c>
      <c r="K1866" t="s">
        <v>394</v>
      </c>
      <c r="L1866" t="s">
        <v>327</v>
      </c>
    </row>
    <row r="1867" spans="1:12">
      <c r="A1867" t="s">
        <v>318</v>
      </c>
      <c r="B1867" t="s">
        <v>1624</v>
      </c>
      <c r="C1867" t="s">
        <v>1795</v>
      </c>
      <c r="D1867" s="28">
        <v>7652000129882</v>
      </c>
      <c r="E1867" s="29" t="s">
        <v>393</v>
      </c>
      <c r="F1867" s="29" t="s">
        <v>372</v>
      </c>
      <c r="G1867">
        <v>40</v>
      </c>
      <c r="H1867" t="s">
        <v>1051</v>
      </c>
      <c r="I1867" t="s">
        <v>98</v>
      </c>
      <c r="J1867" t="s">
        <v>1706</v>
      </c>
      <c r="K1867" t="s">
        <v>365</v>
      </c>
      <c r="L1867" t="s">
        <v>327</v>
      </c>
    </row>
    <row r="1868" spans="1:12">
      <c r="A1868" t="s">
        <v>318</v>
      </c>
      <c r="B1868" t="s">
        <v>1624</v>
      </c>
      <c r="C1868" t="s">
        <v>1796</v>
      </c>
      <c r="D1868" s="28">
        <v>7652000129885</v>
      </c>
      <c r="E1868" s="29" t="s">
        <v>393</v>
      </c>
      <c r="F1868" s="29" t="s">
        <v>372</v>
      </c>
      <c r="G1868">
        <v>40</v>
      </c>
      <c r="H1868" t="s">
        <v>1051</v>
      </c>
      <c r="I1868" t="s">
        <v>98</v>
      </c>
      <c r="J1868" t="s">
        <v>1706</v>
      </c>
      <c r="K1868" t="s">
        <v>365</v>
      </c>
      <c r="L1868" t="s">
        <v>327</v>
      </c>
    </row>
    <row r="1869" spans="1:12">
      <c r="A1869" t="s">
        <v>318</v>
      </c>
      <c r="B1869" t="s">
        <v>1624</v>
      </c>
      <c r="C1869" t="s">
        <v>1797</v>
      </c>
      <c r="D1869" s="28">
        <v>765201143845</v>
      </c>
      <c r="E1869" s="29" t="s">
        <v>393</v>
      </c>
      <c r="F1869" s="29" t="s">
        <v>372</v>
      </c>
      <c r="G1869">
        <v>40</v>
      </c>
      <c r="H1869" t="s">
        <v>1051</v>
      </c>
      <c r="I1869" t="s">
        <v>98</v>
      </c>
      <c r="J1869" t="s">
        <v>1706</v>
      </c>
      <c r="K1869" t="s">
        <v>365</v>
      </c>
      <c r="L1869" t="s">
        <v>327</v>
      </c>
    </row>
    <row r="1870" spans="1:12">
      <c r="A1870" t="s">
        <v>318</v>
      </c>
      <c r="B1870" t="s">
        <v>1624</v>
      </c>
      <c r="C1870" t="s">
        <v>385</v>
      </c>
      <c r="D1870" s="28">
        <v>765201147743</v>
      </c>
      <c r="E1870" s="29" t="s">
        <v>393</v>
      </c>
      <c r="F1870" s="29" t="s">
        <v>372</v>
      </c>
      <c r="G1870">
        <v>41</v>
      </c>
      <c r="H1870" t="s">
        <v>1051</v>
      </c>
      <c r="I1870" t="s">
        <v>98</v>
      </c>
      <c r="J1870" t="s">
        <v>1706</v>
      </c>
      <c r="K1870" t="s">
        <v>365</v>
      </c>
      <c r="L1870" t="s">
        <v>327</v>
      </c>
    </row>
    <row r="1871" spans="1:12">
      <c r="A1871" t="s">
        <v>318</v>
      </c>
      <c r="B1871" t="s">
        <v>1624</v>
      </c>
      <c r="C1871" t="s">
        <v>1798</v>
      </c>
      <c r="D1871" s="28">
        <v>7624800021904</v>
      </c>
      <c r="E1871" s="29" t="s">
        <v>371</v>
      </c>
      <c r="F1871" s="29" t="s">
        <v>372</v>
      </c>
      <c r="G1871">
        <v>13</v>
      </c>
      <c r="H1871" t="s">
        <v>323</v>
      </c>
      <c r="I1871" t="s">
        <v>98</v>
      </c>
      <c r="J1871" t="s">
        <v>1693</v>
      </c>
      <c r="K1871" t="s">
        <v>285</v>
      </c>
      <c r="L1871" t="s">
        <v>327</v>
      </c>
    </row>
    <row r="1872" spans="1:12">
      <c r="A1872" t="s">
        <v>318</v>
      </c>
      <c r="B1872" t="s">
        <v>1624</v>
      </c>
      <c r="C1872" t="s">
        <v>1799</v>
      </c>
      <c r="D1872" s="28">
        <v>7624800022102</v>
      </c>
      <c r="E1872" s="29" t="s">
        <v>371</v>
      </c>
      <c r="F1872" s="29" t="s">
        <v>372</v>
      </c>
      <c r="G1872">
        <v>13</v>
      </c>
      <c r="H1872" t="s">
        <v>323</v>
      </c>
      <c r="I1872" t="s">
        <v>98</v>
      </c>
      <c r="J1872" t="s">
        <v>1693</v>
      </c>
      <c r="K1872" t="s">
        <v>285</v>
      </c>
      <c r="L1872" t="s">
        <v>327</v>
      </c>
    </row>
    <row r="1873" spans="1:12">
      <c r="A1873" t="s">
        <v>318</v>
      </c>
      <c r="B1873" t="s">
        <v>1624</v>
      </c>
      <c r="C1873" t="s">
        <v>1800</v>
      </c>
      <c r="D1873" s="28">
        <v>7624800022129</v>
      </c>
      <c r="E1873" s="29" t="s">
        <v>371</v>
      </c>
      <c r="F1873" s="29" t="s">
        <v>372</v>
      </c>
      <c r="G1873">
        <v>12</v>
      </c>
      <c r="H1873" t="s">
        <v>323</v>
      </c>
      <c r="I1873" t="s">
        <v>98</v>
      </c>
      <c r="J1873" t="s">
        <v>1693</v>
      </c>
      <c r="K1873" t="s">
        <v>285</v>
      </c>
      <c r="L1873" t="s">
        <v>327</v>
      </c>
    </row>
    <row r="1874" spans="1:12">
      <c r="A1874" t="s">
        <v>318</v>
      </c>
      <c r="B1874" t="s">
        <v>1624</v>
      </c>
      <c r="C1874" t="s">
        <v>1801</v>
      </c>
      <c r="D1874" s="28">
        <v>7624800022208</v>
      </c>
      <c r="E1874" s="29" t="s">
        <v>441</v>
      </c>
      <c r="F1874" s="29" t="s">
        <v>372</v>
      </c>
      <c r="G1874">
        <v>78</v>
      </c>
      <c r="H1874" t="s">
        <v>323</v>
      </c>
      <c r="I1874" t="s">
        <v>98</v>
      </c>
      <c r="J1874" t="s">
        <v>1693</v>
      </c>
      <c r="K1874" t="s">
        <v>1226</v>
      </c>
      <c r="L1874" t="s">
        <v>327</v>
      </c>
    </row>
    <row r="1875" spans="1:12">
      <c r="A1875" t="s">
        <v>318</v>
      </c>
      <c r="B1875" t="s">
        <v>1624</v>
      </c>
      <c r="C1875" t="s">
        <v>1802</v>
      </c>
      <c r="D1875" s="28">
        <v>7624800050267</v>
      </c>
      <c r="E1875" s="29" t="s">
        <v>1045</v>
      </c>
      <c r="F1875" s="29" t="s">
        <v>372</v>
      </c>
      <c r="G1875">
        <v>15</v>
      </c>
      <c r="H1875" t="s">
        <v>323</v>
      </c>
      <c r="I1875" t="s">
        <v>98</v>
      </c>
      <c r="J1875" t="s">
        <v>1693</v>
      </c>
      <c r="K1875" t="s">
        <v>285</v>
      </c>
      <c r="L1875" t="s">
        <v>327</v>
      </c>
    </row>
    <row r="1876" spans="1:12">
      <c r="A1876" t="s">
        <v>318</v>
      </c>
      <c r="B1876" t="s">
        <v>1624</v>
      </c>
      <c r="C1876" t="s">
        <v>1285</v>
      </c>
      <c r="D1876" s="28">
        <v>7624800132684</v>
      </c>
      <c r="E1876" s="29" t="s">
        <v>371</v>
      </c>
      <c r="F1876" s="29" t="s">
        <v>372</v>
      </c>
      <c r="G1876">
        <v>11</v>
      </c>
      <c r="H1876" t="s">
        <v>323</v>
      </c>
      <c r="I1876" t="s">
        <v>98</v>
      </c>
      <c r="J1876" t="s">
        <v>1693</v>
      </c>
      <c r="K1876" t="s">
        <v>285</v>
      </c>
      <c r="L1876" t="s">
        <v>327</v>
      </c>
    </row>
    <row r="1877" spans="1:12">
      <c r="A1877" t="s">
        <v>318</v>
      </c>
      <c r="B1877" t="s">
        <v>1624</v>
      </c>
      <c r="C1877" t="s">
        <v>1803</v>
      </c>
      <c r="D1877" s="28">
        <v>762481111797</v>
      </c>
      <c r="E1877" s="29" t="s">
        <v>441</v>
      </c>
      <c r="F1877" s="29" t="s">
        <v>372</v>
      </c>
      <c r="G1877">
        <v>39</v>
      </c>
      <c r="H1877" t="s">
        <v>323</v>
      </c>
      <c r="I1877" t="s">
        <v>98</v>
      </c>
      <c r="J1877" t="s">
        <v>1693</v>
      </c>
      <c r="K1877" t="s">
        <v>285</v>
      </c>
      <c r="L1877" t="s">
        <v>327</v>
      </c>
    </row>
    <row r="1878" spans="1:12">
      <c r="A1878" t="s">
        <v>318</v>
      </c>
      <c r="B1878" t="s">
        <v>1624</v>
      </c>
      <c r="C1878" t="s">
        <v>575</v>
      </c>
      <c r="D1878" s="28">
        <v>762481112238</v>
      </c>
      <c r="E1878" s="29" t="s">
        <v>441</v>
      </c>
      <c r="F1878" s="29" t="s">
        <v>372</v>
      </c>
      <c r="G1878">
        <v>39</v>
      </c>
      <c r="H1878" t="s">
        <v>323</v>
      </c>
      <c r="I1878" t="s">
        <v>98</v>
      </c>
      <c r="J1878" t="s">
        <v>1693</v>
      </c>
      <c r="K1878" t="s">
        <v>285</v>
      </c>
      <c r="L1878" t="s">
        <v>327</v>
      </c>
    </row>
    <row r="1879" spans="1:12">
      <c r="A1879" t="s">
        <v>318</v>
      </c>
      <c r="B1879" t="s">
        <v>1624</v>
      </c>
      <c r="C1879" t="s">
        <v>1804</v>
      </c>
      <c r="D1879" s="28">
        <v>7630600030223</v>
      </c>
      <c r="E1879" s="29" t="s">
        <v>371</v>
      </c>
      <c r="F1879" s="29" t="s">
        <v>372</v>
      </c>
      <c r="G1879">
        <v>13</v>
      </c>
      <c r="H1879" t="s">
        <v>323</v>
      </c>
      <c r="I1879" t="s">
        <v>98</v>
      </c>
      <c r="J1879" t="s">
        <v>1700</v>
      </c>
      <c r="K1879" t="s">
        <v>285</v>
      </c>
      <c r="L1879" t="s">
        <v>327</v>
      </c>
    </row>
    <row r="1880" spans="1:12">
      <c r="A1880" t="s">
        <v>318</v>
      </c>
      <c r="B1880" t="s">
        <v>1624</v>
      </c>
      <c r="C1880" t="s">
        <v>1805</v>
      </c>
      <c r="D1880" s="28">
        <v>7630600030350</v>
      </c>
      <c r="E1880" s="29" t="s">
        <v>371</v>
      </c>
      <c r="F1880" s="29" t="s">
        <v>372</v>
      </c>
      <c r="G1880">
        <v>12</v>
      </c>
      <c r="H1880" t="s">
        <v>323</v>
      </c>
      <c r="I1880" t="s">
        <v>98</v>
      </c>
      <c r="J1880" t="s">
        <v>1700</v>
      </c>
      <c r="K1880" t="s">
        <v>285</v>
      </c>
      <c r="L1880" t="s">
        <v>327</v>
      </c>
    </row>
    <row r="1881" spans="1:12">
      <c r="A1881" t="s">
        <v>318</v>
      </c>
      <c r="B1881" t="s">
        <v>1624</v>
      </c>
      <c r="C1881" t="s">
        <v>1806</v>
      </c>
      <c r="D1881" s="28">
        <v>7630600030429</v>
      </c>
      <c r="E1881" s="29" t="s">
        <v>371</v>
      </c>
      <c r="F1881" s="29" t="s">
        <v>372</v>
      </c>
      <c r="G1881">
        <v>11</v>
      </c>
      <c r="H1881" t="s">
        <v>323</v>
      </c>
      <c r="I1881" t="s">
        <v>98</v>
      </c>
      <c r="J1881" t="s">
        <v>1700</v>
      </c>
      <c r="K1881" t="s">
        <v>285</v>
      </c>
      <c r="L1881" t="s">
        <v>327</v>
      </c>
    </row>
    <row r="1882" spans="1:12">
      <c r="A1882" t="s">
        <v>318</v>
      </c>
      <c r="B1882" t="s">
        <v>1624</v>
      </c>
      <c r="C1882" t="s">
        <v>1807</v>
      </c>
      <c r="D1882" s="28">
        <v>7630600030647</v>
      </c>
      <c r="E1882" s="29" t="s">
        <v>1045</v>
      </c>
      <c r="F1882" s="29" t="s">
        <v>372</v>
      </c>
      <c r="G1882">
        <v>15</v>
      </c>
      <c r="H1882" t="s">
        <v>323</v>
      </c>
      <c r="I1882" t="s">
        <v>98</v>
      </c>
      <c r="J1882" t="s">
        <v>1700</v>
      </c>
      <c r="K1882" t="s">
        <v>1226</v>
      </c>
      <c r="L1882" t="s">
        <v>327</v>
      </c>
    </row>
    <row r="1883" spans="1:12">
      <c r="A1883" t="s">
        <v>318</v>
      </c>
      <c r="B1883" t="s">
        <v>1624</v>
      </c>
      <c r="C1883" t="s">
        <v>524</v>
      </c>
      <c r="D1883" s="28">
        <v>7630600030953</v>
      </c>
      <c r="E1883" s="29" t="s">
        <v>1045</v>
      </c>
      <c r="F1883" s="29" t="s">
        <v>372</v>
      </c>
      <c r="G1883">
        <v>15</v>
      </c>
      <c r="H1883" t="s">
        <v>323</v>
      </c>
      <c r="I1883" t="s">
        <v>98</v>
      </c>
      <c r="J1883" t="s">
        <v>1700</v>
      </c>
      <c r="K1883" t="s">
        <v>1226</v>
      </c>
      <c r="L1883" t="s">
        <v>327</v>
      </c>
    </row>
    <row r="1884" spans="1:12">
      <c r="A1884" t="s">
        <v>318</v>
      </c>
      <c r="B1884" t="s">
        <v>1624</v>
      </c>
      <c r="C1884" t="s">
        <v>442</v>
      </c>
      <c r="D1884" s="28">
        <v>765201112267</v>
      </c>
      <c r="E1884" s="29" t="s">
        <v>371</v>
      </c>
      <c r="F1884" s="29" t="s">
        <v>372</v>
      </c>
      <c r="G1884">
        <v>12</v>
      </c>
      <c r="H1884" t="s">
        <v>323</v>
      </c>
      <c r="I1884" t="s">
        <v>98</v>
      </c>
      <c r="J1884" t="s">
        <v>1706</v>
      </c>
      <c r="K1884" t="s">
        <v>285</v>
      </c>
      <c r="L1884" t="s">
        <v>327</v>
      </c>
    </row>
    <row r="1885" spans="1:12">
      <c r="A1885" t="s">
        <v>318</v>
      </c>
      <c r="B1885" t="s">
        <v>1624</v>
      </c>
      <c r="C1885" t="s">
        <v>1808</v>
      </c>
      <c r="D1885" s="28">
        <v>7613000068622</v>
      </c>
      <c r="E1885" s="29" t="s">
        <v>987</v>
      </c>
      <c r="F1885" s="29" t="s">
        <v>364</v>
      </c>
      <c r="G1885">
        <v>290</v>
      </c>
      <c r="H1885" t="s">
        <v>1051</v>
      </c>
      <c r="I1885" t="s">
        <v>98</v>
      </c>
      <c r="J1885" t="s">
        <v>1650</v>
      </c>
      <c r="K1885" t="s">
        <v>365</v>
      </c>
      <c r="L1885" t="s">
        <v>1090</v>
      </c>
    </row>
    <row r="1886" spans="1:12">
      <c r="A1886" t="s">
        <v>318</v>
      </c>
      <c r="B1886" t="s">
        <v>1624</v>
      </c>
      <c r="C1886" t="s">
        <v>1809</v>
      </c>
      <c r="D1886" s="28">
        <v>7624800102074</v>
      </c>
      <c r="E1886" s="29" t="s">
        <v>368</v>
      </c>
      <c r="F1886" s="29" t="s">
        <v>364</v>
      </c>
      <c r="G1886">
        <v>120</v>
      </c>
      <c r="H1886" t="s">
        <v>1051</v>
      </c>
      <c r="I1886" t="s">
        <v>98</v>
      </c>
      <c r="J1886" t="s">
        <v>1693</v>
      </c>
      <c r="K1886" t="s">
        <v>337</v>
      </c>
      <c r="L1886" t="s">
        <v>1090</v>
      </c>
    </row>
    <row r="1887" spans="1:12">
      <c r="A1887" t="s">
        <v>318</v>
      </c>
      <c r="B1887" t="s">
        <v>1624</v>
      </c>
      <c r="C1887" t="s">
        <v>1798</v>
      </c>
      <c r="D1887" s="28">
        <v>7627500113904</v>
      </c>
      <c r="E1887" s="29" t="s">
        <v>393</v>
      </c>
      <c r="F1887" s="29" t="s">
        <v>372</v>
      </c>
      <c r="G1887">
        <v>39</v>
      </c>
      <c r="H1887" t="s">
        <v>323</v>
      </c>
      <c r="I1887" t="s">
        <v>98</v>
      </c>
      <c r="J1887" t="s">
        <v>1644</v>
      </c>
      <c r="K1887" t="s">
        <v>394</v>
      </c>
      <c r="L1887" t="s">
        <v>1090</v>
      </c>
    </row>
    <row r="1888" spans="1:12">
      <c r="A1888" t="s">
        <v>318</v>
      </c>
      <c r="B1888" t="s">
        <v>1624</v>
      </c>
      <c r="C1888" t="s">
        <v>435</v>
      </c>
      <c r="D1888" s="28">
        <v>7627500114493</v>
      </c>
      <c r="E1888" s="29" t="s">
        <v>393</v>
      </c>
      <c r="F1888" s="29" t="s">
        <v>372</v>
      </c>
      <c r="G1888">
        <v>39</v>
      </c>
      <c r="H1888" t="s">
        <v>323</v>
      </c>
      <c r="I1888" t="s">
        <v>98</v>
      </c>
      <c r="J1888" t="s">
        <v>1644</v>
      </c>
      <c r="K1888" t="s">
        <v>394</v>
      </c>
      <c r="L1888" t="s">
        <v>1090</v>
      </c>
    </row>
    <row r="1889" spans="1:12">
      <c r="A1889" t="s">
        <v>318</v>
      </c>
      <c r="B1889" t="s">
        <v>1624</v>
      </c>
      <c r="C1889" t="s">
        <v>1576</v>
      </c>
      <c r="D1889" s="28">
        <v>762751111839</v>
      </c>
      <c r="E1889" s="29" t="s">
        <v>393</v>
      </c>
      <c r="F1889" s="29" t="s">
        <v>372</v>
      </c>
      <c r="G1889">
        <v>40</v>
      </c>
      <c r="H1889" t="s">
        <v>323</v>
      </c>
      <c r="I1889" t="s">
        <v>98</v>
      </c>
      <c r="J1889" t="s">
        <v>1644</v>
      </c>
      <c r="K1889" t="s">
        <v>394</v>
      </c>
      <c r="L1889" t="s">
        <v>327</v>
      </c>
    </row>
    <row r="1890" spans="1:12">
      <c r="A1890" t="s">
        <v>318</v>
      </c>
      <c r="B1890" t="s">
        <v>1624</v>
      </c>
      <c r="C1890" t="s">
        <v>1810</v>
      </c>
      <c r="D1890" s="28">
        <v>762751113320</v>
      </c>
      <c r="E1890" s="29" t="s">
        <v>393</v>
      </c>
      <c r="F1890" s="29" t="s">
        <v>372</v>
      </c>
      <c r="G1890">
        <v>39</v>
      </c>
      <c r="H1890" t="s">
        <v>323</v>
      </c>
      <c r="I1890" t="s">
        <v>98</v>
      </c>
      <c r="J1890" t="s">
        <v>1644</v>
      </c>
      <c r="K1890" t="s">
        <v>394</v>
      </c>
      <c r="L1890" t="s">
        <v>327</v>
      </c>
    </row>
    <row r="1891" spans="1:12">
      <c r="A1891" t="s">
        <v>318</v>
      </c>
      <c r="B1891" t="s">
        <v>1624</v>
      </c>
      <c r="C1891" t="s">
        <v>1811</v>
      </c>
      <c r="D1891" s="28">
        <v>7624800021881</v>
      </c>
      <c r="E1891" s="29" t="s">
        <v>368</v>
      </c>
      <c r="F1891" s="29" t="s">
        <v>364</v>
      </c>
      <c r="G1891">
        <v>245</v>
      </c>
      <c r="H1891" t="s">
        <v>323</v>
      </c>
      <c r="I1891" t="s">
        <v>98</v>
      </c>
      <c r="J1891" t="s">
        <v>1693</v>
      </c>
      <c r="K1891" t="s">
        <v>394</v>
      </c>
      <c r="L1891" t="s">
        <v>1090</v>
      </c>
    </row>
    <row r="1892" spans="1:12">
      <c r="A1892" t="s">
        <v>318</v>
      </c>
      <c r="B1892" t="s">
        <v>1624</v>
      </c>
      <c r="C1892" t="s">
        <v>1812</v>
      </c>
      <c r="D1892" s="28">
        <v>7624800025242</v>
      </c>
      <c r="E1892" s="29" t="s">
        <v>368</v>
      </c>
      <c r="F1892" s="29" t="s">
        <v>364</v>
      </c>
      <c r="G1892">
        <v>78</v>
      </c>
      <c r="H1892" t="s">
        <v>323</v>
      </c>
      <c r="I1892" t="s">
        <v>98</v>
      </c>
      <c r="J1892" t="s">
        <v>1693</v>
      </c>
      <c r="K1892" t="s">
        <v>394</v>
      </c>
      <c r="L1892" t="s">
        <v>1090</v>
      </c>
    </row>
    <row r="1893" spans="1:12">
      <c r="A1893" t="s">
        <v>318</v>
      </c>
      <c r="B1893" t="s">
        <v>1624</v>
      </c>
      <c r="C1893" t="s">
        <v>1813</v>
      </c>
      <c r="D1893" s="28">
        <v>7652000020347</v>
      </c>
      <c r="E1893" s="29" t="s">
        <v>368</v>
      </c>
      <c r="F1893" s="29" t="s">
        <v>364</v>
      </c>
      <c r="G1893">
        <v>80</v>
      </c>
      <c r="H1893" t="s">
        <v>323</v>
      </c>
      <c r="I1893" t="s">
        <v>98</v>
      </c>
      <c r="J1893" t="s">
        <v>1706</v>
      </c>
      <c r="K1893" t="s">
        <v>394</v>
      </c>
      <c r="L1893" t="s">
        <v>1090</v>
      </c>
    </row>
    <row r="1894" spans="1:12">
      <c r="A1894" t="s">
        <v>318</v>
      </c>
      <c r="B1894" t="s">
        <v>1624</v>
      </c>
      <c r="C1894" t="s">
        <v>1814</v>
      </c>
      <c r="D1894" s="28">
        <v>7652000021820</v>
      </c>
      <c r="E1894" s="29" t="s">
        <v>368</v>
      </c>
      <c r="F1894" s="29" t="s">
        <v>364</v>
      </c>
      <c r="G1894">
        <v>116</v>
      </c>
      <c r="H1894" t="s">
        <v>323</v>
      </c>
      <c r="I1894" t="s">
        <v>98</v>
      </c>
      <c r="J1894" t="s">
        <v>1706</v>
      </c>
      <c r="K1894" t="s">
        <v>394</v>
      </c>
      <c r="L1894" t="s">
        <v>1090</v>
      </c>
    </row>
    <row r="1895" spans="1:12">
      <c r="A1895" t="s">
        <v>318</v>
      </c>
      <c r="B1895" t="s">
        <v>1624</v>
      </c>
      <c r="C1895" t="s">
        <v>1611</v>
      </c>
      <c r="D1895" s="28">
        <v>7652000104573</v>
      </c>
      <c r="E1895" s="29" t="s">
        <v>363</v>
      </c>
      <c r="F1895" s="29" t="s">
        <v>364</v>
      </c>
      <c r="G1895">
        <v>44</v>
      </c>
      <c r="H1895" t="s">
        <v>323</v>
      </c>
      <c r="I1895" t="s">
        <v>98</v>
      </c>
      <c r="J1895" t="s">
        <v>1706</v>
      </c>
      <c r="K1895" t="s">
        <v>394</v>
      </c>
      <c r="L1895" t="s">
        <v>327</v>
      </c>
    </row>
    <row r="1896" spans="1:12">
      <c r="A1896" t="s">
        <v>318</v>
      </c>
      <c r="B1896" t="s">
        <v>1624</v>
      </c>
      <c r="C1896" t="s">
        <v>1815</v>
      </c>
      <c r="D1896" s="28">
        <v>7652000115152</v>
      </c>
      <c r="E1896" s="29" t="s">
        <v>363</v>
      </c>
      <c r="F1896" s="29" t="s">
        <v>364</v>
      </c>
      <c r="G1896">
        <v>80</v>
      </c>
      <c r="H1896" t="s">
        <v>323</v>
      </c>
      <c r="I1896" t="s">
        <v>98</v>
      </c>
      <c r="J1896" t="s">
        <v>1706</v>
      </c>
      <c r="K1896" t="s">
        <v>365</v>
      </c>
      <c r="L1896" t="s">
        <v>1090</v>
      </c>
    </row>
    <row r="1897" spans="1:12">
      <c r="A1897" t="s">
        <v>318</v>
      </c>
      <c r="B1897" t="s">
        <v>1624</v>
      </c>
      <c r="C1897" t="s">
        <v>1816</v>
      </c>
      <c r="D1897" s="28">
        <v>765201125003</v>
      </c>
      <c r="E1897" s="29" t="s">
        <v>368</v>
      </c>
      <c r="F1897" s="29" t="s">
        <v>364</v>
      </c>
      <c r="G1897">
        <v>192</v>
      </c>
      <c r="H1897" t="s">
        <v>323</v>
      </c>
      <c r="I1897" t="s">
        <v>98</v>
      </c>
      <c r="J1897" t="s">
        <v>1706</v>
      </c>
      <c r="K1897" t="s">
        <v>394</v>
      </c>
      <c r="L1897" t="s">
        <v>1090</v>
      </c>
    </row>
    <row r="1898" spans="1:12">
      <c r="A1898" t="s">
        <v>318</v>
      </c>
      <c r="B1898" t="s">
        <v>1624</v>
      </c>
      <c r="C1898" t="s">
        <v>1817</v>
      </c>
      <c r="D1898" s="28">
        <v>765201154665</v>
      </c>
      <c r="E1898" s="29" t="s">
        <v>368</v>
      </c>
      <c r="F1898" s="29" t="s">
        <v>364</v>
      </c>
      <c r="G1898">
        <v>136</v>
      </c>
      <c r="H1898" t="s">
        <v>323</v>
      </c>
      <c r="I1898" t="s">
        <v>98</v>
      </c>
      <c r="J1898" t="s">
        <v>1706</v>
      </c>
      <c r="K1898" t="s">
        <v>394</v>
      </c>
      <c r="L1898" t="s">
        <v>1090</v>
      </c>
    </row>
    <row r="1899" spans="1:12">
      <c r="A1899" t="s">
        <v>318</v>
      </c>
      <c r="B1899" t="s">
        <v>1624</v>
      </c>
      <c r="C1899" t="s">
        <v>1818</v>
      </c>
      <c r="D1899" s="28">
        <v>7627500050209</v>
      </c>
      <c r="E1899" s="29" t="s">
        <v>987</v>
      </c>
      <c r="F1899" s="29" t="s">
        <v>364</v>
      </c>
      <c r="G1899">
        <v>122</v>
      </c>
      <c r="H1899" t="s">
        <v>323</v>
      </c>
      <c r="I1899" t="s">
        <v>98</v>
      </c>
      <c r="J1899" t="s">
        <v>1644</v>
      </c>
      <c r="K1899" t="s">
        <v>394</v>
      </c>
      <c r="L1899" t="s">
        <v>1090</v>
      </c>
    </row>
    <row r="1900" spans="1:12">
      <c r="A1900" t="s">
        <v>318</v>
      </c>
      <c r="B1900" t="s">
        <v>1624</v>
      </c>
      <c r="C1900" t="s">
        <v>1819</v>
      </c>
      <c r="D1900" s="28">
        <v>762751151773</v>
      </c>
      <c r="E1900" s="29" t="s">
        <v>1331</v>
      </c>
      <c r="F1900" s="29" t="s">
        <v>322</v>
      </c>
      <c r="G1900">
        <v>18</v>
      </c>
      <c r="H1900" t="s">
        <v>323</v>
      </c>
      <c r="I1900" t="s">
        <v>98</v>
      </c>
      <c r="J1900" t="s">
        <v>1644</v>
      </c>
      <c r="K1900" t="s">
        <v>394</v>
      </c>
      <c r="L1900" t="s">
        <v>327</v>
      </c>
    </row>
    <row r="1901" spans="1:12">
      <c r="A1901" t="s">
        <v>318</v>
      </c>
      <c r="B1901" t="s">
        <v>1624</v>
      </c>
      <c r="C1901" t="s">
        <v>1820</v>
      </c>
      <c r="D1901" s="28">
        <v>762751151774</v>
      </c>
      <c r="E1901" s="29" t="s">
        <v>1331</v>
      </c>
      <c r="F1901" s="29" t="s">
        <v>322</v>
      </c>
      <c r="G1901">
        <v>18</v>
      </c>
      <c r="H1901" t="s">
        <v>323</v>
      </c>
      <c r="I1901" t="s">
        <v>98</v>
      </c>
      <c r="J1901" t="s">
        <v>1644</v>
      </c>
      <c r="K1901" t="s">
        <v>394</v>
      </c>
      <c r="L1901" t="s">
        <v>327</v>
      </c>
    </row>
    <row r="1902" spans="1:12">
      <c r="A1902" t="s">
        <v>318</v>
      </c>
      <c r="B1902" t="s">
        <v>1624</v>
      </c>
      <c r="C1902" t="s">
        <v>1821</v>
      </c>
      <c r="D1902" s="28">
        <v>762751151775</v>
      </c>
      <c r="E1902" s="29" t="s">
        <v>1331</v>
      </c>
      <c r="F1902" s="29" t="s">
        <v>322</v>
      </c>
      <c r="G1902">
        <v>18</v>
      </c>
      <c r="H1902" t="s">
        <v>323</v>
      </c>
      <c r="I1902" t="s">
        <v>98</v>
      </c>
      <c r="J1902" t="s">
        <v>1644</v>
      </c>
      <c r="K1902" t="s">
        <v>394</v>
      </c>
      <c r="L1902" t="s">
        <v>327</v>
      </c>
    </row>
    <row r="1903" spans="1:12">
      <c r="A1903" t="s">
        <v>318</v>
      </c>
      <c r="B1903" t="s">
        <v>1624</v>
      </c>
      <c r="C1903" t="s">
        <v>1822</v>
      </c>
      <c r="D1903" s="28">
        <v>762751151776</v>
      </c>
      <c r="E1903" s="29" t="s">
        <v>1331</v>
      </c>
      <c r="F1903" s="29" t="s">
        <v>322</v>
      </c>
      <c r="G1903">
        <v>18</v>
      </c>
      <c r="H1903" t="s">
        <v>323</v>
      </c>
      <c r="I1903" t="s">
        <v>98</v>
      </c>
      <c r="J1903" t="s">
        <v>1644</v>
      </c>
      <c r="K1903" t="s">
        <v>394</v>
      </c>
      <c r="L1903" t="s">
        <v>327</v>
      </c>
    </row>
    <row r="1904" spans="1:12">
      <c r="A1904" t="s">
        <v>318</v>
      </c>
      <c r="B1904" t="s">
        <v>1624</v>
      </c>
      <c r="C1904" t="s">
        <v>1823</v>
      </c>
      <c r="D1904" s="28">
        <v>762751151777</v>
      </c>
      <c r="E1904" s="29" t="s">
        <v>1331</v>
      </c>
      <c r="F1904" s="29" t="s">
        <v>322</v>
      </c>
      <c r="G1904">
        <v>18</v>
      </c>
      <c r="H1904" t="s">
        <v>323</v>
      </c>
      <c r="I1904" t="s">
        <v>98</v>
      </c>
      <c r="J1904" t="s">
        <v>1644</v>
      </c>
      <c r="K1904" t="s">
        <v>394</v>
      </c>
      <c r="L1904" t="s">
        <v>327</v>
      </c>
    </row>
    <row r="1905" spans="1:12">
      <c r="A1905" t="s">
        <v>318</v>
      </c>
      <c r="B1905" t="s">
        <v>1624</v>
      </c>
      <c r="C1905" t="s">
        <v>1824</v>
      </c>
      <c r="D1905" s="28">
        <v>762751151778</v>
      </c>
      <c r="E1905" s="29" t="s">
        <v>1331</v>
      </c>
      <c r="F1905" s="29" t="s">
        <v>322</v>
      </c>
      <c r="G1905">
        <v>18</v>
      </c>
      <c r="H1905" t="s">
        <v>323</v>
      </c>
      <c r="I1905" t="s">
        <v>98</v>
      </c>
      <c r="J1905" t="s">
        <v>1644</v>
      </c>
      <c r="K1905" t="s">
        <v>394</v>
      </c>
      <c r="L1905" t="s">
        <v>327</v>
      </c>
    </row>
    <row r="1906" spans="1:12">
      <c r="A1906" t="s">
        <v>318</v>
      </c>
      <c r="B1906" t="s">
        <v>1624</v>
      </c>
      <c r="C1906" t="s">
        <v>1825</v>
      </c>
      <c r="D1906" s="28">
        <v>7627500014868</v>
      </c>
      <c r="E1906" s="29" t="s">
        <v>368</v>
      </c>
      <c r="F1906" s="29" t="s">
        <v>364</v>
      </c>
      <c r="G1906">
        <v>128</v>
      </c>
      <c r="H1906" t="s">
        <v>323</v>
      </c>
      <c r="I1906" t="s">
        <v>98</v>
      </c>
      <c r="J1906" t="s">
        <v>1644</v>
      </c>
      <c r="K1906" t="s">
        <v>394</v>
      </c>
      <c r="L1906" t="s">
        <v>1090</v>
      </c>
    </row>
    <row r="1907" spans="1:12">
      <c r="A1907" t="s">
        <v>318</v>
      </c>
      <c r="B1907" t="s">
        <v>1624</v>
      </c>
      <c r="C1907" t="s">
        <v>1826</v>
      </c>
      <c r="D1907" s="28">
        <v>7652000040502</v>
      </c>
      <c r="E1907" s="29" t="s">
        <v>987</v>
      </c>
      <c r="F1907" s="29" t="s">
        <v>364</v>
      </c>
      <c r="G1907">
        <v>190</v>
      </c>
      <c r="H1907" t="s">
        <v>323</v>
      </c>
      <c r="I1907" t="s">
        <v>98</v>
      </c>
      <c r="J1907" t="s">
        <v>1706</v>
      </c>
      <c r="K1907" t="s">
        <v>1827</v>
      </c>
      <c r="L1907" t="s">
        <v>1090</v>
      </c>
    </row>
    <row r="1908" spans="1:12">
      <c r="A1908" t="s">
        <v>318</v>
      </c>
      <c r="B1908" t="s">
        <v>1624</v>
      </c>
      <c r="C1908" t="s">
        <v>1828</v>
      </c>
      <c r="D1908" s="28">
        <v>7652000048833</v>
      </c>
      <c r="E1908" s="29" t="s">
        <v>987</v>
      </c>
      <c r="F1908" s="29" t="s">
        <v>364</v>
      </c>
      <c r="G1908">
        <v>73</v>
      </c>
      <c r="H1908" t="s">
        <v>1051</v>
      </c>
      <c r="I1908" t="s">
        <v>98</v>
      </c>
      <c r="J1908" t="s">
        <v>1706</v>
      </c>
      <c r="K1908" t="s">
        <v>989</v>
      </c>
      <c r="L1908" t="s">
        <v>327</v>
      </c>
    </row>
    <row r="1909" spans="1:12">
      <c r="A1909" t="s">
        <v>318</v>
      </c>
      <c r="B1909" t="s">
        <v>1624</v>
      </c>
      <c r="C1909" t="s">
        <v>1829</v>
      </c>
      <c r="D1909" s="28">
        <v>7652000049707</v>
      </c>
      <c r="E1909" s="29" t="s">
        <v>987</v>
      </c>
      <c r="F1909" s="29" t="s">
        <v>364</v>
      </c>
      <c r="G1909">
        <v>120</v>
      </c>
      <c r="H1909" t="s">
        <v>1051</v>
      </c>
      <c r="I1909" t="s">
        <v>98</v>
      </c>
      <c r="J1909" t="s">
        <v>1706</v>
      </c>
      <c r="K1909" t="s">
        <v>365</v>
      </c>
      <c r="L1909" t="s">
        <v>327</v>
      </c>
    </row>
    <row r="1910" spans="1:12">
      <c r="A1910" t="s">
        <v>318</v>
      </c>
      <c r="B1910" t="s">
        <v>1624</v>
      </c>
      <c r="C1910" t="s">
        <v>1830</v>
      </c>
      <c r="D1910" s="28">
        <v>7624800025873</v>
      </c>
      <c r="E1910" s="29" t="s">
        <v>987</v>
      </c>
      <c r="F1910" s="29" t="s">
        <v>364</v>
      </c>
      <c r="G1910">
        <v>71</v>
      </c>
      <c r="H1910" t="s">
        <v>323</v>
      </c>
      <c r="I1910" t="s">
        <v>98</v>
      </c>
      <c r="J1910" t="s">
        <v>1693</v>
      </c>
      <c r="K1910" t="s">
        <v>989</v>
      </c>
      <c r="L1910" t="s">
        <v>1090</v>
      </c>
    </row>
    <row r="1911" spans="1:12">
      <c r="A1911" t="s">
        <v>318</v>
      </c>
      <c r="B1911" t="s">
        <v>1624</v>
      </c>
      <c r="C1911" t="s">
        <v>1831</v>
      </c>
      <c r="D1911" s="28">
        <v>7652000054800</v>
      </c>
      <c r="E1911" s="29" t="s">
        <v>987</v>
      </c>
      <c r="F1911" s="29" t="s">
        <v>364</v>
      </c>
      <c r="G1911">
        <v>100</v>
      </c>
      <c r="H1911" t="s">
        <v>1051</v>
      </c>
      <c r="I1911" t="s">
        <v>98</v>
      </c>
      <c r="J1911" t="s">
        <v>1706</v>
      </c>
      <c r="K1911" t="s">
        <v>365</v>
      </c>
      <c r="L1911" t="s">
        <v>1090</v>
      </c>
    </row>
    <row r="1912" spans="1:12">
      <c r="A1912" t="s">
        <v>318</v>
      </c>
      <c r="B1912" t="s">
        <v>1624</v>
      </c>
      <c r="C1912" t="s">
        <v>1832</v>
      </c>
      <c r="D1912" s="28">
        <v>7652000060513</v>
      </c>
      <c r="E1912" s="29" t="s">
        <v>987</v>
      </c>
      <c r="F1912" s="29" t="s">
        <v>364</v>
      </c>
      <c r="G1912">
        <v>235</v>
      </c>
      <c r="H1912" t="s">
        <v>1051</v>
      </c>
      <c r="I1912" t="s">
        <v>98</v>
      </c>
      <c r="J1912" t="s">
        <v>1706</v>
      </c>
      <c r="K1912" t="s">
        <v>394</v>
      </c>
      <c r="L1912" t="s">
        <v>327</v>
      </c>
    </row>
    <row r="1913" spans="1:12">
      <c r="A1913" t="s">
        <v>318</v>
      </c>
      <c r="B1913" t="s">
        <v>1624</v>
      </c>
      <c r="C1913" t="s">
        <v>1833</v>
      </c>
      <c r="D1913" s="28">
        <v>7652000031223</v>
      </c>
      <c r="E1913" s="29" t="s">
        <v>987</v>
      </c>
      <c r="F1913" s="29" t="s">
        <v>364</v>
      </c>
      <c r="G1913">
        <v>170</v>
      </c>
      <c r="H1913" t="s">
        <v>1051</v>
      </c>
      <c r="I1913" t="s">
        <v>98</v>
      </c>
      <c r="J1913" t="s">
        <v>1706</v>
      </c>
      <c r="K1913" t="s">
        <v>989</v>
      </c>
      <c r="L1913" t="s">
        <v>1090</v>
      </c>
    </row>
    <row r="1914" spans="1:12">
      <c r="A1914" t="s">
        <v>318</v>
      </c>
      <c r="B1914" t="s">
        <v>1624</v>
      </c>
      <c r="C1914" t="s">
        <v>1834</v>
      </c>
      <c r="D1914" s="28">
        <v>7630600037130</v>
      </c>
      <c r="E1914" s="29" t="s">
        <v>987</v>
      </c>
      <c r="F1914" s="29" t="s">
        <v>364</v>
      </c>
      <c r="G1914">
        <v>180</v>
      </c>
      <c r="H1914" t="s">
        <v>1051</v>
      </c>
      <c r="I1914" t="s">
        <v>98</v>
      </c>
      <c r="J1914" t="s">
        <v>1700</v>
      </c>
      <c r="K1914" t="s">
        <v>989</v>
      </c>
      <c r="L1914" t="s">
        <v>1090</v>
      </c>
    </row>
    <row r="1915" spans="1:12">
      <c r="A1915" t="s">
        <v>318</v>
      </c>
      <c r="B1915" t="s">
        <v>1624</v>
      </c>
      <c r="C1915" t="s">
        <v>1835</v>
      </c>
      <c r="D1915" s="28">
        <v>7652000021781</v>
      </c>
      <c r="E1915" s="29" t="s">
        <v>987</v>
      </c>
      <c r="F1915" s="29" t="s">
        <v>364</v>
      </c>
      <c r="G1915">
        <v>114</v>
      </c>
      <c r="H1915" t="s">
        <v>1051</v>
      </c>
      <c r="I1915" t="s">
        <v>98</v>
      </c>
      <c r="J1915" t="s">
        <v>1706</v>
      </c>
      <c r="K1915" t="s">
        <v>365</v>
      </c>
      <c r="L1915" t="s">
        <v>1090</v>
      </c>
    </row>
    <row r="1916" spans="1:12">
      <c r="A1916" t="s">
        <v>318</v>
      </c>
      <c r="B1916" t="s">
        <v>1624</v>
      </c>
      <c r="C1916" t="s">
        <v>1836</v>
      </c>
      <c r="D1916" s="28">
        <v>7652000048779</v>
      </c>
      <c r="E1916" s="29" t="s">
        <v>987</v>
      </c>
      <c r="F1916" s="29" t="s">
        <v>364</v>
      </c>
      <c r="G1916">
        <v>125</v>
      </c>
      <c r="H1916" t="s">
        <v>1051</v>
      </c>
      <c r="I1916" t="s">
        <v>98</v>
      </c>
      <c r="J1916" t="s">
        <v>1706</v>
      </c>
      <c r="K1916" t="s">
        <v>989</v>
      </c>
      <c r="L1916" t="s">
        <v>1090</v>
      </c>
    </row>
    <row r="1917" spans="1:12">
      <c r="A1917" t="s">
        <v>318</v>
      </c>
      <c r="B1917" t="s">
        <v>1624</v>
      </c>
      <c r="C1917" t="s">
        <v>1837</v>
      </c>
      <c r="D1917" s="28">
        <v>7613000031634</v>
      </c>
      <c r="E1917" s="29" t="s">
        <v>1838</v>
      </c>
      <c r="F1917" s="29" t="s">
        <v>364</v>
      </c>
      <c r="G1917">
        <v>104</v>
      </c>
      <c r="H1917" t="s">
        <v>323</v>
      </c>
      <c r="I1917" t="s">
        <v>98</v>
      </c>
      <c r="J1917" t="s">
        <v>1650</v>
      </c>
      <c r="K1917" t="s">
        <v>394</v>
      </c>
    </row>
    <row r="1918" spans="1:12">
      <c r="A1918" t="s">
        <v>318</v>
      </c>
      <c r="B1918" t="s">
        <v>1624</v>
      </c>
      <c r="C1918" t="s">
        <v>1839</v>
      </c>
      <c r="D1918" s="28">
        <v>7627500102153</v>
      </c>
      <c r="E1918" s="29" t="s">
        <v>1331</v>
      </c>
      <c r="F1918" s="29" t="s">
        <v>322</v>
      </c>
      <c r="G1918">
        <v>14</v>
      </c>
      <c r="H1918" t="s">
        <v>1051</v>
      </c>
      <c r="I1918" t="s">
        <v>98</v>
      </c>
      <c r="J1918" t="s">
        <v>1644</v>
      </c>
      <c r="K1918" t="s">
        <v>337</v>
      </c>
    </row>
    <row r="1919" spans="1:12">
      <c r="A1919" t="s">
        <v>318</v>
      </c>
      <c r="B1919" t="s">
        <v>1624</v>
      </c>
      <c r="C1919" t="s">
        <v>1840</v>
      </c>
      <c r="D1919" s="28">
        <v>7627500102155</v>
      </c>
      <c r="E1919" s="29" t="s">
        <v>1331</v>
      </c>
      <c r="F1919" s="29" t="s">
        <v>322</v>
      </c>
      <c r="G1919">
        <v>12</v>
      </c>
      <c r="H1919" t="s">
        <v>1051</v>
      </c>
      <c r="I1919" t="s">
        <v>98</v>
      </c>
      <c r="J1919" t="s">
        <v>1644</v>
      </c>
      <c r="K1919" t="s">
        <v>337</v>
      </c>
    </row>
    <row r="1920" spans="1:12">
      <c r="A1920" t="s">
        <v>318</v>
      </c>
      <c r="B1920" t="s">
        <v>1624</v>
      </c>
      <c r="C1920" t="s">
        <v>1841</v>
      </c>
      <c r="D1920" s="28">
        <v>7627500102156</v>
      </c>
      <c r="E1920" s="29" t="s">
        <v>1331</v>
      </c>
      <c r="F1920" s="29" t="s">
        <v>322</v>
      </c>
      <c r="G1920">
        <v>18</v>
      </c>
      <c r="H1920" t="s">
        <v>1051</v>
      </c>
      <c r="I1920" t="s">
        <v>98</v>
      </c>
      <c r="J1920" t="s">
        <v>1644</v>
      </c>
      <c r="K1920" t="s">
        <v>337</v>
      </c>
    </row>
    <row r="1921" spans="1:12">
      <c r="A1921" t="s">
        <v>318</v>
      </c>
      <c r="B1921" t="s">
        <v>1624</v>
      </c>
      <c r="C1921" t="s">
        <v>1842</v>
      </c>
      <c r="D1921" s="28">
        <v>7627500102160</v>
      </c>
      <c r="E1921" s="29" t="s">
        <v>1331</v>
      </c>
      <c r="F1921" s="29" t="s">
        <v>322</v>
      </c>
      <c r="G1921">
        <v>22</v>
      </c>
      <c r="H1921" t="s">
        <v>1051</v>
      </c>
      <c r="I1921" t="s">
        <v>98</v>
      </c>
      <c r="J1921" t="s">
        <v>1644</v>
      </c>
      <c r="K1921" t="s">
        <v>337</v>
      </c>
    </row>
    <row r="1922" spans="1:12">
      <c r="A1922" t="s">
        <v>318</v>
      </c>
      <c r="B1922" t="s">
        <v>1624</v>
      </c>
      <c r="C1922" t="s">
        <v>1843</v>
      </c>
      <c r="D1922" s="28">
        <v>7627500102162</v>
      </c>
      <c r="E1922" s="29" t="s">
        <v>1331</v>
      </c>
      <c r="F1922" s="29" t="s">
        <v>322</v>
      </c>
      <c r="G1922">
        <v>8</v>
      </c>
      <c r="H1922" t="s">
        <v>1051</v>
      </c>
      <c r="I1922" t="s">
        <v>98</v>
      </c>
      <c r="J1922" t="s">
        <v>1644</v>
      </c>
      <c r="K1922" t="s">
        <v>337</v>
      </c>
    </row>
    <row r="1923" spans="1:12">
      <c r="A1923" t="s">
        <v>318</v>
      </c>
      <c r="B1923" t="s">
        <v>1624</v>
      </c>
      <c r="C1923" t="s">
        <v>1844</v>
      </c>
      <c r="D1923" s="28">
        <v>7627500102165</v>
      </c>
      <c r="E1923" s="29" t="s">
        <v>1331</v>
      </c>
      <c r="F1923" s="29" t="s">
        <v>322</v>
      </c>
      <c r="G1923">
        <v>5</v>
      </c>
      <c r="H1923" t="s">
        <v>1051</v>
      </c>
      <c r="I1923" t="s">
        <v>98</v>
      </c>
      <c r="J1923" t="s">
        <v>1644</v>
      </c>
      <c r="K1923" t="s">
        <v>337</v>
      </c>
    </row>
    <row r="1924" spans="1:12">
      <c r="A1924" t="s">
        <v>318</v>
      </c>
      <c r="B1924" t="s">
        <v>1624</v>
      </c>
      <c r="C1924" t="s">
        <v>1845</v>
      </c>
      <c r="D1924" s="28">
        <v>762751148520</v>
      </c>
      <c r="E1924" s="29" t="s">
        <v>1331</v>
      </c>
      <c r="F1924" s="29" t="s">
        <v>322</v>
      </c>
      <c r="G1924">
        <v>9</v>
      </c>
      <c r="H1924" t="s">
        <v>1051</v>
      </c>
      <c r="I1924" t="s">
        <v>98</v>
      </c>
      <c r="J1924" t="s">
        <v>1644</v>
      </c>
      <c r="K1924" t="s">
        <v>337</v>
      </c>
    </row>
    <row r="1925" spans="1:12">
      <c r="A1925" t="s">
        <v>318</v>
      </c>
      <c r="B1925" t="s">
        <v>1624</v>
      </c>
      <c r="C1925" t="s">
        <v>1846</v>
      </c>
      <c r="D1925" s="28">
        <v>7627500102080</v>
      </c>
      <c r="E1925" s="29" t="s">
        <v>1331</v>
      </c>
      <c r="F1925" s="29" t="s">
        <v>322</v>
      </c>
      <c r="G1925">
        <v>11</v>
      </c>
      <c r="H1925" t="s">
        <v>1051</v>
      </c>
      <c r="I1925" t="s">
        <v>98</v>
      </c>
      <c r="J1925" t="s">
        <v>1644</v>
      </c>
      <c r="K1925" t="s">
        <v>337</v>
      </c>
    </row>
    <row r="1926" spans="1:12">
      <c r="A1926" t="s">
        <v>318</v>
      </c>
      <c r="B1926" t="s">
        <v>1624</v>
      </c>
      <c r="C1926" t="s">
        <v>1847</v>
      </c>
      <c r="D1926" s="28">
        <v>7627500132014</v>
      </c>
      <c r="E1926" s="29" t="s">
        <v>1331</v>
      </c>
      <c r="F1926" s="29" t="s">
        <v>322</v>
      </c>
      <c r="G1926">
        <v>16</v>
      </c>
      <c r="H1926" t="s">
        <v>1051</v>
      </c>
      <c r="I1926" t="s">
        <v>98</v>
      </c>
      <c r="J1926" t="s">
        <v>1644</v>
      </c>
      <c r="K1926" t="s">
        <v>337</v>
      </c>
    </row>
    <row r="1927" spans="1:12">
      <c r="A1927" t="s">
        <v>318</v>
      </c>
      <c r="B1927" t="s">
        <v>1624</v>
      </c>
      <c r="C1927" t="s">
        <v>1848</v>
      </c>
      <c r="D1927" s="28">
        <v>7627500132373</v>
      </c>
      <c r="E1927" s="29" t="s">
        <v>1331</v>
      </c>
      <c r="F1927" s="29" t="s">
        <v>322</v>
      </c>
      <c r="G1927">
        <v>16</v>
      </c>
      <c r="H1927" t="s">
        <v>1051</v>
      </c>
      <c r="I1927" t="s">
        <v>98</v>
      </c>
      <c r="J1927" t="s">
        <v>1644</v>
      </c>
      <c r="K1927" t="s">
        <v>337</v>
      </c>
    </row>
    <row r="1928" spans="1:12">
      <c r="A1928" t="s">
        <v>318</v>
      </c>
      <c r="B1928" t="s">
        <v>1624</v>
      </c>
      <c r="C1928" t="s">
        <v>1849</v>
      </c>
      <c r="D1928" s="28">
        <v>7627500132813</v>
      </c>
      <c r="E1928" s="29" t="s">
        <v>1331</v>
      </c>
      <c r="F1928" s="29" t="s">
        <v>322</v>
      </c>
      <c r="G1928">
        <v>12</v>
      </c>
      <c r="H1928" t="s">
        <v>1051</v>
      </c>
      <c r="I1928" t="s">
        <v>98</v>
      </c>
      <c r="J1928" t="s">
        <v>1644</v>
      </c>
      <c r="K1928" t="s">
        <v>337</v>
      </c>
    </row>
    <row r="1929" spans="1:12">
      <c r="A1929" t="s">
        <v>318</v>
      </c>
      <c r="B1929" t="s">
        <v>1624</v>
      </c>
      <c r="C1929" t="s">
        <v>1850</v>
      </c>
      <c r="D1929" s="28">
        <v>762751114547</v>
      </c>
      <c r="E1929" s="29" t="s">
        <v>1331</v>
      </c>
      <c r="F1929" s="29" t="s">
        <v>322</v>
      </c>
      <c r="G1929">
        <v>12</v>
      </c>
      <c r="H1929" t="s">
        <v>1051</v>
      </c>
      <c r="I1929" t="s">
        <v>98</v>
      </c>
      <c r="J1929" t="s">
        <v>1644</v>
      </c>
      <c r="K1929" t="s">
        <v>337</v>
      </c>
    </row>
    <row r="1930" spans="1:12">
      <c r="A1930" t="s">
        <v>318</v>
      </c>
      <c r="B1930" t="s">
        <v>1624</v>
      </c>
      <c r="C1930" t="s">
        <v>1851</v>
      </c>
      <c r="D1930" s="28">
        <v>762751151425</v>
      </c>
      <c r="E1930" s="29" t="s">
        <v>1331</v>
      </c>
      <c r="F1930" s="29" t="s">
        <v>322</v>
      </c>
      <c r="G1930">
        <v>12</v>
      </c>
      <c r="H1930" t="s">
        <v>1051</v>
      </c>
      <c r="I1930" t="s">
        <v>98</v>
      </c>
      <c r="J1930" t="s">
        <v>1644</v>
      </c>
      <c r="K1930" t="s">
        <v>337</v>
      </c>
    </row>
    <row r="1931" spans="1:12">
      <c r="A1931" t="s">
        <v>318</v>
      </c>
      <c r="B1931" t="s">
        <v>1624</v>
      </c>
      <c r="C1931" t="s">
        <v>1852</v>
      </c>
      <c r="D1931" s="28">
        <v>762751151426</v>
      </c>
      <c r="E1931" s="29" t="s">
        <v>1331</v>
      </c>
      <c r="F1931" s="29" t="s">
        <v>322</v>
      </c>
      <c r="G1931">
        <v>15</v>
      </c>
      <c r="H1931" t="s">
        <v>1051</v>
      </c>
      <c r="I1931" t="s">
        <v>98</v>
      </c>
      <c r="J1931" t="s">
        <v>1644</v>
      </c>
      <c r="K1931" t="s">
        <v>337</v>
      </c>
    </row>
    <row r="1932" spans="1:12">
      <c r="A1932" t="s">
        <v>318</v>
      </c>
      <c r="B1932" t="s">
        <v>1624</v>
      </c>
      <c r="C1932" t="s">
        <v>1853</v>
      </c>
      <c r="D1932" s="28">
        <v>7656300122510</v>
      </c>
      <c r="E1932" s="29" t="s">
        <v>368</v>
      </c>
      <c r="F1932" s="29" t="s">
        <v>364</v>
      </c>
      <c r="G1932">
        <v>152</v>
      </c>
      <c r="H1932" t="s">
        <v>323</v>
      </c>
      <c r="I1932" t="s">
        <v>98</v>
      </c>
      <c r="J1932" t="s">
        <v>1625</v>
      </c>
      <c r="K1932" t="s">
        <v>337</v>
      </c>
      <c r="L1932" t="s">
        <v>1090</v>
      </c>
    </row>
    <row r="1933" spans="1:12">
      <c r="A1933" t="s">
        <v>318</v>
      </c>
      <c r="B1933" t="s">
        <v>1854</v>
      </c>
      <c r="C1933" t="s">
        <v>1855</v>
      </c>
      <c r="D1933" s="28">
        <v>7683400018607</v>
      </c>
      <c r="E1933" s="29" t="s">
        <v>363</v>
      </c>
      <c r="F1933" s="29" t="s">
        <v>364</v>
      </c>
      <c r="G1933">
        <v>266</v>
      </c>
      <c r="H1933" t="s">
        <v>323</v>
      </c>
      <c r="I1933" t="s">
        <v>45</v>
      </c>
      <c r="J1933" t="s">
        <v>1856</v>
      </c>
      <c r="K1933" t="s">
        <v>394</v>
      </c>
      <c r="L1933" t="s">
        <v>1090</v>
      </c>
    </row>
    <row r="1934" spans="1:12">
      <c r="A1934" t="s">
        <v>318</v>
      </c>
      <c r="B1934" t="s">
        <v>1854</v>
      </c>
      <c r="C1934" t="s">
        <v>1857</v>
      </c>
      <c r="D1934" s="28">
        <v>7683400104808</v>
      </c>
      <c r="E1934" s="29" t="s">
        <v>363</v>
      </c>
      <c r="F1934" s="29" t="s">
        <v>364</v>
      </c>
      <c r="G1934">
        <v>220</v>
      </c>
      <c r="H1934" t="s">
        <v>323</v>
      </c>
      <c r="I1934" t="s">
        <v>98</v>
      </c>
      <c r="J1934" t="s">
        <v>1856</v>
      </c>
      <c r="K1934" t="s">
        <v>394</v>
      </c>
      <c r="L1934" t="s">
        <v>1090</v>
      </c>
    </row>
    <row r="1935" spans="1:12">
      <c r="A1935" t="s">
        <v>318</v>
      </c>
      <c r="B1935" t="s">
        <v>1854</v>
      </c>
      <c r="C1935" t="s">
        <v>1858</v>
      </c>
      <c r="D1935" s="28">
        <v>7683400105689</v>
      </c>
      <c r="E1935" s="30" t="s">
        <v>1859</v>
      </c>
      <c r="F1935" s="29" t="s">
        <v>364</v>
      </c>
      <c r="G1935">
        <v>100</v>
      </c>
      <c r="H1935" t="s">
        <v>1051</v>
      </c>
      <c r="I1935" t="s">
        <v>98</v>
      </c>
      <c r="J1935" t="s">
        <v>1856</v>
      </c>
      <c r="K1935" t="s">
        <v>365</v>
      </c>
      <c r="L1935" t="s">
        <v>1090</v>
      </c>
    </row>
    <row r="1936" spans="1:12">
      <c r="A1936" t="s">
        <v>318</v>
      </c>
      <c r="B1936" t="s">
        <v>1854</v>
      </c>
      <c r="C1936" t="s">
        <v>1860</v>
      </c>
      <c r="D1936" s="28">
        <v>7603600038651</v>
      </c>
      <c r="E1936" s="29" t="s">
        <v>371</v>
      </c>
      <c r="F1936" s="29" t="s">
        <v>372</v>
      </c>
      <c r="G1936">
        <v>13</v>
      </c>
      <c r="H1936" t="s">
        <v>1051</v>
      </c>
      <c r="I1936" t="s">
        <v>98</v>
      </c>
      <c r="J1936" t="s">
        <v>1861</v>
      </c>
      <c r="K1936" t="s">
        <v>285</v>
      </c>
      <c r="L1936" t="s">
        <v>327</v>
      </c>
    </row>
    <row r="1937" spans="1:12">
      <c r="A1937" t="s">
        <v>318</v>
      </c>
      <c r="B1937" t="s">
        <v>1854</v>
      </c>
      <c r="C1937" t="s">
        <v>1862</v>
      </c>
      <c r="D1937" s="28">
        <v>7603600038705</v>
      </c>
      <c r="E1937" s="29" t="s">
        <v>371</v>
      </c>
      <c r="F1937" s="29" t="s">
        <v>372</v>
      </c>
      <c r="G1937">
        <v>13</v>
      </c>
      <c r="H1937" t="s">
        <v>1051</v>
      </c>
      <c r="I1937" t="s">
        <v>98</v>
      </c>
      <c r="J1937" t="s">
        <v>1861</v>
      </c>
      <c r="K1937" t="s">
        <v>1226</v>
      </c>
      <c r="L1937" t="s">
        <v>327</v>
      </c>
    </row>
    <row r="1938" spans="1:12">
      <c r="A1938" t="s">
        <v>318</v>
      </c>
      <c r="B1938" t="s">
        <v>1854</v>
      </c>
      <c r="C1938" t="s">
        <v>1863</v>
      </c>
      <c r="D1938" s="28">
        <v>7603600040056</v>
      </c>
      <c r="E1938" s="29" t="s">
        <v>371</v>
      </c>
      <c r="F1938" s="29" t="s">
        <v>372</v>
      </c>
      <c r="G1938">
        <v>13</v>
      </c>
      <c r="H1938" t="s">
        <v>1051</v>
      </c>
      <c r="I1938" t="s">
        <v>98</v>
      </c>
      <c r="J1938" t="s">
        <v>1861</v>
      </c>
      <c r="K1938" t="s">
        <v>1226</v>
      </c>
      <c r="L1938" t="s">
        <v>327</v>
      </c>
    </row>
    <row r="1939" spans="1:12">
      <c r="A1939" t="s">
        <v>318</v>
      </c>
      <c r="B1939" t="s">
        <v>1854</v>
      </c>
      <c r="C1939" t="s">
        <v>572</v>
      </c>
      <c r="D1939" s="28">
        <v>7603600040100</v>
      </c>
      <c r="E1939" s="29" t="s">
        <v>371</v>
      </c>
      <c r="F1939" s="29" t="s">
        <v>372</v>
      </c>
      <c r="G1939">
        <v>13</v>
      </c>
      <c r="H1939" t="s">
        <v>1051</v>
      </c>
      <c r="I1939" t="s">
        <v>98</v>
      </c>
      <c r="J1939" t="s">
        <v>1861</v>
      </c>
      <c r="K1939" t="s">
        <v>285</v>
      </c>
      <c r="L1939" t="s">
        <v>327</v>
      </c>
    </row>
    <row r="1940" spans="1:12">
      <c r="A1940" t="s">
        <v>318</v>
      </c>
      <c r="B1940" t="s">
        <v>1854</v>
      </c>
      <c r="C1940" t="s">
        <v>1864</v>
      </c>
      <c r="D1940" s="28">
        <v>7611300022769</v>
      </c>
      <c r="E1940" s="29" t="s">
        <v>441</v>
      </c>
      <c r="F1940" s="29" t="s">
        <v>372</v>
      </c>
      <c r="G1940">
        <v>91</v>
      </c>
      <c r="H1940" t="s">
        <v>323</v>
      </c>
      <c r="I1940" t="s">
        <v>98</v>
      </c>
      <c r="J1940" t="s">
        <v>1865</v>
      </c>
      <c r="K1940" t="s">
        <v>285</v>
      </c>
      <c r="L1940" t="s">
        <v>327</v>
      </c>
    </row>
    <row r="1941" spans="1:12">
      <c r="A1941" t="s">
        <v>318</v>
      </c>
      <c r="B1941" t="s">
        <v>1854</v>
      </c>
      <c r="C1941" t="s">
        <v>348</v>
      </c>
      <c r="D1941" s="28">
        <v>7611300022854</v>
      </c>
      <c r="E1941" s="29" t="s">
        <v>371</v>
      </c>
      <c r="F1941" s="29" t="s">
        <v>372</v>
      </c>
      <c r="G1941">
        <v>13</v>
      </c>
      <c r="H1941" t="s">
        <v>1051</v>
      </c>
      <c r="I1941" t="s">
        <v>98</v>
      </c>
      <c r="J1941" t="s">
        <v>1865</v>
      </c>
      <c r="K1941" t="s">
        <v>285</v>
      </c>
      <c r="L1941" t="s">
        <v>327</v>
      </c>
    </row>
    <row r="1942" spans="1:12">
      <c r="A1942" t="s">
        <v>318</v>
      </c>
      <c r="B1942" t="s">
        <v>1854</v>
      </c>
      <c r="C1942" t="s">
        <v>1638</v>
      </c>
      <c r="D1942" s="28">
        <v>761131151636</v>
      </c>
      <c r="E1942" s="29" t="s">
        <v>441</v>
      </c>
      <c r="F1942" s="29" t="s">
        <v>372</v>
      </c>
      <c r="G1942">
        <v>52</v>
      </c>
      <c r="H1942" t="s">
        <v>323</v>
      </c>
      <c r="I1942" t="s">
        <v>98</v>
      </c>
      <c r="J1942" t="s">
        <v>1865</v>
      </c>
      <c r="K1942" t="s">
        <v>365</v>
      </c>
      <c r="L1942" t="s">
        <v>327</v>
      </c>
    </row>
    <row r="1943" spans="1:12">
      <c r="A1943" t="s">
        <v>318</v>
      </c>
      <c r="B1943" t="s">
        <v>1854</v>
      </c>
      <c r="C1943" t="s">
        <v>1866</v>
      </c>
      <c r="D1943" s="28">
        <v>7611300070482</v>
      </c>
      <c r="E1943" s="29" t="s">
        <v>371</v>
      </c>
      <c r="F1943" s="29" t="s">
        <v>372</v>
      </c>
      <c r="G1943">
        <v>13</v>
      </c>
      <c r="H1943" t="s">
        <v>1051</v>
      </c>
      <c r="I1943" t="s">
        <v>98</v>
      </c>
      <c r="J1943" t="s">
        <v>1865</v>
      </c>
      <c r="K1943" t="s">
        <v>285</v>
      </c>
      <c r="L1943" t="s">
        <v>327</v>
      </c>
    </row>
    <row r="1944" spans="1:12">
      <c r="A1944" t="s">
        <v>318</v>
      </c>
      <c r="B1944" t="s">
        <v>1854</v>
      </c>
      <c r="C1944" t="s">
        <v>387</v>
      </c>
      <c r="D1944" s="28">
        <v>7611300070554</v>
      </c>
      <c r="E1944" s="29" t="s">
        <v>371</v>
      </c>
      <c r="F1944" s="29" t="s">
        <v>372</v>
      </c>
      <c r="G1944">
        <v>13</v>
      </c>
      <c r="H1944" t="s">
        <v>1051</v>
      </c>
      <c r="I1944" t="s">
        <v>98</v>
      </c>
      <c r="J1944" t="s">
        <v>1865</v>
      </c>
      <c r="K1944" t="s">
        <v>1226</v>
      </c>
      <c r="L1944" t="s">
        <v>327</v>
      </c>
    </row>
    <row r="1945" spans="1:12">
      <c r="A1945" t="s">
        <v>318</v>
      </c>
      <c r="B1945" t="s">
        <v>1854</v>
      </c>
      <c r="C1945" t="s">
        <v>1590</v>
      </c>
      <c r="D1945" s="28">
        <v>7611300070684</v>
      </c>
      <c r="E1945" s="29" t="s">
        <v>371</v>
      </c>
      <c r="F1945" s="29" t="s">
        <v>372</v>
      </c>
      <c r="G1945">
        <v>13</v>
      </c>
      <c r="H1945" t="s">
        <v>1051</v>
      </c>
      <c r="I1945" t="s">
        <v>98</v>
      </c>
      <c r="J1945" t="s">
        <v>1865</v>
      </c>
      <c r="K1945" t="s">
        <v>285</v>
      </c>
      <c r="L1945" t="s">
        <v>327</v>
      </c>
    </row>
    <row r="1946" spans="1:12">
      <c r="A1946" t="s">
        <v>318</v>
      </c>
      <c r="B1946" t="s">
        <v>1854</v>
      </c>
      <c r="C1946" t="s">
        <v>773</v>
      </c>
      <c r="D1946" s="28">
        <v>7611300070777</v>
      </c>
      <c r="E1946" s="29" t="s">
        <v>371</v>
      </c>
      <c r="F1946" s="29" t="s">
        <v>372</v>
      </c>
      <c r="G1946">
        <v>13</v>
      </c>
      <c r="H1946" t="s">
        <v>1051</v>
      </c>
      <c r="I1946" t="s">
        <v>98</v>
      </c>
      <c r="J1946" t="s">
        <v>1865</v>
      </c>
      <c r="K1946" t="s">
        <v>285</v>
      </c>
      <c r="L1946" t="s">
        <v>327</v>
      </c>
    </row>
    <row r="1947" spans="1:12">
      <c r="A1947" t="s">
        <v>318</v>
      </c>
      <c r="B1947" t="s">
        <v>1854</v>
      </c>
      <c r="C1947" t="s">
        <v>1867</v>
      </c>
      <c r="D1947" s="28">
        <v>7611300073636</v>
      </c>
      <c r="E1947" s="29" t="s">
        <v>1045</v>
      </c>
      <c r="F1947" s="29" t="s">
        <v>372</v>
      </c>
      <c r="G1947">
        <v>15</v>
      </c>
      <c r="H1947" t="s">
        <v>1051</v>
      </c>
      <c r="I1947" t="s">
        <v>98</v>
      </c>
      <c r="J1947" t="s">
        <v>1865</v>
      </c>
      <c r="K1947" t="s">
        <v>285</v>
      </c>
      <c r="L1947" t="s">
        <v>327</v>
      </c>
    </row>
    <row r="1948" spans="1:12">
      <c r="A1948" t="s">
        <v>318</v>
      </c>
      <c r="B1948" t="s">
        <v>1854</v>
      </c>
      <c r="C1948" t="s">
        <v>1077</v>
      </c>
      <c r="D1948" s="28">
        <v>7611300073705</v>
      </c>
      <c r="E1948" s="29" t="s">
        <v>1045</v>
      </c>
      <c r="F1948" s="29" t="s">
        <v>372</v>
      </c>
      <c r="G1948">
        <v>15</v>
      </c>
      <c r="H1948" t="s">
        <v>1051</v>
      </c>
      <c r="I1948" t="s">
        <v>98</v>
      </c>
      <c r="J1948" t="s">
        <v>1865</v>
      </c>
      <c r="K1948" t="s">
        <v>1226</v>
      </c>
      <c r="L1948" t="s">
        <v>327</v>
      </c>
    </row>
    <row r="1949" spans="1:12">
      <c r="A1949" t="s">
        <v>318</v>
      </c>
      <c r="B1949" t="s">
        <v>1854</v>
      </c>
      <c r="C1949" t="s">
        <v>1010</v>
      </c>
      <c r="D1949" s="28">
        <v>7611300131029</v>
      </c>
      <c r="E1949" s="29" t="s">
        <v>1045</v>
      </c>
      <c r="F1949" s="29" t="s">
        <v>372</v>
      </c>
      <c r="G1949">
        <v>15</v>
      </c>
      <c r="H1949" t="s">
        <v>1051</v>
      </c>
      <c r="I1949" t="s">
        <v>98</v>
      </c>
      <c r="J1949" t="s">
        <v>1865</v>
      </c>
      <c r="K1949" t="s">
        <v>1226</v>
      </c>
      <c r="L1949" t="s">
        <v>327</v>
      </c>
    </row>
    <row r="1950" spans="1:12">
      <c r="A1950" t="s">
        <v>318</v>
      </c>
      <c r="B1950" t="s">
        <v>1854</v>
      </c>
      <c r="C1950" t="s">
        <v>1868</v>
      </c>
      <c r="D1950" s="28">
        <v>7611300132200</v>
      </c>
      <c r="E1950" s="29" t="s">
        <v>371</v>
      </c>
      <c r="F1950" s="29" t="s">
        <v>372</v>
      </c>
      <c r="G1950">
        <v>13</v>
      </c>
      <c r="H1950" t="s">
        <v>1051</v>
      </c>
      <c r="I1950" t="s">
        <v>98</v>
      </c>
      <c r="J1950" t="s">
        <v>1865</v>
      </c>
      <c r="K1950" t="s">
        <v>1226</v>
      </c>
      <c r="L1950" t="s">
        <v>327</v>
      </c>
    </row>
    <row r="1951" spans="1:12">
      <c r="A1951" t="s">
        <v>318</v>
      </c>
      <c r="B1951" t="s">
        <v>1854</v>
      </c>
      <c r="C1951" t="s">
        <v>1429</v>
      </c>
      <c r="D1951" s="28">
        <v>7661600066758</v>
      </c>
      <c r="E1951" s="29" t="s">
        <v>371</v>
      </c>
      <c r="F1951" s="29" t="s">
        <v>372</v>
      </c>
      <c r="G1951">
        <v>13</v>
      </c>
      <c r="H1951" t="s">
        <v>323</v>
      </c>
      <c r="I1951" t="s">
        <v>45</v>
      </c>
      <c r="J1951" t="s">
        <v>1869</v>
      </c>
      <c r="K1951" t="s">
        <v>1226</v>
      </c>
      <c r="L1951" t="s">
        <v>327</v>
      </c>
    </row>
    <row r="1952" spans="1:12">
      <c r="A1952" t="s">
        <v>318</v>
      </c>
      <c r="B1952" t="s">
        <v>1854</v>
      </c>
      <c r="C1952" t="s">
        <v>1392</v>
      </c>
      <c r="D1952" s="28">
        <v>7661600066760</v>
      </c>
      <c r="E1952" s="29" t="s">
        <v>371</v>
      </c>
      <c r="F1952" s="29" t="s">
        <v>372</v>
      </c>
      <c r="G1952">
        <v>13</v>
      </c>
      <c r="H1952" t="s">
        <v>1051</v>
      </c>
      <c r="I1952" t="s">
        <v>98</v>
      </c>
      <c r="J1952" t="s">
        <v>1869</v>
      </c>
      <c r="K1952" t="s">
        <v>1226</v>
      </c>
      <c r="L1952" t="s">
        <v>327</v>
      </c>
    </row>
    <row r="1953" spans="1:12">
      <c r="A1953" t="s">
        <v>318</v>
      </c>
      <c r="B1953" t="s">
        <v>1854</v>
      </c>
      <c r="C1953" t="s">
        <v>1870</v>
      </c>
      <c r="D1953" s="28">
        <v>7661600073772</v>
      </c>
      <c r="E1953" s="29" t="s">
        <v>441</v>
      </c>
      <c r="F1953" s="29" t="s">
        <v>372</v>
      </c>
      <c r="G1953">
        <v>39</v>
      </c>
      <c r="H1953" t="s">
        <v>323</v>
      </c>
      <c r="I1953" t="s">
        <v>45</v>
      </c>
      <c r="J1953" t="s">
        <v>1869</v>
      </c>
      <c r="K1953" t="s">
        <v>285</v>
      </c>
      <c r="L1953" t="s">
        <v>327</v>
      </c>
    </row>
    <row r="1954" spans="1:12">
      <c r="A1954" t="s">
        <v>318</v>
      </c>
      <c r="B1954" t="s">
        <v>1854</v>
      </c>
      <c r="C1954" t="s">
        <v>816</v>
      </c>
      <c r="D1954" s="28">
        <v>7661600131852</v>
      </c>
      <c r="E1954" s="29" t="s">
        <v>441</v>
      </c>
      <c r="F1954" s="29" t="s">
        <v>372</v>
      </c>
      <c r="G1954">
        <v>52</v>
      </c>
      <c r="H1954" t="s">
        <v>323</v>
      </c>
      <c r="I1954" t="s">
        <v>45</v>
      </c>
      <c r="J1954" t="s">
        <v>1869</v>
      </c>
      <c r="K1954" t="s">
        <v>285</v>
      </c>
      <c r="L1954" t="s">
        <v>327</v>
      </c>
    </row>
    <row r="1955" spans="1:12">
      <c r="A1955" t="s">
        <v>318</v>
      </c>
      <c r="B1955" t="s">
        <v>1854</v>
      </c>
      <c r="C1955" t="s">
        <v>387</v>
      </c>
      <c r="D1955" s="28">
        <v>7682800066910</v>
      </c>
      <c r="E1955" s="29" t="s">
        <v>371</v>
      </c>
      <c r="F1955" s="29" t="s">
        <v>372</v>
      </c>
      <c r="G1955">
        <v>13</v>
      </c>
      <c r="H1955" t="s">
        <v>323</v>
      </c>
      <c r="I1955" t="s">
        <v>45</v>
      </c>
      <c r="J1955" t="s">
        <v>1871</v>
      </c>
      <c r="K1955" t="s">
        <v>285</v>
      </c>
      <c r="L1955" t="s">
        <v>327</v>
      </c>
    </row>
    <row r="1956" spans="1:12">
      <c r="A1956" t="s">
        <v>318</v>
      </c>
      <c r="B1956" t="s">
        <v>1854</v>
      </c>
      <c r="C1956" t="s">
        <v>598</v>
      </c>
      <c r="D1956" s="28">
        <v>7682800066925</v>
      </c>
      <c r="E1956" s="29" t="s">
        <v>371</v>
      </c>
      <c r="F1956" s="29" t="s">
        <v>372</v>
      </c>
      <c r="G1956">
        <v>13</v>
      </c>
      <c r="H1956" t="s">
        <v>323</v>
      </c>
      <c r="I1956" t="s">
        <v>45</v>
      </c>
      <c r="J1956" t="s">
        <v>1871</v>
      </c>
      <c r="K1956" t="s">
        <v>285</v>
      </c>
      <c r="L1956" t="s">
        <v>327</v>
      </c>
    </row>
    <row r="1957" spans="1:12">
      <c r="A1957" t="s">
        <v>318</v>
      </c>
      <c r="B1957" t="s">
        <v>1854</v>
      </c>
      <c r="C1957" t="s">
        <v>1296</v>
      </c>
      <c r="D1957" s="28">
        <v>7682800066956</v>
      </c>
      <c r="E1957" s="29" t="s">
        <v>371</v>
      </c>
      <c r="F1957" s="29" t="s">
        <v>372</v>
      </c>
      <c r="G1957">
        <v>13</v>
      </c>
      <c r="H1957" t="s">
        <v>323</v>
      </c>
      <c r="I1957" t="s">
        <v>45</v>
      </c>
      <c r="J1957" t="s">
        <v>1871</v>
      </c>
      <c r="K1957" t="s">
        <v>285</v>
      </c>
      <c r="L1957" t="s">
        <v>327</v>
      </c>
    </row>
    <row r="1958" spans="1:12">
      <c r="A1958" t="s">
        <v>318</v>
      </c>
      <c r="B1958" t="s">
        <v>1854</v>
      </c>
      <c r="C1958" t="s">
        <v>1182</v>
      </c>
      <c r="D1958" s="28">
        <v>7682800067006</v>
      </c>
      <c r="E1958" s="29" t="s">
        <v>371</v>
      </c>
      <c r="F1958" s="29" t="s">
        <v>372</v>
      </c>
      <c r="G1958">
        <v>13</v>
      </c>
      <c r="H1958" t="s">
        <v>323</v>
      </c>
      <c r="I1958" t="s">
        <v>45</v>
      </c>
      <c r="J1958" t="s">
        <v>1871</v>
      </c>
      <c r="K1958" t="s">
        <v>285</v>
      </c>
      <c r="L1958" t="s">
        <v>327</v>
      </c>
    </row>
    <row r="1959" spans="1:12">
      <c r="A1959" t="s">
        <v>318</v>
      </c>
      <c r="B1959" t="s">
        <v>1854</v>
      </c>
      <c r="C1959" t="s">
        <v>1872</v>
      </c>
      <c r="D1959" s="28">
        <v>7682800132003</v>
      </c>
      <c r="E1959" s="29" t="s">
        <v>441</v>
      </c>
      <c r="F1959" s="29" t="s">
        <v>372</v>
      </c>
      <c r="G1959">
        <v>65</v>
      </c>
      <c r="H1959" t="s">
        <v>323</v>
      </c>
      <c r="I1959" t="s">
        <v>45</v>
      </c>
      <c r="J1959" t="s">
        <v>1871</v>
      </c>
      <c r="K1959" t="s">
        <v>285</v>
      </c>
      <c r="L1959" t="s">
        <v>327</v>
      </c>
    </row>
    <row r="1960" spans="1:12">
      <c r="A1960" t="s">
        <v>318</v>
      </c>
      <c r="B1960" t="s">
        <v>1854</v>
      </c>
      <c r="C1960" t="s">
        <v>1873</v>
      </c>
      <c r="D1960" s="28">
        <v>7682800132108</v>
      </c>
      <c r="E1960" s="29" t="s">
        <v>441</v>
      </c>
      <c r="F1960" s="29" t="s">
        <v>372</v>
      </c>
      <c r="G1960">
        <v>52</v>
      </c>
      <c r="H1960" t="s">
        <v>323</v>
      </c>
      <c r="I1960" t="s">
        <v>45</v>
      </c>
      <c r="J1960" t="s">
        <v>1871</v>
      </c>
      <c r="K1960" t="s">
        <v>285</v>
      </c>
      <c r="L1960" t="s">
        <v>327</v>
      </c>
    </row>
    <row r="1961" spans="1:12">
      <c r="A1961" t="s">
        <v>318</v>
      </c>
      <c r="B1961" t="s">
        <v>1854</v>
      </c>
      <c r="C1961" t="s">
        <v>1874</v>
      </c>
      <c r="D1961" s="28">
        <v>768281126514</v>
      </c>
      <c r="E1961" s="29" t="s">
        <v>371</v>
      </c>
      <c r="F1961" s="29" t="s">
        <v>372</v>
      </c>
      <c r="G1961">
        <v>13</v>
      </c>
      <c r="H1961" t="s">
        <v>323</v>
      </c>
      <c r="I1961" t="s">
        <v>45</v>
      </c>
      <c r="J1961" t="s">
        <v>1871</v>
      </c>
      <c r="K1961" t="s">
        <v>285</v>
      </c>
      <c r="L1961" t="s">
        <v>327</v>
      </c>
    </row>
    <row r="1962" spans="1:12">
      <c r="A1962" t="s">
        <v>318</v>
      </c>
      <c r="B1962" t="s">
        <v>1854</v>
      </c>
      <c r="C1962" t="s">
        <v>1875</v>
      </c>
      <c r="D1962" s="28">
        <v>768281126516</v>
      </c>
      <c r="E1962" s="29" t="s">
        <v>371</v>
      </c>
      <c r="F1962" s="29" t="s">
        <v>372</v>
      </c>
      <c r="G1962">
        <v>13</v>
      </c>
      <c r="H1962" t="s">
        <v>323</v>
      </c>
      <c r="I1962" t="s">
        <v>45</v>
      </c>
      <c r="J1962" t="s">
        <v>1871</v>
      </c>
      <c r="K1962" t="s">
        <v>285</v>
      </c>
      <c r="L1962" t="s">
        <v>327</v>
      </c>
    </row>
    <row r="1963" spans="1:12">
      <c r="A1963" t="s">
        <v>318</v>
      </c>
      <c r="B1963" t="s">
        <v>1854</v>
      </c>
      <c r="C1963" t="s">
        <v>1876</v>
      </c>
      <c r="D1963" s="28">
        <v>768341153540</v>
      </c>
      <c r="E1963" s="29" t="s">
        <v>321</v>
      </c>
      <c r="F1963" s="29" t="s">
        <v>322</v>
      </c>
      <c r="G1963">
        <v>52</v>
      </c>
      <c r="H1963" t="s">
        <v>323</v>
      </c>
      <c r="I1963" t="s">
        <v>45</v>
      </c>
      <c r="J1963" t="s">
        <v>1856</v>
      </c>
      <c r="K1963" t="s">
        <v>394</v>
      </c>
      <c r="L1963" t="s">
        <v>1090</v>
      </c>
    </row>
    <row r="1964" spans="1:12">
      <c r="A1964" t="s">
        <v>318</v>
      </c>
      <c r="B1964" t="s">
        <v>1854</v>
      </c>
      <c r="C1964" t="s">
        <v>1877</v>
      </c>
      <c r="D1964" s="28">
        <v>768341154619</v>
      </c>
      <c r="E1964" s="29" t="s">
        <v>321</v>
      </c>
      <c r="F1964" s="29" t="s">
        <v>322</v>
      </c>
      <c r="G1964">
        <v>16</v>
      </c>
      <c r="H1964" t="s">
        <v>323</v>
      </c>
      <c r="I1964" t="s">
        <v>45</v>
      </c>
      <c r="J1964" t="s">
        <v>1856</v>
      </c>
      <c r="K1964" t="s">
        <v>394</v>
      </c>
      <c r="L1964" t="s">
        <v>1090</v>
      </c>
    </row>
    <row r="1965" spans="1:12">
      <c r="A1965" t="s">
        <v>318</v>
      </c>
      <c r="B1965" t="s">
        <v>1854</v>
      </c>
      <c r="C1965" t="s">
        <v>1403</v>
      </c>
      <c r="D1965" s="28">
        <v>768281131317</v>
      </c>
      <c r="E1965" s="29" t="s">
        <v>393</v>
      </c>
      <c r="F1965" s="29" t="s">
        <v>372</v>
      </c>
      <c r="G1965">
        <v>32</v>
      </c>
      <c r="H1965" t="s">
        <v>323</v>
      </c>
      <c r="I1965" t="s">
        <v>45</v>
      </c>
      <c r="J1965" t="s">
        <v>1871</v>
      </c>
      <c r="K1965" t="s">
        <v>369</v>
      </c>
      <c r="L1965" t="s">
        <v>327</v>
      </c>
    </row>
    <row r="1966" spans="1:12">
      <c r="A1966" t="s">
        <v>318</v>
      </c>
      <c r="B1966" t="s">
        <v>1854</v>
      </c>
      <c r="C1966" t="s">
        <v>1878</v>
      </c>
      <c r="D1966" s="28">
        <v>768281131359</v>
      </c>
      <c r="E1966" s="29" t="s">
        <v>393</v>
      </c>
      <c r="F1966" s="29" t="s">
        <v>372</v>
      </c>
      <c r="G1966">
        <v>16</v>
      </c>
      <c r="H1966" t="s">
        <v>323</v>
      </c>
      <c r="I1966" t="s">
        <v>45</v>
      </c>
      <c r="J1966" t="s">
        <v>1871</v>
      </c>
      <c r="K1966" t="s">
        <v>394</v>
      </c>
      <c r="L1966" t="s">
        <v>327</v>
      </c>
    </row>
    <row r="1967" spans="1:12">
      <c r="A1967" t="s">
        <v>318</v>
      </c>
      <c r="B1967" t="s">
        <v>1854</v>
      </c>
      <c r="C1967" t="s">
        <v>1879</v>
      </c>
      <c r="D1967" s="28">
        <v>768281131360</v>
      </c>
      <c r="E1967" s="29" t="s">
        <v>393</v>
      </c>
      <c r="F1967" s="29" t="s">
        <v>372</v>
      </c>
      <c r="G1967">
        <v>16</v>
      </c>
      <c r="H1967" t="s">
        <v>323</v>
      </c>
      <c r="I1967" t="s">
        <v>45</v>
      </c>
      <c r="J1967" t="s">
        <v>1871</v>
      </c>
      <c r="K1967" t="s">
        <v>369</v>
      </c>
      <c r="L1967" t="s">
        <v>327</v>
      </c>
    </row>
    <row r="1968" spans="1:12">
      <c r="A1968" t="s">
        <v>318</v>
      </c>
      <c r="B1968" t="s">
        <v>1854</v>
      </c>
      <c r="C1968" t="s">
        <v>1060</v>
      </c>
      <c r="D1968" s="28">
        <v>768281131371</v>
      </c>
      <c r="E1968" s="29" t="s">
        <v>393</v>
      </c>
      <c r="F1968" s="29" t="s">
        <v>372</v>
      </c>
      <c r="G1968">
        <v>32</v>
      </c>
      <c r="H1968" t="s">
        <v>323</v>
      </c>
      <c r="I1968" t="s">
        <v>45</v>
      </c>
      <c r="J1968" t="s">
        <v>1871</v>
      </c>
      <c r="K1968" t="s">
        <v>369</v>
      </c>
      <c r="L1968" t="s">
        <v>327</v>
      </c>
    </row>
    <row r="1969" spans="1:12">
      <c r="A1969" t="s">
        <v>318</v>
      </c>
      <c r="B1969" t="s">
        <v>1854</v>
      </c>
      <c r="C1969" t="s">
        <v>1549</v>
      </c>
      <c r="D1969" s="28">
        <v>768281131376</v>
      </c>
      <c r="E1969" s="29" t="s">
        <v>393</v>
      </c>
      <c r="F1969" s="29" t="s">
        <v>372</v>
      </c>
      <c r="G1969">
        <v>35</v>
      </c>
      <c r="H1969" t="s">
        <v>323</v>
      </c>
      <c r="I1969" t="s">
        <v>45</v>
      </c>
      <c r="J1969" t="s">
        <v>1871</v>
      </c>
      <c r="K1969" t="s">
        <v>369</v>
      </c>
      <c r="L1969" t="s">
        <v>327</v>
      </c>
    </row>
    <row r="1970" spans="1:12">
      <c r="A1970" t="s">
        <v>318</v>
      </c>
      <c r="B1970" t="s">
        <v>1854</v>
      </c>
      <c r="C1970" t="s">
        <v>1880</v>
      </c>
      <c r="D1970" s="28">
        <v>768281131388</v>
      </c>
      <c r="E1970" s="29" t="s">
        <v>393</v>
      </c>
      <c r="F1970" s="29" t="s">
        <v>372</v>
      </c>
      <c r="G1970">
        <v>46</v>
      </c>
      <c r="H1970" t="s">
        <v>323</v>
      </c>
      <c r="I1970" t="s">
        <v>45</v>
      </c>
      <c r="J1970" t="s">
        <v>1871</v>
      </c>
      <c r="K1970" t="s">
        <v>369</v>
      </c>
      <c r="L1970" t="s">
        <v>327</v>
      </c>
    </row>
    <row r="1971" spans="1:12">
      <c r="A1971" t="s">
        <v>318</v>
      </c>
      <c r="B1971" t="s">
        <v>1854</v>
      </c>
      <c r="C1971" t="s">
        <v>1881</v>
      </c>
      <c r="D1971" s="28">
        <v>768281131612</v>
      </c>
      <c r="E1971" s="29" t="s">
        <v>393</v>
      </c>
      <c r="F1971" s="29" t="s">
        <v>372</v>
      </c>
      <c r="G1971">
        <v>53</v>
      </c>
      <c r="H1971" t="s">
        <v>323</v>
      </c>
      <c r="I1971" t="s">
        <v>45</v>
      </c>
      <c r="J1971" t="s">
        <v>1871</v>
      </c>
      <c r="K1971" t="s">
        <v>369</v>
      </c>
      <c r="L1971" t="s">
        <v>327</v>
      </c>
    </row>
    <row r="1972" spans="1:12">
      <c r="A1972" t="s">
        <v>318</v>
      </c>
      <c r="B1972" t="s">
        <v>1854</v>
      </c>
      <c r="C1972" t="s">
        <v>1882</v>
      </c>
      <c r="D1972" s="28">
        <v>768281137193</v>
      </c>
      <c r="E1972" s="29" t="s">
        <v>363</v>
      </c>
      <c r="F1972" s="29" t="s">
        <v>364</v>
      </c>
      <c r="G1972">
        <v>53</v>
      </c>
      <c r="H1972" t="s">
        <v>323</v>
      </c>
      <c r="I1972" t="s">
        <v>45</v>
      </c>
      <c r="J1972" t="s">
        <v>1871</v>
      </c>
      <c r="K1972" t="s">
        <v>365</v>
      </c>
    </row>
    <row r="1973" spans="1:12">
      <c r="A1973" t="s">
        <v>318</v>
      </c>
      <c r="B1973" t="s">
        <v>1854</v>
      </c>
      <c r="C1973" t="s">
        <v>1883</v>
      </c>
      <c r="D1973" s="28">
        <v>768281140995</v>
      </c>
      <c r="E1973" s="29" t="s">
        <v>393</v>
      </c>
      <c r="F1973" s="29" t="s">
        <v>372</v>
      </c>
      <c r="G1973">
        <v>53</v>
      </c>
      <c r="H1973" t="s">
        <v>323</v>
      </c>
      <c r="I1973" t="s">
        <v>45</v>
      </c>
      <c r="J1973" t="s">
        <v>1871</v>
      </c>
      <c r="K1973" t="s">
        <v>394</v>
      </c>
      <c r="L1973" t="s">
        <v>327</v>
      </c>
    </row>
    <row r="1974" spans="1:12">
      <c r="A1974" t="s">
        <v>318</v>
      </c>
      <c r="B1974" t="s">
        <v>1854</v>
      </c>
      <c r="C1974" t="s">
        <v>1884</v>
      </c>
      <c r="D1974" s="28">
        <v>768281147471</v>
      </c>
      <c r="E1974" s="29" t="s">
        <v>393</v>
      </c>
      <c r="F1974" s="29" t="s">
        <v>372</v>
      </c>
      <c r="G1974">
        <v>16</v>
      </c>
      <c r="H1974" t="s">
        <v>323</v>
      </c>
      <c r="I1974" t="s">
        <v>45</v>
      </c>
      <c r="J1974" t="s">
        <v>1871</v>
      </c>
      <c r="K1974" t="s">
        <v>369</v>
      </c>
      <c r="L1974" t="s">
        <v>327</v>
      </c>
    </row>
    <row r="1975" spans="1:12">
      <c r="A1975" t="s">
        <v>318</v>
      </c>
      <c r="B1975" t="s">
        <v>1854</v>
      </c>
      <c r="C1975" t="s">
        <v>1885</v>
      </c>
      <c r="D1975" s="28">
        <v>761131133386</v>
      </c>
      <c r="E1975" s="29" t="s">
        <v>393</v>
      </c>
      <c r="F1975" s="29" t="s">
        <v>372</v>
      </c>
      <c r="G1975">
        <v>17</v>
      </c>
      <c r="H1975" t="s">
        <v>323</v>
      </c>
      <c r="I1975" t="s">
        <v>45</v>
      </c>
      <c r="J1975" t="s">
        <v>1865</v>
      </c>
      <c r="K1975" t="s">
        <v>394</v>
      </c>
      <c r="L1975" t="s">
        <v>327</v>
      </c>
    </row>
    <row r="1976" spans="1:12">
      <c r="A1976" t="s">
        <v>318</v>
      </c>
      <c r="B1976" t="s">
        <v>1854</v>
      </c>
      <c r="C1976" t="s">
        <v>1886</v>
      </c>
      <c r="D1976" s="28">
        <v>761131133391</v>
      </c>
      <c r="E1976" s="29" t="s">
        <v>393</v>
      </c>
      <c r="F1976" s="29" t="s">
        <v>372</v>
      </c>
      <c r="G1976">
        <v>25</v>
      </c>
      <c r="H1976" t="s">
        <v>323</v>
      </c>
      <c r="I1976" t="s">
        <v>45</v>
      </c>
      <c r="J1976" t="s">
        <v>1865</v>
      </c>
      <c r="K1976" t="s">
        <v>394</v>
      </c>
      <c r="L1976" t="s">
        <v>327</v>
      </c>
    </row>
    <row r="1977" spans="1:12">
      <c r="A1977" t="s">
        <v>318</v>
      </c>
      <c r="B1977" t="s">
        <v>1854</v>
      </c>
      <c r="C1977" t="s">
        <v>1887</v>
      </c>
      <c r="D1977" s="28">
        <v>761131133394</v>
      </c>
      <c r="E1977" s="29" t="s">
        <v>393</v>
      </c>
      <c r="F1977" s="29" t="s">
        <v>372</v>
      </c>
      <c r="G1977">
        <v>16</v>
      </c>
      <c r="H1977" t="s">
        <v>323</v>
      </c>
      <c r="I1977" t="s">
        <v>45</v>
      </c>
      <c r="J1977" t="s">
        <v>1865</v>
      </c>
      <c r="K1977" t="s">
        <v>394</v>
      </c>
      <c r="L1977" t="s">
        <v>327</v>
      </c>
    </row>
    <row r="1978" spans="1:12">
      <c r="A1978" t="s">
        <v>318</v>
      </c>
      <c r="B1978" t="s">
        <v>1854</v>
      </c>
      <c r="C1978" t="s">
        <v>1888</v>
      </c>
      <c r="D1978" s="28">
        <v>761131133396</v>
      </c>
      <c r="E1978" s="29" t="s">
        <v>393</v>
      </c>
      <c r="F1978" s="29" t="s">
        <v>372</v>
      </c>
      <c r="G1978">
        <v>32</v>
      </c>
      <c r="H1978" t="s">
        <v>323</v>
      </c>
      <c r="I1978" t="s">
        <v>45</v>
      </c>
      <c r="J1978" t="s">
        <v>1865</v>
      </c>
      <c r="K1978" t="s">
        <v>394</v>
      </c>
      <c r="L1978" t="s">
        <v>327</v>
      </c>
    </row>
    <row r="1979" spans="1:12">
      <c r="A1979" t="s">
        <v>318</v>
      </c>
      <c r="B1979" t="s">
        <v>1854</v>
      </c>
      <c r="C1979" t="s">
        <v>1889</v>
      </c>
      <c r="D1979" s="28">
        <v>761131133398</v>
      </c>
      <c r="E1979" s="29" t="s">
        <v>393</v>
      </c>
      <c r="F1979" s="29" t="s">
        <v>372</v>
      </c>
      <c r="G1979">
        <v>16</v>
      </c>
      <c r="H1979" t="s">
        <v>323</v>
      </c>
      <c r="I1979" t="s">
        <v>45</v>
      </c>
      <c r="J1979" t="s">
        <v>1865</v>
      </c>
      <c r="K1979" t="s">
        <v>394</v>
      </c>
      <c r="L1979" t="s">
        <v>327</v>
      </c>
    </row>
    <row r="1980" spans="1:12">
      <c r="A1980" t="s">
        <v>318</v>
      </c>
      <c r="B1980" t="s">
        <v>1854</v>
      </c>
      <c r="C1980" t="s">
        <v>1778</v>
      </c>
      <c r="D1980" s="28">
        <v>761131133399</v>
      </c>
      <c r="E1980" s="29" t="s">
        <v>393</v>
      </c>
      <c r="F1980" s="29" t="s">
        <v>372</v>
      </c>
      <c r="G1980">
        <v>32</v>
      </c>
      <c r="H1980" t="s">
        <v>323</v>
      </c>
      <c r="I1980" t="s">
        <v>45</v>
      </c>
      <c r="J1980" t="s">
        <v>1865</v>
      </c>
      <c r="K1980" t="s">
        <v>394</v>
      </c>
      <c r="L1980" t="s">
        <v>327</v>
      </c>
    </row>
    <row r="1981" spans="1:12">
      <c r="A1981" t="s">
        <v>318</v>
      </c>
      <c r="B1981" t="s">
        <v>1854</v>
      </c>
      <c r="C1981" t="s">
        <v>1890</v>
      </c>
      <c r="D1981" s="28">
        <v>761131133401</v>
      </c>
      <c r="E1981" s="29" t="s">
        <v>393</v>
      </c>
      <c r="F1981" s="29" t="s">
        <v>372</v>
      </c>
      <c r="G1981">
        <v>48</v>
      </c>
      <c r="H1981" t="s">
        <v>323</v>
      </c>
      <c r="I1981" t="s">
        <v>45</v>
      </c>
      <c r="J1981" t="s">
        <v>1865</v>
      </c>
      <c r="K1981" t="s">
        <v>394</v>
      </c>
      <c r="L1981" t="s">
        <v>327</v>
      </c>
    </row>
    <row r="1982" spans="1:12">
      <c r="A1982" t="s">
        <v>318</v>
      </c>
      <c r="B1982" t="s">
        <v>1854</v>
      </c>
      <c r="C1982" t="s">
        <v>1891</v>
      </c>
      <c r="D1982" s="28">
        <v>761131133403</v>
      </c>
      <c r="E1982" s="29" t="s">
        <v>393</v>
      </c>
      <c r="F1982" s="29" t="s">
        <v>372</v>
      </c>
      <c r="G1982">
        <v>20</v>
      </c>
      <c r="H1982" t="s">
        <v>323</v>
      </c>
      <c r="I1982" t="s">
        <v>45</v>
      </c>
      <c r="J1982" t="s">
        <v>1865</v>
      </c>
      <c r="K1982" t="s">
        <v>394</v>
      </c>
      <c r="L1982" t="s">
        <v>327</v>
      </c>
    </row>
    <row r="1983" spans="1:12">
      <c r="A1983" t="s">
        <v>318</v>
      </c>
      <c r="B1983" t="s">
        <v>1854</v>
      </c>
      <c r="C1983" t="s">
        <v>1892</v>
      </c>
      <c r="D1983" s="28">
        <v>761131133404</v>
      </c>
      <c r="E1983" s="29" t="s">
        <v>393</v>
      </c>
      <c r="F1983" s="29" t="s">
        <v>372</v>
      </c>
      <c r="G1983">
        <v>33</v>
      </c>
      <c r="H1983" t="s">
        <v>323</v>
      </c>
      <c r="I1983" t="s">
        <v>45</v>
      </c>
      <c r="J1983" t="s">
        <v>1865</v>
      </c>
      <c r="K1983" t="s">
        <v>394</v>
      </c>
      <c r="L1983" t="s">
        <v>327</v>
      </c>
    </row>
    <row r="1984" spans="1:12">
      <c r="A1984" t="s">
        <v>318</v>
      </c>
      <c r="B1984" t="s">
        <v>1854</v>
      </c>
      <c r="C1984" t="s">
        <v>1893</v>
      </c>
      <c r="D1984" s="28">
        <v>7683400026691</v>
      </c>
      <c r="E1984" s="29" t="s">
        <v>987</v>
      </c>
      <c r="F1984" s="29" t="s">
        <v>364</v>
      </c>
      <c r="G1984">
        <v>200</v>
      </c>
      <c r="H1984" t="s">
        <v>323</v>
      </c>
      <c r="I1984" t="s">
        <v>45</v>
      </c>
      <c r="J1984" t="s">
        <v>1856</v>
      </c>
      <c r="K1984" t="s">
        <v>1894</v>
      </c>
      <c r="L1984" t="s">
        <v>1090</v>
      </c>
    </row>
    <row r="1985" spans="1:12">
      <c r="A1985" t="s">
        <v>318</v>
      </c>
      <c r="B1985" t="s">
        <v>1854</v>
      </c>
      <c r="C1985" t="s">
        <v>1895</v>
      </c>
      <c r="D1985" s="28">
        <v>7683400054894</v>
      </c>
      <c r="E1985" s="29" t="s">
        <v>987</v>
      </c>
      <c r="F1985" s="29" t="s">
        <v>364</v>
      </c>
      <c r="G1985">
        <v>70</v>
      </c>
      <c r="H1985" t="s">
        <v>323</v>
      </c>
      <c r="I1985" t="s">
        <v>45</v>
      </c>
      <c r="J1985" t="s">
        <v>1856</v>
      </c>
      <c r="K1985" t="s">
        <v>365</v>
      </c>
      <c r="L1985" t="s">
        <v>1090</v>
      </c>
    </row>
    <row r="1986" spans="1:12">
      <c r="A1986" t="s">
        <v>318</v>
      </c>
      <c r="B1986" t="s">
        <v>1854</v>
      </c>
      <c r="C1986" t="s">
        <v>1896</v>
      </c>
      <c r="D1986" s="28">
        <v>7603600038726</v>
      </c>
      <c r="E1986" s="29" t="s">
        <v>371</v>
      </c>
      <c r="F1986" s="29" t="s">
        <v>372</v>
      </c>
      <c r="G1986">
        <v>11</v>
      </c>
      <c r="H1986" t="s">
        <v>1051</v>
      </c>
      <c r="I1986" t="s">
        <v>98</v>
      </c>
      <c r="J1986" t="s">
        <v>1861</v>
      </c>
      <c r="K1986" t="s">
        <v>1226</v>
      </c>
      <c r="L1986" t="s">
        <v>327</v>
      </c>
    </row>
    <row r="1987" spans="1:12">
      <c r="A1987" t="s">
        <v>318</v>
      </c>
      <c r="B1987" t="s">
        <v>1854</v>
      </c>
      <c r="C1987" t="s">
        <v>442</v>
      </c>
      <c r="D1987" s="28">
        <v>7603600038780</v>
      </c>
      <c r="E1987" s="29" t="s">
        <v>371</v>
      </c>
      <c r="F1987" s="29" t="s">
        <v>372</v>
      </c>
      <c r="G1987">
        <v>13</v>
      </c>
      <c r="H1987" t="s">
        <v>1051</v>
      </c>
      <c r="I1987" t="s">
        <v>98</v>
      </c>
      <c r="J1987" t="s">
        <v>1861</v>
      </c>
      <c r="K1987" t="s">
        <v>285</v>
      </c>
      <c r="L1987" t="s">
        <v>327</v>
      </c>
    </row>
    <row r="1988" spans="1:12">
      <c r="A1988" t="s">
        <v>318</v>
      </c>
      <c r="B1988" t="s">
        <v>1854</v>
      </c>
      <c r="C1988" t="s">
        <v>1897</v>
      </c>
      <c r="D1988" s="28">
        <v>7603600038831</v>
      </c>
      <c r="E1988" s="29" t="s">
        <v>371</v>
      </c>
      <c r="F1988" s="29" t="s">
        <v>372</v>
      </c>
      <c r="G1988">
        <v>13</v>
      </c>
      <c r="H1988" t="s">
        <v>1051</v>
      </c>
      <c r="I1988" t="s">
        <v>98</v>
      </c>
      <c r="J1988" t="s">
        <v>1861</v>
      </c>
      <c r="K1988" t="s">
        <v>285</v>
      </c>
      <c r="L1988" t="s">
        <v>327</v>
      </c>
    </row>
    <row r="1989" spans="1:12">
      <c r="A1989" t="s">
        <v>318</v>
      </c>
      <c r="B1989" t="s">
        <v>1854</v>
      </c>
      <c r="C1989" t="s">
        <v>488</v>
      </c>
      <c r="D1989" s="28">
        <v>7603600039918</v>
      </c>
      <c r="E1989" s="29" t="s">
        <v>371</v>
      </c>
      <c r="F1989" s="29" t="s">
        <v>372</v>
      </c>
      <c r="G1989">
        <v>12</v>
      </c>
      <c r="H1989" t="s">
        <v>1051</v>
      </c>
      <c r="I1989" t="s">
        <v>98</v>
      </c>
      <c r="J1989" t="s">
        <v>1861</v>
      </c>
      <c r="K1989" t="s">
        <v>285</v>
      </c>
      <c r="L1989" t="s">
        <v>327</v>
      </c>
    </row>
    <row r="1990" spans="1:12">
      <c r="A1990" t="s">
        <v>318</v>
      </c>
      <c r="B1990" t="s">
        <v>1854</v>
      </c>
      <c r="C1990" t="s">
        <v>454</v>
      </c>
      <c r="D1990" s="28">
        <v>7603600070790</v>
      </c>
      <c r="E1990" s="29" t="s">
        <v>441</v>
      </c>
      <c r="F1990" s="29" t="s">
        <v>372</v>
      </c>
      <c r="G1990">
        <v>52</v>
      </c>
      <c r="H1990" t="s">
        <v>1051</v>
      </c>
      <c r="I1990" t="s">
        <v>98</v>
      </c>
      <c r="J1990" t="s">
        <v>1861</v>
      </c>
      <c r="K1990" t="s">
        <v>285</v>
      </c>
      <c r="L1990" t="s">
        <v>327</v>
      </c>
    </row>
    <row r="1991" spans="1:12">
      <c r="A1991" t="s">
        <v>318</v>
      </c>
      <c r="B1991" t="s">
        <v>1854</v>
      </c>
      <c r="C1991" t="s">
        <v>1898</v>
      </c>
      <c r="D1991" s="28">
        <v>7603600073604</v>
      </c>
      <c r="E1991" s="29" t="s">
        <v>1045</v>
      </c>
      <c r="F1991" s="29" t="s">
        <v>372</v>
      </c>
      <c r="G1991">
        <v>15</v>
      </c>
      <c r="H1991" t="s">
        <v>1051</v>
      </c>
      <c r="I1991" t="s">
        <v>98</v>
      </c>
      <c r="J1991" t="s">
        <v>1861</v>
      </c>
      <c r="K1991" t="s">
        <v>1226</v>
      </c>
      <c r="L1991" t="s">
        <v>327</v>
      </c>
    </row>
    <row r="1992" spans="1:12">
      <c r="A1992" t="s">
        <v>318</v>
      </c>
      <c r="B1992" t="s">
        <v>1854</v>
      </c>
      <c r="C1992" t="s">
        <v>1899</v>
      </c>
      <c r="D1992" s="28">
        <v>7603600073615</v>
      </c>
      <c r="E1992" s="29" t="s">
        <v>1045</v>
      </c>
      <c r="F1992" s="29" t="s">
        <v>372</v>
      </c>
      <c r="G1992">
        <v>15</v>
      </c>
      <c r="H1992" t="s">
        <v>1051</v>
      </c>
      <c r="I1992" t="s">
        <v>98</v>
      </c>
      <c r="J1992" t="s">
        <v>1861</v>
      </c>
      <c r="K1992" t="s">
        <v>1226</v>
      </c>
      <c r="L1992" t="s">
        <v>327</v>
      </c>
    </row>
    <row r="1993" spans="1:12">
      <c r="A1993" t="s">
        <v>318</v>
      </c>
      <c r="B1993" t="s">
        <v>1854</v>
      </c>
      <c r="C1993" t="s">
        <v>1870</v>
      </c>
      <c r="D1993" s="28">
        <v>7603600073620</v>
      </c>
      <c r="E1993" s="29" t="s">
        <v>1045</v>
      </c>
      <c r="F1993" s="29" t="s">
        <v>372</v>
      </c>
      <c r="G1993">
        <v>15</v>
      </c>
      <c r="H1993" t="s">
        <v>1051</v>
      </c>
      <c r="I1993" t="s">
        <v>45</v>
      </c>
      <c r="J1993" t="s">
        <v>1861</v>
      </c>
      <c r="K1993" t="s">
        <v>285</v>
      </c>
      <c r="L1993" t="s">
        <v>327</v>
      </c>
    </row>
    <row r="1994" spans="1:12">
      <c r="A1994" t="s">
        <v>318</v>
      </c>
      <c r="B1994" t="s">
        <v>1854</v>
      </c>
      <c r="C1994" t="s">
        <v>1900</v>
      </c>
      <c r="D1994" s="28">
        <v>7603600073626</v>
      </c>
      <c r="E1994" s="29" t="s">
        <v>1045</v>
      </c>
      <c r="F1994" s="29" t="s">
        <v>372</v>
      </c>
      <c r="G1994">
        <v>15</v>
      </c>
      <c r="H1994" t="s">
        <v>1051</v>
      </c>
      <c r="I1994" t="s">
        <v>98</v>
      </c>
      <c r="J1994" t="s">
        <v>1861</v>
      </c>
      <c r="K1994" t="s">
        <v>1226</v>
      </c>
      <c r="L1994" t="s">
        <v>327</v>
      </c>
    </row>
    <row r="1995" spans="1:12">
      <c r="A1995" t="s">
        <v>318</v>
      </c>
      <c r="B1995" t="s">
        <v>1854</v>
      </c>
      <c r="C1995" t="s">
        <v>1901</v>
      </c>
      <c r="D1995" s="28">
        <v>7603600130762</v>
      </c>
      <c r="E1995" s="29" t="s">
        <v>1045</v>
      </c>
      <c r="F1995" s="29" t="s">
        <v>372</v>
      </c>
      <c r="G1995">
        <v>15</v>
      </c>
      <c r="H1995" t="s">
        <v>1051</v>
      </c>
      <c r="I1995" t="s">
        <v>98</v>
      </c>
      <c r="J1995" t="s">
        <v>1861</v>
      </c>
      <c r="K1995" t="s">
        <v>1226</v>
      </c>
      <c r="L1995" t="s">
        <v>327</v>
      </c>
    </row>
    <row r="1996" spans="1:12">
      <c r="A1996" t="s">
        <v>318</v>
      </c>
      <c r="B1996" t="s">
        <v>1854</v>
      </c>
      <c r="C1996" t="s">
        <v>1902</v>
      </c>
      <c r="D1996" s="28">
        <v>7603600130777</v>
      </c>
      <c r="E1996" s="29" t="s">
        <v>1045</v>
      </c>
      <c r="F1996" s="29" t="s">
        <v>372</v>
      </c>
      <c r="G1996">
        <v>15</v>
      </c>
      <c r="H1996" t="s">
        <v>1051</v>
      </c>
      <c r="I1996" t="s">
        <v>98</v>
      </c>
      <c r="J1996" t="s">
        <v>1861</v>
      </c>
      <c r="K1996" t="s">
        <v>285</v>
      </c>
      <c r="L1996" t="s">
        <v>327</v>
      </c>
    </row>
    <row r="1997" spans="1:12">
      <c r="A1997" t="s">
        <v>318</v>
      </c>
      <c r="B1997" t="s">
        <v>1854</v>
      </c>
      <c r="C1997" t="s">
        <v>1903</v>
      </c>
      <c r="D1997" s="28">
        <v>7603600130820</v>
      </c>
      <c r="E1997" s="29" t="s">
        <v>441</v>
      </c>
      <c r="F1997" s="29" t="s">
        <v>372</v>
      </c>
      <c r="G1997">
        <v>27</v>
      </c>
      <c r="H1997" t="s">
        <v>323</v>
      </c>
      <c r="I1997" t="s">
        <v>45</v>
      </c>
      <c r="J1997" t="s">
        <v>1861</v>
      </c>
      <c r="K1997" t="s">
        <v>285</v>
      </c>
      <c r="L1997" t="s">
        <v>327</v>
      </c>
    </row>
    <row r="1998" spans="1:12">
      <c r="A1998" t="s">
        <v>318</v>
      </c>
      <c r="B1998" t="s">
        <v>1854</v>
      </c>
      <c r="C1998" t="s">
        <v>1904</v>
      </c>
      <c r="D1998" s="28">
        <v>7661600123416</v>
      </c>
      <c r="E1998" s="29" t="s">
        <v>368</v>
      </c>
      <c r="F1998" s="29" t="s">
        <v>364</v>
      </c>
      <c r="G1998">
        <v>48</v>
      </c>
      <c r="H1998" t="s">
        <v>323</v>
      </c>
      <c r="I1998" t="s">
        <v>45</v>
      </c>
      <c r="J1998" t="s">
        <v>1869</v>
      </c>
      <c r="K1998" t="s">
        <v>394</v>
      </c>
      <c r="L1998" t="s">
        <v>327</v>
      </c>
    </row>
    <row r="1999" spans="1:12">
      <c r="A1999" t="s">
        <v>318</v>
      </c>
      <c r="B1999" t="s">
        <v>1854</v>
      </c>
      <c r="C1999" t="s">
        <v>435</v>
      </c>
      <c r="D1999" s="28">
        <v>766161131280</v>
      </c>
      <c r="E1999" s="29" t="s">
        <v>393</v>
      </c>
      <c r="F1999" s="29" t="s">
        <v>372</v>
      </c>
      <c r="G1999">
        <v>20</v>
      </c>
      <c r="H1999" t="s">
        <v>323</v>
      </c>
      <c r="I1999" t="s">
        <v>45</v>
      </c>
      <c r="J1999" t="s">
        <v>1869</v>
      </c>
      <c r="K1999" t="s">
        <v>369</v>
      </c>
      <c r="L1999" t="s">
        <v>327</v>
      </c>
    </row>
    <row r="2000" spans="1:12">
      <c r="A2000" t="s">
        <v>318</v>
      </c>
      <c r="B2000" t="s">
        <v>1854</v>
      </c>
      <c r="C2000" t="s">
        <v>1798</v>
      </c>
      <c r="D2000" s="28">
        <v>766161131286</v>
      </c>
      <c r="E2000" s="29" t="s">
        <v>393</v>
      </c>
      <c r="F2000" s="29" t="s">
        <v>372</v>
      </c>
      <c r="G2000">
        <v>17</v>
      </c>
      <c r="H2000" t="s">
        <v>323</v>
      </c>
      <c r="I2000" t="s">
        <v>45</v>
      </c>
      <c r="J2000" t="s">
        <v>1869</v>
      </c>
      <c r="K2000" t="s">
        <v>369</v>
      </c>
      <c r="L2000" t="s">
        <v>327</v>
      </c>
    </row>
    <row r="2001" spans="1:12">
      <c r="A2001" t="s">
        <v>318</v>
      </c>
      <c r="B2001" t="s">
        <v>1854</v>
      </c>
      <c r="C2001" t="s">
        <v>1905</v>
      </c>
      <c r="D2001" s="28">
        <v>766161131289</v>
      </c>
      <c r="E2001" s="29" t="s">
        <v>393</v>
      </c>
      <c r="F2001" s="29" t="s">
        <v>372</v>
      </c>
      <c r="G2001">
        <v>22</v>
      </c>
      <c r="H2001" t="s">
        <v>323</v>
      </c>
      <c r="I2001" t="s">
        <v>45</v>
      </c>
      <c r="J2001" t="s">
        <v>1869</v>
      </c>
      <c r="K2001" t="s">
        <v>337</v>
      </c>
      <c r="L2001" t="s">
        <v>327</v>
      </c>
    </row>
    <row r="2002" spans="1:12">
      <c r="A2002" t="s">
        <v>318</v>
      </c>
      <c r="B2002" t="s">
        <v>1854</v>
      </c>
      <c r="C2002" t="s">
        <v>377</v>
      </c>
      <c r="D2002" s="28">
        <v>766161131290</v>
      </c>
      <c r="E2002" s="29" t="s">
        <v>393</v>
      </c>
      <c r="F2002" s="29" t="s">
        <v>372</v>
      </c>
      <c r="G2002">
        <v>12</v>
      </c>
      <c r="H2002" t="s">
        <v>323</v>
      </c>
      <c r="I2002" t="s">
        <v>45</v>
      </c>
      <c r="J2002" t="s">
        <v>1869</v>
      </c>
      <c r="K2002" t="s">
        <v>369</v>
      </c>
      <c r="L2002" t="s">
        <v>327</v>
      </c>
    </row>
    <row r="2003" spans="1:12">
      <c r="A2003" t="s">
        <v>318</v>
      </c>
      <c r="B2003" t="s">
        <v>1854</v>
      </c>
      <c r="C2003" t="s">
        <v>1906</v>
      </c>
      <c r="D2003" s="28">
        <v>766161131293</v>
      </c>
      <c r="E2003" s="29" t="s">
        <v>393</v>
      </c>
      <c r="F2003" s="29" t="s">
        <v>372</v>
      </c>
      <c r="G2003">
        <v>15</v>
      </c>
      <c r="H2003" t="s">
        <v>323</v>
      </c>
      <c r="I2003" t="s">
        <v>45</v>
      </c>
      <c r="J2003" t="s">
        <v>1869</v>
      </c>
      <c r="K2003" t="s">
        <v>369</v>
      </c>
      <c r="L2003" t="s">
        <v>327</v>
      </c>
    </row>
    <row r="2004" spans="1:12">
      <c r="A2004" t="s">
        <v>318</v>
      </c>
      <c r="B2004" t="s">
        <v>1854</v>
      </c>
      <c r="C2004" t="s">
        <v>1907</v>
      </c>
      <c r="D2004" s="28">
        <v>766161131302</v>
      </c>
      <c r="E2004" s="29" t="s">
        <v>393</v>
      </c>
      <c r="F2004" s="29" t="s">
        <v>372</v>
      </c>
      <c r="G2004">
        <v>15</v>
      </c>
      <c r="H2004" t="s">
        <v>323</v>
      </c>
      <c r="I2004" t="s">
        <v>45</v>
      </c>
      <c r="J2004" t="s">
        <v>1869</v>
      </c>
      <c r="K2004" t="s">
        <v>369</v>
      </c>
      <c r="L2004" t="s">
        <v>327</v>
      </c>
    </row>
    <row r="2005" spans="1:12">
      <c r="A2005" t="s">
        <v>318</v>
      </c>
      <c r="B2005" t="s">
        <v>1854</v>
      </c>
      <c r="C2005" t="s">
        <v>1554</v>
      </c>
      <c r="D2005" s="28">
        <v>766161131644</v>
      </c>
      <c r="E2005" s="29" t="s">
        <v>393</v>
      </c>
      <c r="F2005" s="29" t="s">
        <v>372</v>
      </c>
      <c r="G2005">
        <v>18</v>
      </c>
      <c r="H2005" t="s">
        <v>323</v>
      </c>
      <c r="I2005" t="s">
        <v>45</v>
      </c>
      <c r="J2005" t="s">
        <v>1869</v>
      </c>
      <c r="K2005" t="s">
        <v>394</v>
      </c>
      <c r="L2005" t="s">
        <v>327</v>
      </c>
    </row>
    <row r="2006" spans="1:12">
      <c r="A2006" t="s">
        <v>318</v>
      </c>
      <c r="B2006" t="s">
        <v>1854</v>
      </c>
      <c r="C2006" t="s">
        <v>1908</v>
      </c>
      <c r="D2006" s="28">
        <v>766161143900</v>
      </c>
      <c r="E2006" s="29" t="s">
        <v>393</v>
      </c>
      <c r="F2006" s="29" t="s">
        <v>372</v>
      </c>
      <c r="G2006">
        <v>33</v>
      </c>
      <c r="H2006" t="s">
        <v>323</v>
      </c>
      <c r="I2006" t="s">
        <v>45</v>
      </c>
      <c r="J2006" t="s">
        <v>1869</v>
      </c>
      <c r="K2006" t="s">
        <v>394</v>
      </c>
      <c r="L2006" t="s">
        <v>327</v>
      </c>
    </row>
    <row r="2007" spans="1:12">
      <c r="A2007" t="s">
        <v>318</v>
      </c>
      <c r="B2007" t="s">
        <v>1854</v>
      </c>
      <c r="C2007" t="s">
        <v>1909</v>
      </c>
      <c r="D2007" s="28">
        <v>7603600018416</v>
      </c>
      <c r="E2007" s="29" t="s">
        <v>363</v>
      </c>
      <c r="F2007" s="29" t="s">
        <v>364</v>
      </c>
      <c r="G2007">
        <v>40</v>
      </c>
      <c r="H2007" t="s">
        <v>1051</v>
      </c>
      <c r="I2007" t="s">
        <v>98</v>
      </c>
      <c r="J2007" t="s">
        <v>1861</v>
      </c>
      <c r="K2007" t="s">
        <v>365</v>
      </c>
      <c r="L2007" t="s">
        <v>1090</v>
      </c>
    </row>
    <row r="2008" spans="1:12">
      <c r="A2008" t="s">
        <v>318</v>
      </c>
      <c r="B2008" t="s">
        <v>1854</v>
      </c>
      <c r="C2008" t="s">
        <v>1910</v>
      </c>
      <c r="D2008" s="28">
        <v>7683400054975</v>
      </c>
      <c r="E2008" s="29" t="s">
        <v>987</v>
      </c>
      <c r="F2008" s="29" t="s">
        <v>364</v>
      </c>
      <c r="G2008">
        <v>120</v>
      </c>
      <c r="H2008" t="s">
        <v>1051</v>
      </c>
      <c r="I2008" t="s">
        <v>98</v>
      </c>
      <c r="J2008" t="s">
        <v>1856</v>
      </c>
      <c r="K2008" t="s">
        <v>394</v>
      </c>
      <c r="L2008" t="s">
        <v>1090</v>
      </c>
    </row>
    <row r="2009" spans="1:12">
      <c r="A2009" t="s">
        <v>318</v>
      </c>
      <c r="B2009" t="s">
        <v>1854</v>
      </c>
      <c r="C2009" t="s">
        <v>1911</v>
      </c>
      <c r="D2009" s="28">
        <v>7683400072384</v>
      </c>
      <c r="E2009" s="29" t="s">
        <v>987</v>
      </c>
      <c r="F2009" s="29" t="s">
        <v>364</v>
      </c>
      <c r="G2009">
        <v>111</v>
      </c>
      <c r="H2009" t="s">
        <v>323</v>
      </c>
      <c r="I2009" t="s">
        <v>45</v>
      </c>
      <c r="J2009" t="s">
        <v>1856</v>
      </c>
      <c r="K2009" t="s">
        <v>1912</v>
      </c>
      <c r="L2009" t="s">
        <v>1090</v>
      </c>
    </row>
    <row r="2010" spans="1:12">
      <c r="A2010" t="s">
        <v>318</v>
      </c>
      <c r="B2010" t="s">
        <v>1854</v>
      </c>
      <c r="C2010" t="s">
        <v>1913</v>
      </c>
      <c r="D2010" s="28">
        <v>7683400130408</v>
      </c>
      <c r="E2010" s="29" t="s">
        <v>393</v>
      </c>
      <c r="F2010" s="29" t="s">
        <v>372</v>
      </c>
      <c r="G2010">
        <v>30</v>
      </c>
      <c r="H2010" t="s">
        <v>323</v>
      </c>
      <c r="I2010" t="s">
        <v>45</v>
      </c>
      <c r="J2010" t="s">
        <v>1856</v>
      </c>
      <c r="K2010" t="s">
        <v>394</v>
      </c>
      <c r="L2010" t="s">
        <v>327</v>
      </c>
    </row>
    <row r="2011" spans="1:12">
      <c r="A2011" t="s">
        <v>318</v>
      </c>
      <c r="B2011" t="s">
        <v>1854</v>
      </c>
      <c r="C2011" t="s">
        <v>1914</v>
      </c>
      <c r="D2011" s="28">
        <v>7683400130419</v>
      </c>
      <c r="E2011" s="29" t="s">
        <v>393</v>
      </c>
      <c r="F2011" s="29" t="s">
        <v>372</v>
      </c>
      <c r="G2011">
        <v>30</v>
      </c>
      <c r="H2011" t="s">
        <v>1051</v>
      </c>
      <c r="I2011" t="s">
        <v>98</v>
      </c>
      <c r="J2011" t="s">
        <v>1856</v>
      </c>
      <c r="K2011" t="s">
        <v>394</v>
      </c>
      <c r="L2011" t="s">
        <v>327</v>
      </c>
    </row>
    <row r="2012" spans="1:12">
      <c r="A2012" t="s">
        <v>318</v>
      </c>
      <c r="B2012" t="s">
        <v>1854</v>
      </c>
      <c r="C2012" t="s">
        <v>1915</v>
      </c>
      <c r="D2012" s="28">
        <v>7683400130480</v>
      </c>
      <c r="E2012" s="29" t="s">
        <v>393</v>
      </c>
      <c r="F2012" s="29" t="s">
        <v>372</v>
      </c>
      <c r="G2012">
        <v>21</v>
      </c>
      <c r="H2012" t="s">
        <v>323</v>
      </c>
      <c r="I2012" t="s">
        <v>45</v>
      </c>
      <c r="J2012" t="s">
        <v>1856</v>
      </c>
      <c r="K2012" t="s">
        <v>394</v>
      </c>
      <c r="L2012" t="s">
        <v>327</v>
      </c>
    </row>
    <row r="2013" spans="1:12">
      <c r="A2013" t="s">
        <v>318</v>
      </c>
      <c r="B2013" t="s">
        <v>1854</v>
      </c>
      <c r="C2013" t="s">
        <v>1778</v>
      </c>
      <c r="D2013" s="28">
        <v>7683400130500</v>
      </c>
      <c r="E2013" s="29" t="s">
        <v>393</v>
      </c>
      <c r="F2013" s="29" t="s">
        <v>372</v>
      </c>
      <c r="G2013">
        <v>52</v>
      </c>
      <c r="H2013" t="s">
        <v>323</v>
      </c>
      <c r="I2013" t="s">
        <v>45</v>
      </c>
      <c r="J2013" t="s">
        <v>1856</v>
      </c>
      <c r="K2013" t="s">
        <v>394</v>
      </c>
      <c r="L2013" t="s">
        <v>1090</v>
      </c>
    </row>
    <row r="2014" spans="1:12">
      <c r="A2014" t="s">
        <v>318</v>
      </c>
      <c r="B2014" t="s">
        <v>1854</v>
      </c>
      <c r="C2014" t="s">
        <v>1916</v>
      </c>
      <c r="D2014" s="28">
        <v>7683400130508</v>
      </c>
      <c r="E2014" s="29" t="s">
        <v>393</v>
      </c>
      <c r="F2014" s="29" t="s">
        <v>372</v>
      </c>
      <c r="G2014">
        <v>30</v>
      </c>
      <c r="H2014" t="s">
        <v>1051</v>
      </c>
      <c r="I2014" t="s">
        <v>98</v>
      </c>
      <c r="J2014" t="s">
        <v>1856</v>
      </c>
      <c r="K2014" t="s">
        <v>394</v>
      </c>
      <c r="L2014" t="s">
        <v>1090</v>
      </c>
    </row>
    <row r="2015" spans="1:12">
      <c r="A2015" t="s">
        <v>318</v>
      </c>
      <c r="B2015" t="s">
        <v>1854</v>
      </c>
      <c r="C2015" t="s">
        <v>1917</v>
      </c>
      <c r="D2015" s="28">
        <v>7683400130516</v>
      </c>
      <c r="E2015" s="29" t="s">
        <v>393</v>
      </c>
      <c r="F2015" s="29" t="s">
        <v>372</v>
      </c>
      <c r="G2015">
        <v>52</v>
      </c>
      <c r="H2015" t="s">
        <v>1051</v>
      </c>
      <c r="I2015" t="s">
        <v>98</v>
      </c>
      <c r="J2015" t="s">
        <v>1856</v>
      </c>
      <c r="K2015" t="s">
        <v>394</v>
      </c>
      <c r="L2015" t="s">
        <v>1090</v>
      </c>
    </row>
    <row r="2016" spans="1:12">
      <c r="A2016" t="s">
        <v>318</v>
      </c>
      <c r="B2016" t="s">
        <v>1854</v>
      </c>
      <c r="C2016" t="s">
        <v>1918</v>
      </c>
      <c r="D2016" s="28">
        <v>7683400130527</v>
      </c>
      <c r="E2016" s="29" t="s">
        <v>393</v>
      </c>
      <c r="F2016" s="29" t="s">
        <v>372</v>
      </c>
      <c r="G2016">
        <v>50</v>
      </c>
      <c r="H2016" t="s">
        <v>1051</v>
      </c>
      <c r="I2016" t="s">
        <v>98</v>
      </c>
      <c r="J2016" t="s">
        <v>1856</v>
      </c>
      <c r="K2016" t="s">
        <v>394</v>
      </c>
      <c r="L2016" t="s">
        <v>1090</v>
      </c>
    </row>
    <row r="2017" spans="1:12">
      <c r="A2017" t="s">
        <v>318</v>
      </c>
      <c r="B2017" t="s">
        <v>1854</v>
      </c>
      <c r="C2017" t="s">
        <v>1919</v>
      </c>
      <c r="D2017" s="28">
        <v>7683400130564</v>
      </c>
      <c r="E2017" s="29" t="s">
        <v>393</v>
      </c>
      <c r="F2017" s="29" t="s">
        <v>372</v>
      </c>
      <c r="G2017">
        <v>30</v>
      </c>
      <c r="H2017" t="s">
        <v>323</v>
      </c>
      <c r="I2017" t="s">
        <v>45</v>
      </c>
      <c r="J2017" t="s">
        <v>1856</v>
      </c>
      <c r="K2017" t="s">
        <v>394</v>
      </c>
      <c r="L2017" t="s">
        <v>1090</v>
      </c>
    </row>
    <row r="2018" spans="1:12">
      <c r="A2018" t="s">
        <v>318</v>
      </c>
      <c r="B2018" t="s">
        <v>1854</v>
      </c>
      <c r="C2018" t="s">
        <v>1920</v>
      </c>
      <c r="D2018" s="28">
        <v>7683400130575</v>
      </c>
      <c r="E2018" s="29" t="s">
        <v>393</v>
      </c>
      <c r="F2018" s="29" t="s">
        <v>372</v>
      </c>
      <c r="G2018">
        <v>15</v>
      </c>
      <c r="H2018" t="s">
        <v>1051</v>
      </c>
      <c r="I2018" t="s">
        <v>98</v>
      </c>
      <c r="J2018" t="s">
        <v>1856</v>
      </c>
      <c r="K2018" t="s">
        <v>394</v>
      </c>
      <c r="L2018" t="s">
        <v>1090</v>
      </c>
    </row>
    <row r="2019" spans="1:12">
      <c r="A2019" t="s">
        <v>318</v>
      </c>
      <c r="B2019" t="s">
        <v>1854</v>
      </c>
      <c r="C2019" t="s">
        <v>1921</v>
      </c>
      <c r="D2019" s="28">
        <v>7683400130579</v>
      </c>
      <c r="E2019" s="29" t="s">
        <v>393</v>
      </c>
      <c r="F2019" s="29" t="s">
        <v>372</v>
      </c>
      <c r="G2019">
        <v>30</v>
      </c>
      <c r="H2019" t="s">
        <v>323</v>
      </c>
      <c r="I2019" t="s">
        <v>45</v>
      </c>
      <c r="J2019" t="s">
        <v>1856</v>
      </c>
      <c r="K2019" t="s">
        <v>394</v>
      </c>
      <c r="L2019" t="s">
        <v>327</v>
      </c>
    </row>
    <row r="2020" spans="1:12">
      <c r="A2020" t="s">
        <v>318</v>
      </c>
      <c r="B2020" t="s">
        <v>1854</v>
      </c>
      <c r="C2020" t="s">
        <v>1922</v>
      </c>
      <c r="D2020" s="28">
        <v>7683400130593</v>
      </c>
      <c r="E2020" s="29" t="s">
        <v>393</v>
      </c>
      <c r="F2020" s="29" t="s">
        <v>372</v>
      </c>
      <c r="G2020">
        <v>52</v>
      </c>
      <c r="H2020" t="s">
        <v>1051</v>
      </c>
      <c r="I2020" t="s">
        <v>98</v>
      </c>
      <c r="J2020" t="s">
        <v>1856</v>
      </c>
      <c r="K2020" t="s">
        <v>394</v>
      </c>
      <c r="L2020" t="s">
        <v>1090</v>
      </c>
    </row>
    <row r="2021" spans="1:12">
      <c r="A2021" t="s">
        <v>318</v>
      </c>
      <c r="B2021" t="s">
        <v>1854</v>
      </c>
      <c r="C2021" t="s">
        <v>1923</v>
      </c>
      <c r="D2021" s="28">
        <v>7683400131384</v>
      </c>
      <c r="E2021" s="29" t="s">
        <v>393</v>
      </c>
      <c r="F2021" s="29" t="s">
        <v>372</v>
      </c>
      <c r="G2021">
        <v>36</v>
      </c>
      <c r="H2021" t="s">
        <v>1051</v>
      </c>
      <c r="I2021" t="s">
        <v>98</v>
      </c>
      <c r="J2021" t="s">
        <v>1856</v>
      </c>
      <c r="K2021" t="s">
        <v>394</v>
      </c>
      <c r="L2021" t="s">
        <v>1090</v>
      </c>
    </row>
    <row r="2022" spans="1:12">
      <c r="A2022" t="s">
        <v>318</v>
      </c>
      <c r="B2022" t="s">
        <v>1854</v>
      </c>
      <c r="C2022" t="s">
        <v>1924</v>
      </c>
      <c r="D2022" s="28">
        <v>7683400131428</v>
      </c>
      <c r="E2022" s="29" t="s">
        <v>393</v>
      </c>
      <c r="F2022" s="29" t="s">
        <v>372</v>
      </c>
      <c r="G2022">
        <v>16</v>
      </c>
      <c r="H2022" t="s">
        <v>1051</v>
      </c>
      <c r="I2022" t="s">
        <v>98</v>
      </c>
      <c r="J2022" t="s">
        <v>1856</v>
      </c>
      <c r="K2022" t="s">
        <v>394</v>
      </c>
      <c r="L2022" t="s">
        <v>1090</v>
      </c>
    </row>
    <row r="2023" spans="1:12">
      <c r="A2023" t="s">
        <v>318</v>
      </c>
      <c r="B2023" t="s">
        <v>1854</v>
      </c>
      <c r="C2023" t="s">
        <v>1646</v>
      </c>
      <c r="D2023" s="28">
        <v>7683400131439</v>
      </c>
      <c r="E2023" s="29" t="s">
        <v>393</v>
      </c>
      <c r="F2023" s="29" t="s">
        <v>372</v>
      </c>
      <c r="G2023">
        <v>51</v>
      </c>
      <c r="H2023" t="s">
        <v>1051</v>
      </c>
      <c r="I2023" t="s">
        <v>98</v>
      </c>
      <c r="J2023" t="s">
        <v>1856</v>
      </c>
      <c r="K2023" t="s">
        <v>394</v>
      </c>
      <c r="L2023" t="s">
        <v>1090</v>
      </c>
    </row>
    <row r="2024" spans="1:12">
      <c r="A2024" t="s">
        <v>318</v>
      </c>
      <c r="B2024" t="s">
        <v>1854</v>
      </c>
      <c r="C2024" t="s">
        <v>1925</v>
      </c>
      <c r="D2024" s="28">
        <v>768341113243</v>
      </c>
      <c r="E2024" s="29" t="s">
        <v>393</v>
      </c>
      <c r="F2024" s="29" t="s">
        <v>372</v>
      </c>
      <c r="G2024">
        <v>36</v>
      </c>
      <c r="H2024" t="s">
        <v>1051</v>
      </c>
      <c r="I2024" t="s">
        <v>98</v>
      </c>
      <c r="J2024" t="s">
        <v>1856</v>
      </c>
      <c r="K2024" t="s">
        <v>394</v>
      </c>
      <c r="L2024" t="s">
        <v>1090</v>
      </c>
    </row>
    <row r="2025" spans="1:12">
      <c r="A2025" t="s">
        <v>318</v>
      </c>
      <c r="B2025" t="s">
        <v>1854</v>
      </c>
      <c r="C2025" t="s">
        <v>1926</v>
      </c>
      <c r="D2025" s="28">
        <v>768341129832</v>
      </c>
      <c r="E2025" s="29" t="s">
        <v>393</v>
      </c>
      <c r="F2025" s="29" t="s">
        <v>372</v>
      </c>
      <c r="G2025">
        <v>20</v>
      </c>
      <c r="H2025" t="s">
        <v>1051</v>
      </c>
      <c r="I2025" t="s">
        <v>98</v>
      </c>
      <c r="J2025" t="s">
        <v>1856</v>
      </c>
      <c r="K2025" t="s">
        <v>394</v>
      </c>
      <c r="L2025" t="s">
        <v>1090</v>
      </c>
    </row>
    <row r="2026" spans="1:12">
      <c r="A2026" t="s">
        <v>318</v>
      </c>
      <c r="B2026" t="s">
        <v>1854</v>
      </c>
      <c r="C2026" t="s">
        <v>1927</v>
      </c>
      <c r="D2026" s="28">
        <v>768341129836</v>
      </c>
      <c r="E2026" s="29" t="s">
        <v>393</v>
      </c>
      <c r="F2026" s="29" t="s">
        <v>372</v>
      </c>
      <c r="G2026">
        <v>15</v>
      </c>
      <c r="H2026" t="s">
        <v>323</v>
      </c>
      <c r="I2026" t="s">
        <v>98</v>
      </c>
      <c r="J2026" t="s">
        <v>1856</v>
      </c>
      <c r="K2026" t="s">
        <v>394</v>
      </c>
      <c r="L2026" t="s">
        <v>327</v>
      </c>
    </row>
    <row r="2027" spans="1:12">
      <c r="A2027" t="s">
        <v>318</v>
      </c>
      <c r="B2027" t="s">
        <v>1854</v>
      </c>
      <c r="C2027" t="s">
        <v>1928</v>
      </c>
      <c r="D2027" s="28">
        <v>768341129851</v>
      </c>
      <c r="E2027" s="29" t="s">
        <v>393</v>
      </c>
      <c r="F2027" s="29" t="s">
        <v>372</v>
      </c>
      <c r="G2027">
        <v>21</v>
      </c>
      <c r="H2027" t="s">
        <v>323</v>
      </c>
      <c r="I2027" t="s">
        <v>45</v>
      </c>
      <c r="J2027" t="s">
        <v>1856</v>
      </c>
      <c r="K2027" t="s">
        <v>394</v>
      </c>
      <c r="L2027" t="s">
        <v>1090</v>
      </c>
    </row>
    <row r="2028" spans="1:12">
      <c r="A2028" t="s">
        <v>318</v>
      </c>
      <c r="B2028" t="s">
        <v>1854</v>
      </c>
      <c r="C2028" t="s">
        <v>1929</v>
      </c>
      <c r="D2028" s="28">
        <v>768341129855</v>
      </c>
      <c r="E2028" s="29" t="s">
        <v>393</v>
      </c>
      <c r="F2028" s="29" t="s">
        <v>372</v>
      </c>
      <c r="G2028">
        <v>16</v>
      </c>
      <c r="H2028" t="s">
        <v>323</v>
      </c>
      <c r="I2028" t="s">
        <v>98</v>
      </c>
      <c r="J2028" t="s">
        <v>1856</v>
      </c>
      <c r="K2028" t="s">
        <v>394</v>
      </c>
      <c r="L2028" t="s">
        <v>327</v>
      </c>
    </row>
    <row r="2029" spans="1:12">
      <c r="A2029" t="s">
        <v>318</v>
      </c>
      <c r="B2029" t="s">
        <v>1854</v>
      </c>
      <c r="C2029" t="s">
        <v>1930</v>
      </c>
      <c r="D2029" s="28">
        <v>768341129863</v>
      </c>
      <c r="E2029" s="29" t="s">
        <v>393</v>
      </c>
      <c r="F2029" s="29" t="s">
        <v>372</v>
      </c>
      <c r="G2029">
        <v>21</v>
      </c>
      <c r="H2029" t="s">
        <v>323</v>
      </c>
      <c r="I2029" t="s">
        <v>45</v>
      </c>
      <c r="J2029" t="s">
        <v>1856</v>
      </c>
      <c r="K2029" t="s">
        <v>394</v>
      </c>
      <c r="L2029" t="s">
        <v>327</v>
      </c>
    </row>
    <row r="2030" spans="1:12">
      <c r="A2030" t="s">
        <v>318</v>
      </c>
      <c r="B2030" t="s">
        <v>1854</v>
      </c>
      <c r="C2030" t="s">
        <v>1931</v>
      </c>
      <c r="D2030" s="28">
        <v>768341129866</v>
      </c>
      <c r="E2030" s="29" t="s">
        <v>393</v>
      </c>
      <c r="F2030" s="29" t="s">
        <v>372</v>
      </c>
      <c r="G2030">
        <v>15</v>
      </c>
      <c r="H2030" t="s">
        <v>323</v>
      </c>
      <c r="I2030" t="s">
        <v>324</v>
      </c>
      <c r="J2030" t="s">
        <v>1856</v>
      </c>
      <c r="K2030" t="s">
        <v>394</v>
      </c>
      <c r="L2030" t="s">
        <v>1090</v>
      </c>
    </row>
    <row r="2031" spans="1:12">
      <c r="A2031" t="s">
        <v>318</v>
      </c>
      <c r="B2031" t="s">
        <v>1854</v>
      </c>
      <c r="C2031" t="s">
        <v>1932</v>
      </c>
      <c r="D2031" s="28">
        <v>768341143747</v>
      </c>
      <c r="E2031" s="29" t="s">
        <v>393</v>
      </c>
      <c r="F2031" s="29" t="s">
        <v>372</v>
      </c>
      <c r="G2031">
        <v>21</v>
      </c>
      <c r="H2031" t="s">
        <v>1051</v>
      </c>
      <c r="I2031" t="s">
        <v>98</v>
      </c>
      <c r="J2031" t="s">
        <v>1856</v>
      </c>
      <c r="K2031" t="s">
        <v>394</v>
      </c>
      <c r="L2031" t="s">
        <v>1090</v>
      </c>
    </row>
    <row r="2032" spans="1:12">
      <c r="A2032" t="s">
        <v>318</v>
      </c>
      <c r="B2032" t="s">
        <v>1854</v>
      </c>
      <c r="C2032" t="s">
        <v>1933</v>
      </c>
      <c r="D2032" s="28">
        <v>768341143749</v>
      </c>
      <c r="E2032" s="29" t="s">
        <v>393</v>
      </c>
      <c r="F2032" s="29" t="s">
        <v>372</v>
      </c>
      <c r="G2032">
        <v>51</v>
      </c>
      <c r="H2032" t="s">
        <v>1051</v>
      </c>
      <c r="I2032" t="s">
        <v>98</v>
      </c>
      <c r="J2032" t="s">
        <v>1856</v>
      </c>
      <c r="K2032" t="s">
        <v>394</v>
      </c>
      <c r="L2032" t="s">
        <v>1090</v>
      </c>
    </row>
    <row r="2033" spans="1:12">
      <c r="A2033" t="s">
        <v>318</v>
      </c>
      <c r="B2033" t="s">
        <v>1854</v>
      </c>
      <c r="C2033" t="s">
        <v>1934</v>
      </c>
      <c r="D2033" s="28">
        <v>7683400020659</v>
      </c>
      <c r="E2033" s="29" t="s">
        <v>371</v>
      </c>
      <c r="F2033" s="29" t="s">
        <v>372</v>
      </c>
      <c r="G2033">
        <v>13</v>
      </c>
      <c r="H2033" t="s">
        <v>1051</v>
      </c>
      <c r="I2033" t="s">
        <v>98</v>
      </c>
      <c r="J2033" t="s">
        <v>1856</v>
      </c>
      <c r="K2033" t="s">
        <v>285</v>
      </c>
      <c r="L2033" t="s">
        <v>327</v>
      </c>
    </row>
    <row r="2034" spans="1:12">
      <c r="A2034" t="s">
        <v>318</v>
      </c>
      <c r="B2034" t="s">
        <v>1854</v>
      </c>
      <c r="C2034" t="s">
        <v>1935</v>
      </c>
      <c r="D2034" s="28">
        <v>7683400048864</v>
      </c>
      <c r="E2034" s="29" t="s">
        <v>371</v>
      </c>
      <c r="F2034" s="29" t="s">
        <v>372</v>
      </c>
      <c r="G2034">
        <v>13</v>
      </c>
      <c r="H2034" t="s">
        <v>1051</v>
      </c>
      <c r="I2034" t="s">
        <v>98</v>
      </c>
      <c r="J2034" t="s">
        <v>1856</v>
      </c>
      <c r="K2034" t="s">
        <v>285</v>
      </c>
      <c r="L2034" t="s">
        <v>327</v>
      </c>
    </row>
    <row r="2035" spans="1:12">
      <c r="A2035" t="s">
        <v>318</v>
      </c>
      <c r="B2035" t="s">
        <v>1854</v>
      </c>
      <c r="C2035" t="s">
        <v>1708</v>
      </c>
      <c r="D2035" s="28">
        <v>7683400048872</v>
      </c>
      <c r="E2035" s="29" t="s">
        <v>371</v>
      </c>
      <c r="F2035" s="29" t="s">
        <v>372</v>
      </c>
      <c r="G2035">
        <v>13</v>
      </c>
      <c r="H2035" t="s">
        <v>1051</v>
      </c>
      <c r="I2035" t="s">
        <v>98</v>
      </c>
      <c r="J2035" t="s">
        <v>1856</v>
      </c>
      <c r="K2035" t="s">
        <v>285</v>
      </c>
      <c r="L2035" t="s">
        <v>327</v>
      </c>
    </row>
    <row r="2036" spans="1:12">
      <c r="A2036" t="s">
        <v>318</v>
      </c>
      <c r="B2036" t="s">
        <v>1854</v>
      </c>
      <c r="C2036" t="s">
        <v>527</v>
      </c>
      <c r="D2036" s="28">
        <v>7683400048904</v>
      </c>
      <c r="E2036" s="29" t="s">
        <v>371</v>
      </c>
      <c r="F2036" s="29" t="s">
        <v>372</v>
      </c>
      <c r="G2036">
        <v>13</v>
      </c>
      <c r="H2036" t="s">
        <v>1051</v>
      </c>
      <c r="I2036" t="s">
        <v>98</v>
      </c>
      <c r="J2036" t="s">
        <v>1856</v>
      </c>
      <c r="K2036" t="s">
        <v>285</v>
      </c>
      <c r="L2036" t="s">
        <v>327</v>
      </c>
    </row>
    <row r="2037" spans="1:12">
      <c r="A2037" t="s">
        <v>318</v>
      </c>
      <c r="B2037" t="s">
        <v>1854</v>
      </c>
      <c r="C2037" t="s">
        <v>514</v>
      </c>
      <c r="D2037" s="28">
        <v>7683400049084</v>
      </c>
      <c r="E2037" s="29" t="s">
        <v>371</v>
      </c>
      <c r="F2037" s="29" t="s">
        <v>372</v>
      </c>
      <c r="G2037">
        <v>13</v>
      </c>
      <c r="H2037" t="s">
        <v>1051</v>
      </c>
      <c r="I2037" t="s">
        <v>98</v>
      </c>
      <c r="J2037" t="s">
        <v>1856</v>
      </c>
      <c r="K2037" t="s">
        <v>285</v>
      </c>
      <c r="L2037" t="s">
        <v>327</v>
      </c>
    </row>
    <row r="2038" spans="1:12">
      <c r="A2038" t="s">
        <v>318</v>
      </c>
      <c r="B2038" t="s">
        <v>1854</v>
      </c>
      <c r="C2038" t="s">
        <v>1936</v>
      </c>
      <c r="D2038" s="28">
        <v>7683400053481</v>
      </c>
      <c r="E2038" s="29" t="s">
        <v>371</v>
      </c>
      <c r="F2038" s="29" t="s">
        <v>372</v>
      </c>
      <c r="G2038">
        <v>13</v>
      </c>
      <c r="H2038" t="s">
        <v>1051</v>
      </c>
      <c r="I2038" t="s">
        <v>98</v>
      </c>
      <c r="J2038" t="s">
        <v>1856</v>
      </c>
      <c r="K2038" t="s">
        <v>285</v>
      </c>
      <c r="L2038" t="s">
        <v>327</v>
      </c>
    </row>
    <row r="2039" spans="1:12">
      <c r="A2039" t="s">
        <v>318</v>
      </c>
      <c r="B2039" t="s">
        <v>1854</v>
      </c>
      <c r="C2039" t="s">
        <v>1937</v>
      </c>
      <c r="D2039" s="28">
        <v>7683400054031</v>
      </c>
      <c r="E2039" s="29" t="s">
        <v>441</v>
      </c>
      <c r="F2039" s="29" t="s">
        <v>372</v>
      </c>
      <c r="G2039">
        <v>39</v>
      </c>
      <c r="H2039" t="s">
        <v>323</v>
      </c>
      <c r="I2039" t="s">
        <v>45</v>
      </c>
      <c r="J2039" t="s">
        <v>1856</v>
      </c>
      <c r="K2039" t="s">
        <v>285</v>
      </c>
      <c r="L2039" t="s">
        <v>1090</v>
      </c>
    </row>
    <row r="2040" spans="1:12">
      <c r="A2040" t="s">
        <v>318</v>
      </c>
      <c r="B2040" t="s">
        <v>1854</v>
      </c>
      <c r="C2040" t="s">
        <v>1938</v>
      </c>
      <c r="D2040" s="28">
        <v>7683400066011</v>
      </c>
      <c r="E2040" s="29" t="s">
        <v>441</v>
      </c>
      <c r="F2040" s="29" t="s">
        <v>372</v>
      </c>
      <c r="G2040">
        <v>39</v>
      </c>
      <c r="H2040" t="s">
        <v>323</v>
      </c>
      <c r="I2040" t="s">
        <v>45</v>
      </c>
      <c r="J2040" t="s">
        <v>1856</v>
      </c>
      <c r="K2040" t="s">
        <v>285</v>
      </c>
      <c r="L2040" t="s">
        <v>1090</v>
      </c>
    </row>
    <row r="2041" spans="1:12">
      <c r="A2041" t="s">
        <v>318</v>
      </c>
      <c r="B2041" t="s">
        <v>1854</v>
      </c>
      <c r="C2041" t="s">
        <v>1939</v>
      </c>
      <c r="D2041" s="28">
        <v>7683400068498</v>
      </c>
      <c r="E2041" s="29" t="s">
        <v>529</v>
      </c>
      <c r="F2041" s="29" t="s">
        <v>372</v>
      </c>
      <c r="G2041">
        <v>15</v>
      </c>
      <c r="H2041" t="s">
        <v>1051</v>
      </c>
      <c r="I2041" t="s">
        <v>98</v>
      </c>
      <c r="J2041" t="s">
        <v>1856</v>
      </c>
      <c r="K2041" t="s">
        <v>285</v>
      </c>
      <c r="L2041" t="s">
        <v>327</v>
      </c>
    </row>
    <row r="2042" spans="1:12">
      <c r="A2042" t="s">
        <v>318</v>
      </c>
      <c r="B2042" t="s">
        <v>1854</v>
      </c>
      <c r="C2042" t="s">
        <v>1182</v>
      </c>
      <c r="D2042" s="28">
        <v>7683400068500</v>
      </c>
      <c r="E2042" s="29" t="s">
        <v>529</v>
      </c>
      <c r="F2042" s="29" t="s">
        <v>372</v>
      </c>
      <c r="G2042">
        <v>15</v>
      </c>
      <c r="H2042" t="s">
        <v>1051</v>
      </c>
      <c r="I2042" t="s">
        <v>98</v>
      </c>
      <c r="J2042" t="s">
        <v>1856</v>
      </c>
      <c r="K2042" t="s">
        <v>285</v>
      </c>
      <c r="L2042" t="s">
        <v>327</v>
      </c>
    </row>
    <row r="2043" spans="1:12">
      <c r="A2043" t="s">
        <v>318</v>
      </c>
      <c r="B2043" t="s">
        <v>1854</v>
      </c>
      <c r="C2043" t="s">
        <v>1940</v>
      </c>
      <c r="D2043" s="28">
        <v>7683400068531</v>
      </c>
      <c r="E2043" s="29" t="s">
        <v>529</v>
      </c>
      <c r="F2043" s="29" t="s">
        <v>372</v>
      </c>
      <c r="G2043">
        <v>15</v>
      </c>
      <c r="H2043" t="s">
        <v>1051</v>
      </c>
      <c r="I2043" t="s">
        <v>98</v>
      </c>
      <c r="J2043" t="s">
        <v>1856</v>
      </c>
      <c r="K2043" t="s">
        <v>285</v>
      </c>
      <c r="L2043" t="s">
        <v>327</v>
      </c>
    </row>
    <row r="2044" spans="1:12">
      <c r="A2044" t="s">
        <v>318</v>
      </c>
      <c r="B2044" t="s">
        <v>1854</v>
      </c>
      <c r="C2044" t="s">
        <v>1941</v>
      </c>
      <c r="D2044" s="28">
        <v>7683400068536</v>
      </c>
      <c r="E2044" s="29" t="s">
        <v>529</v>
      </c>
      <c r="F2044" s="29" t="s">
        <v>372</v>
      </c>
      <c r="G2044">
        <v>15</v>
      </c>
      <c r="H2044" t="s">
        <v>1051</v>
      </c>
      <c r="I2044" t="s">
        <v>98</v>
      </c>
      <c r="J2044" t="s">
        <v>1856</v>
      </c>
      <c r="K2044" t="s">
        <v>285</v>
      </c>
      <c r="L2044" t="s">
        <v>327</v>
      </c>
    </row>
    <row r="2045" spans="1:12">
      <c r="A2045" t="s">
        <v>318</v>
      </c>
      <c r="B2045" t="s">
        <v>1854</v>
      </c>
      <c r="C2045" t="s">
        <v>450</v>
      </c>
      <c r="D2045" s="28">
        <v>7683400068565</v>
      </c>
      <c r="E2045" s="29" t="s">
        <v>529</v>
      </c>
      <c r="F2045" s="29" t="s">
        <v>372</v>
      </c>
      <c r="G2045">
        <v>15</v>
      </c>
      <c r="H2045" t="s">
        <v>1051</v>
      </c>
      <c r="I2045" t="s">
        <v>98</v>
      </c>
      <c r="J2045" t="s">
        <v>1856</v>
      </c>
      <c r="K2045" t="s">
        <v>285</v>
      </c>
      <c r="L2045" t="s">
        <v>1090</v>
      </c>
    </row>
    <row r="2046" spans="1:12">
      <c r="A2046" t="s">
        <v>318</v>
      </c>
      <c r="B2046" t="s">
        <v>1854</v>
      </c>
      <c r="C2046" t="s">
        <v>1942</v>
      </c>
      <c r="D2046" s="28">
        <v>7683400068782</v>
      </c>
      <c r="E2046" s="29" t="s">
        <v>529</v>
      </c>
      <c r="F2046" s="29" t="s">
        <v>372</v>
      </c>
      <c r="G2046">
        <v>15</v>
      </c>
      <c r="H2046" t="s">
        <v>1051</v>
      </c>
      <c r="I2046" t="s">
        <v>98</v>
      </c>
      <c r="J2046" t="s">
        <v>1856</v>
      </c>
      <c r="K2046" t="s">
        <v>285</v>
      </c>
      <c r="L2046" t="s">
        <v>327</v>
      </c>
    </row>
    <row r="2047" spans="1:12">
      <c r="A2047" t="s">
        <v>318</v>
      </c>
      <c r="B2047" t="s">
        <v>1854</v>
      </c>
      <c r="C2047" t="s">
        <v>1943</v>
      </c>
      <c r="D2047" s="28">
        <v>7683400068787</v>
      </c>
      <c r="E2047" s="29" t="s">
        <v>529</v>
      </c>
      <c r="F2047" s="29" t="s">
        <v>372</v>
      </c>
      <c r="G2047">
        <v>15</v>
      </c>
      <c r="H2047" t="s">
        <v>1051</v>
      </c>
      <c r="I2047" t="s">
        <v>98</v>
      </c>
      <c r="J2047" t="s">
        <v>1856</v>
      </c>
      <c r="K2047" t="s">
        <v>285</v>
      </c>
      <c r="L2047" t="s">
        <v>327</v>
      </c>
    </row>
    <row r="2048" spans="1:12">
      <c r="A2048" t="s">
        <v>318</v>
      </c>
      <c r="B2048" t="s">
        <v>1854</v>
      </c>
      <c r="C2048" t="s">
        <v>1944</v>
      </c>
      <c r="D2048" s="28">
        <v>7683400068811</v>
      </c>
      <c r="E2048" s="29" t="s">
        <v>529</v>
      </c>
      <c r="F2048" s="29" t="s">
        <v>372</v>
      </c>
      <c r="G2048">
        <v>15</v>
      </c>
      <c r="H2048" t="s">
        <v>1051</v>
      </c>
      <c r="I2048" t="s">
        <v>98</v>
      </c>
      <c r="J2048" t="s">
        <v>1856</v>
      </c>
      <c r="K2048" t="s">
        <v>285</v>
      </c>
      <c r="L2048" t="s">
        <v>327</v>
      </c>
    </row>
    <row r="2049" spans="1:12">
      <c r="A2049" t="s">
        <v>318</v>
      </c>
      <c r="B2049" t="s">
        <v>1854</v>
      </c>
      <c r="C2049" t="s">
        <v>1945</v>
      </c>
      <c r="D2049" s="28">
        <v>7683400068823</v>
      </c>
      <c r="E2049" s="29" t="s">
        <v>529</v>
      </c>
      <c r="F2049" s="29" t="s">
        <v>372</v>
      </c>
      <c r="G2049">
        <v>15</v>
      </c>
      <c r="H2049" t="s">
        <v>1051</v>
      </c>
      <c r="I2049" t="s">
        <v>98</v>
      </c>
      <c r="J2049" t="s">
        <v>1856</v>
      </c>
      <c r="K2049" t="s">
        <v>285</v>
      </c>
      <c r="L2049" t="s">
        <v>327</v>
      </c>
    </row>
    <row r="2050" spans="1:12">
      <c r="A2050" t="s">
        <v>318</v>
      </c>
      <c r="B2050" t="s">
        <v>1854</v>
      </c>
      <c r="C2050" t="s">
        <v>1946</v>
      </c>
      <c r="D2050" s="28">
        <v>7683400068837</v>
      </c>
      <c r="E2050" s="29" t="s">
        <v>529</v>
      </c>
      <c r="F2050" s="29" t="s">
        <v>372</v>
      </c>
      <c r="G2050">
        <v>15</v>
      </c>
      <c r="H2050" t="s">
        <v>1051</v>
      </c>
      <c r="I2050" t="s">
        <v>98</v>
      </c>
      <c r="J2050" t="s">
        <v>1856</v>
      </c>
      <c r="K2050" t="s">
        <v>1226</v>
      </c>
      <c r="L2050" t="s">
        <v>327</v>
      </c>
    </row>
    <row r="2051" spans="1:12">
      <c r="A2051" t="s">
        <v>318</v>
      </c>
      <c r="B2051" t="s">
        <v>1854</v>
      </c>
      <c r="C2051" t="s">
        <v>1947</v>
      </c>
      <c r="D2051" s="28">
        <v>7683400068842</v>
      </c>
      <c r="E2051" s="29" t="s">
        <v>529</v>
      </c>
      <c r="F2051" s="29" t="s">
        <v>372</v>
      </c>
      <c r="G2051">
        <v>15</v>
      </c>
      <c r="H2051" t="s">
        <v>1051</v>
      </c>
      <c r="I2051" t="s">
        <v>98</v>
      </c>
      <c r="J2051" t="s">
        <v>1856</v>
      </c>
      <c r="K2051" t="s">
        <v>285</v>
      </c>
      <c r="L2051" t="s">
        <v>327</v>
      </c>
    </row>
    <row r="2052" spans="1:12">
      <c r="A2052" t="s">
        <v>318</v>
      </c>
      <c r="B2052" t="s">
        <v>1854</v>
      </c>
      <c r="C2052" t="s">
        <v>1708</v>
      </c>
      <c r="D2052" s="28">
        <v>7683400068855</v>
      </c>
      <c r="E2052" s="29" t="s">
        <v>529</v>
      </c>
      <c r="F2052" s="29" t="s">
        <v>372</v>
      </c>
      <c r="G2052">
        <v>15</v>
      </c>
      <c r="H2052" t="s">
        <v>1051</v>
      </c>
      <c r="I2052" t="s">
        <v>98</v>
      </c>
      <c r="J2052" t="s">
        <v>1856</v>
      </c>
      <c r="K2052" t="s">
        <v>1226</v>
      </c>
      <c r="L2052" t="s">
        <v>327</v>
      </c>
    </row>
    <row r="2053" spans="1:12">
      <c r="A2053" t="s">
        <v>318</v>
      </c>
      <c r="B2053" t="s">
        <v>1854</v>
      </c>
      <c r="C2053" t="s">
        <v>411</v>
      </c>
      <c r="D2053" s="28">
        <v>7683400068871</v>
      </c>
      <c r="E2053" s="29" t="s">
        <v>529</v>
      </c>
      <c r="F2053" s="29" t="s">
        <v>372</v>
      </c>
      <c r="G2053">
        <v>15</v>
      </c>
      <c r="H2053" t="s">
        <v>1051</v>
      </c>
      <c r="I2053" t="s">
        <v>98</v>
      </c>
      <c r="J2053" t="s">
        <v>1856</v>
      </c>
      <c r="K2053" t="s">
        <v>1226</v>
      </c>
      <c r="L2053" t="s">
        <v>327</v>
      </c>
    </row>
    <row r="2054" spans="1:12">
      <c r="A2054" t="s">
        <v>318</v>
      </c>
      <c r="B2054" t="s">
        <v>1854</v>
      </c>
      <c r="C2054" t="s">
        <v>1948</v>
      </c>
      <c r="D2054" s="28">
        <v>7683400068892</v>
      </c>
      <c r="E2054" s="29" t="s">
        <v>529</v>
      </c>
      <c r="F2054" s="29" t="s">
        <v>372</v>
      </c>
      <c r="G2054">
        <v>15</v>
      </c>
      <c r="H2054" t="s">
        <v>1051</v>
      </c>
      <c r="I2054" t="s">
        <v>98</v>
      </c>
      <c r="J2054" t="s">
        <v>1856</v>
      </c>
      <c r="K2054" t="s">
        <v>285</v>
      </c>
      <c r="L2054" t="s">
        <v>327</v>
      </c>
    </row>
    <row r="2055" spans="1:12">
      <c r="A2055" t="s">
        <v>318</v>
      </c>
      <c r="B2055" t="s">
        <v>1854</v>
      </c>
      <c r="C2055" t="s">
        <v>1949</v>
      </c>
      <c r="D2055" s="28">
        <v>7683400068924</v>
      </c>
      <c r="E2055" s="29" t="s">
        <v>529</v>
      </c>
      <c r="F2055" s="29" t="s">
        <v>372</v>
      </c>
      <c r="G2055">
        <v>15</v>
      </c>
      <c r="H2055" t="s">
        <v>1051</v>
      </c>
      <c r="I2055" t="s">
        <v>98</v>
      </c>
      <c r="J2055" t="s">
        <v>1856</v>
      </c>
      <c r="K2055" t="s">
        <v>285</v>
      </c>
      <c r="L2055" t="s">
        <v>327</v>
      </c>
    </row>
    <row r="2056" spans="1:12">
      <c r="A2056" t="s">
        <v>318</v>
      </c>
      <c r="B2056" t="s">
        <v>1854</v>
      </c>
      <c r="C2056" t="s">
        <v>1182</v>
      </c>
      <c r="D2056" s="28">
        <v>7683400068948</v>
      </c>
      <c r="E2056" s="29" t="s">
        <v>529</v>
      </c>
      <c r="F2056" s="29" t="s">
        <v>372</v>
      </c>
      <c r="G2056">
        <v>15</v>
      </c>
      <c r="H2056" t="s">
        <v>1051</v>
      </c>
      <c r="I2056" t="s">
        <v>98</v>
      </c>
      <c r="J2056" t="s">
        <v>1856</v>
      </c>
      <c r="K2056" t="s">
        <v>1226</v>
      </c>
      <c r="L2056" t="s">
        <v>327</v>
      </c>
    </row>
    <row r="2057" spans="1:12">
      <c r="A2057" t="s">
        <v>318</v>
      </c>
      <c r="B2057" t="s">
        <v>1854</v>
      </c>
      <c r="C2057" t="s">
        <v>1950</v>
      </c>
      <c r="D2057" s="28">
        <v>7683400068956</v>
      </c>
      <c r="E2057" s="29" t="s">
        <v>529</v>
      </c>
      <c r="F2057" s="29" t="s">
        <v>372</v>
      </c>
      <c r="G2057">
        <v>15</v>
      </c>
      <c r="H2057" t="s">
        <v>1051</v>
      </c>
      <c r="I2057" t="s">
        <v>98</v>
      </c>
      <c r="J2057" t="s">
        <v>1856</v>
      </c>
      <c r="K2057" t="s">
        <v>285</v>
      </c>
      <c r="L2057" t="s">
        <v>327</v>
      </c>
    </row>
    <row r="2058" spans="1:12">
      <c r="A2058" t="s">
        <v>318</v>
      </c>
      <c r="B2058" t="s">
        <v>1854</v>
      </c>
      <c r="C2058" t="s">
        <v>1951</v>
      </c>
      <c r="D2058" s="28">
        <v>7683400068964</v>
      </c>
      <c r="E2058" s="29" t="s">
        <v>529</v>
      </c>
      <c r="F2058" s="29" t="s">
        <v>372</v>
      </c>
      <c r="G2058">
        <v>15</v>
      </c>
      <c r="H2058" t="s">
        <v>1051</v>
      </c>
      <c r="I2058" t="s">
        <v>98</v>
      </c>
      <c r="J2058" t="s">
        <v>1856</v>
      </c>
      <c r="K2058" t="s">
        <v>285</v>
      </c>
      <c r="L2058" t="s">
        <v>327</v>
      </c>
    </row>
    <row r="2059" spans="1:12">
      <c r="A2059" t="s">
        <v>318</v>
      </c>
      <c r="B2059" t="s">
        <v>1854</v>
      </c>
      <c r="C2059" t="s">
        <v>564</v>
      </c>
      <c r="D2059" s="28">
        <v>7683400068982</v>
      </c>
      <c r="E2059" s="29" t="s">
        <v>529</v>
      </c>
      <c r="F2059" s="29" t="s">
        <v>372</v>
      </c>
      <c r="G2059">
        <v>15</v>
      </c>
      <c r="H2059" t="s">
        <v>1051</v>
      </c>
      <c r="I2059" t="s">
        <v>98</v>
      </c>
      <c r="J2059" t="s">
        <v>1856</v>
      </c>
      <c r="K2059" t="s">
        <v>1226</v>
      </c>
      <c r="L2059" t="s">
        <v>327</v>
      </c>
    </row>
    <row r="2060" spans="1:12">
      <c r="A2060" t="s">
        <v>318</v>
      </c>
      <c r="B2060" t="s">
        <v>1854</v>
      </c>
      <c r="C2060" t="s">
        <v>1952</v>
      </c>
      <c r="D2060" s="28">
        <v>7683400070233</v>
      </c>
      <c r="E2060" s="29" t="s">
        <v>371</v>
      </c>
      <c r="F2060" s="29" t="s">
        <v>372</v>
      </c>
      <c r="G2060">
        <v>13</v>
      </c>
      <c r="H2060" t="s">
        <v>323</v>
      </c>
      <c r="I2060" t="s">
        <v>98</v>
      </c>
      <c r="J2060" t="s">
        <v>1856</v>
      </c>
      <c r="K2060" t="s">
        <v>285</v>
      </c>
      <c r="L2060" t="s">
        <v>327</v>
      </c>
    </row>
    <row r="2061" spans="1:12">
      <c r="A2061" t="s">
        <v>318</v>
      </c>
      <c r="B2061" t="s">
        <v>1854</v>
      </c>
      <c r="C2061" t="s">
        <v>1953</v>
      </c>
      <c r="D2061" s="28">
        <v>7683400073569</v>
      </c>
      <c r="E2061" s="29" t="s">
        <v>529</v>
      </c>
      <c r="F2061" s="29" t="s">
        <v>372</v>
      </c>
      <c r="G2061">
        <v>15</v>
      </c>
      <c r="H2061" t="s">
        <v>1051</v>
      </c>
      <c r="I2061" t="s">
        <v>98</v>
      </c>
      <c r="J2061" t="s">
        <v>1856</v>
      </c>
      <c r="K2061" t="s">
        <v>285</v>
      </c>
      <c r="L2061" t="s">
        <v>327</v>
      </c>
    </row>
    <row r="2062" spans="1:12">
      <c r="A2062" t="s">
        <v>318</v>
      </c>
      <c r="B2062" t="s">
        <v>1854</v>
      </c>
      <c r="C2062" t="s">
        <v>385</v>
      </c>
      <c r="D2062" s="28">
        <v>7683400073597</v>
      </c>
      <c r="E2062" s="29" t="s">
        <v>529</v>
      </c>
      <c r="F2062" s="29" t="s">
        <v>372</v>
      </c>
      <c r="G2062">
        <v>15</v>
      </c>
      <c r="H2062" t="s">
        <v>1051</v>
      </c>
      <c r="I2062" t="s">
        <v>45</v>
      </c>
      <c r="J2062" t="s">
        <v>1856</v>
      </c>
      <c r="K2062" t="s">
        <v>285</v>
      </c>
      <c r="L2062" t="s">
        <v>327</v>
      </c>
    </row>
    <row r="2063" spans="1:12">
      <c r="A2063" t="s">
        <v>318</v>
      </c>
      <c r="B2063" t="s">
        <v>1854</v>
      </c>
      <c r="C2063" t="s">
        <v>1954</v>
      </c>
      <c r="D2063" s="28">
        <v>7683400073607</v>
      </c>
      <c r="E2063" s="29" t="s">
        <v>529</v>
      </c>
      <c r="F2063" s="29" t="s">
        <v>372</v>
      </c>
      <c r="G2063">
        <v>15</v>
      </c>
      <c r="H2063" t="s">
        <v>1051</v>
      </c>
      <c r="I2063" t="s">
        <v>98</v>
      </c>
      <c r="J2063" t="s">
        <v>1856</v>
      </c>
      <c r="K2063" t="s">
        <v>285</v>
      </c>
      <c r="L2063" t="s">
        <v>327</v>
      </c>
    </row>
    <row r="2064" spans="1:12">
      <c r="A2064" t="s">
        <v>318</v>
      </c>
      <c r="B2064" t="s">
        <v>1854</v>
      </c>
      <c r="C2064" t="s">
        <v>1228</v>
      </c>
      <c r="D2064" s="28">
        <v>7683400073791</v>
      </c>
      <c r="E2064" s="29" t="s">
        <v>529</v>
      </c>
      <c r="F2064" s="29" t="s">
        <v>372</v>
      </c>
      <c r="G2064">
        <v>15</v>
      </c>
      <c r="H2064" t="s">
        <v>1051</v>
      </c>
      <c r="I2064" t="s">
        <v>98</v>
      </c>
      <c r="J2064" t="s">
        <v>1856</v>
      </c>
      <c r="K2064" t="s">
        <v>285</v>
      </c>
      <c r="L2064" t="s">
        <v>327</v>
      </c>
    </row>
    <row r="2065" spans="1:12">
      <c r="A2065" t="s">
        <v>318</v>
      </c>
      <c r="B2065" t="s">
        <v>1854</v>
      </c>
      <c r="C2065" t="s">
        <v>1955</v>
      </c>
      <c r="D2065" s="28">
        <v>768341121980</v>
      </c>
      <c r="E2065" s="29" t="s">
        <v>441</v>
      </c>
      <c r="F2065" s="29" t="s">
        <v>372</v>
      </c>
      <c r="G2065">
        <v>26</v>
      </c>
      <c r="H2065" t="s">
        <v>1051</v>
      </c>
      <c r="I2065" t="s">
        <v>45</v>
      </c>
      <c r="J2065" t="s">
        <v>1856</v>
      </c>
      <c r="K2065" t="s">
        <v>285</v>
      </c>
      <c r="L2065" t="s">
        <v>1090</v>
      </c>
    </row>
    <row r="2066" spans="1:12">
      <c r="A2066" t="s">
        <v>318</v>
      </c>
      <c r="B2066" t="s">
        <v>1854</v>
      </c>
      <c r="C2066" t="s">
        <v>1956</v>
      </c>
      <c r="D2066" s="28">
        <v>7661600040549</v>
      </c>
      <c r="E2066" s="29" t="s">
        <v>987</v>
      </c>
      <c r="F2066" s="29" t="s">
        <v>364</v>
      </c>
      <c r="G2066">
        <v>130</v>
      </c>
      <c r="H2066" t="s">
        <v>323</v>
      </c>
      <c r="I2066" t="s">
        <v>45</v>
      </c>
      <c r="J2066" t="s">
        <v>1869</v>
      </c>
      <c r="K2066" t="s">
        <v>1912</v>
      </c>
      <c r="L2066" t="s">
        <v>1090</v>
      </c>
    </row>
    <row r="2067" spans="1:12">
      <c r="A2067" t="s">
        <v>318</v>
      </c>
      <c r="B2067" t="s">
        <v>1854</v>
      </c>
      <c r="C2067" t="s">
        <v>1957</v>
      </c>
      <c r="D2067" s="28">
        <v>7683400054871</v>
      </c>
      <c r="E2067" s="29" t="s">
        <v>987</v>
      </c>
      <c r="F2067" s="29" t="s">
        <v>364</v>
      </c>
      <c r="G2067">
        <v>100</v>
      </c>
      <c r="H2067" t="s">
        <v>1051</v>
      </c>
      <c r="I2067" t="s">
        <v>98</v>
      </c>
      <c r="J2067" t="s">
        <v>1856</v>
      </c>
      <c r="K2067" t="s">
        <v>1894</v>
      </c>
      <c r="L2067" t="s">
        <v>327</v>
      </c>
    </row>
    <row r="2068" spans="1:12">
      <c r="A2068" t="s">
        <v>318</v>
      </c>
      <c r="B2068" t="s">
        <v>1854</v>
      </c>
      <c r="C2068" t="s">
        <v>1958</v>
      </c>
      <c r="D2068" s="28">
        <v>7683400020632</v>
      </c>
      <c r="E2068" s="29" t="s">
        <v>371</v>
      </c>
      <c r="F2068" s="29" t="s">
        <v>372</v>
      </c>
      <c r="G2068">
        <v>13</v>
      </c>
      <c r="H2068" t="s">
        <v>1051</v>
      </c>
      <c r="I2068" t="s">
        <v>98</v>
      </c>
      <c r="J2068" t="s">
        <v>1856</v>
      </c>
      <c r="K2068" t="s">
        <v>285</v>
      </c>
      <c r="L2068" t="s">
        <v>327</v>
      </c>
    </row>
    <row r="2069" spans="1:12">
      <c r="A2069" t="s">
        <v>318</v>
      </c>
      <c r="B2069" t="s">
        <v>1854</v>
      </c>
      <c r="C2069" t="s">
        <v>1679</v>
      </c>
      <c r="D2069" s="28">
        <v>7683400056040</v>
      </c>
      <c r="E2069" s="29" t="s">
        <v>371</v>
      </c>
      <c r="F2069" s="29" t="s">
        <v>372</v>
      </c>
      <c r="G2069">
        <v>13</v>
      </c>
      <c r="H2069" t="s">
        <v>1051</v>
      </c>
      <c r="I2069" t="s">
        <v>98</v>
      </c>
      <c r="J2069" t="s">
        <v>1856</v>
      </c>
      <c r="K2069" t="s">
        <v>285</v>
      </c>
      <c r="L2069" t="s">
        <v>327</v>
      </c>
    </row>
    <row r="2070" spans="1:12">
      <c r="A2070" t="s">
        <v>318</v>
      </c>
      <c r="B2070" t="s">
        <v>1854</v>
      </c>
      <c r="C2070" t="s">
        <v>1914</v>
      </c>
      <c r="D2070" s="28">
        <v>7683400056096</v>
      </c>
      <c r="E2070" s="29" t="s">
        <v>371</v>
      </c>
      <c r="F2070" s="29" t="s">
        <v>372</v>
      </c>
      <c r="G2070">
        <v>13</v>
      </c>
      <c r="H2070" t="s">
        <v>1051</v>
      </c>
      <c r="I2070" t="s">
        <v>98</v>
      </c>
      <c r="J2070" t="s">
        <v>1856</v>
      </c>
      <c r="K2070" t="s">
        <v>285</v>
      </c>
      <c r="L2070" t="s">
        <v>327</v>
      </c>
    </row>
    <row r="2071" spans="1:12">
      <c r="A2071" t="s">
        <v>318</v>
      </c>
      <c r="B2071" t="s">
        <v>1854</v>
      </c>
      <c r="C2071" t="s">
        <v>1053</v>
      </c>
      <c r="D2071" s="28">
        <v>7683400056169</v>
      </c>
      <c r="E2071" s="29" t="s">
        <v>371</v>
      </c>
      <c r="F2071" s="29" t="s">
        <v>372</v>
      </c>
      <c r="G2071">
        <v>13</v>
      </c>
      <c r="H2071" t="s">
        <v>1051</v>
      </c>
      <c r="I2071" t="s">
        <v>98</v>
      </c>
      <c r="J2071" t="s">
        <v>1856</v>
      </c>
      <c r="K2071" t="s">
        <v>285</v>
      </c>
      <c r="L2071" t="s">
        <v>327</v>
      </c>
    </row>
    <row r="2072" spans="1:12">
      <c r="A2072" t="s">
        <v>318</v>
      </c>
      <c r="B2072" t="s">
        <v>1854</v>
      </c>
      <c r="C2072" t="s">
        <v>442</v>
      </c>
      <c r="D2072" s="28">
        <v>7683400059967</v>
      </c>
      <c r="E2072" s="29" t="s">
        <v>371</v>
      </c>
      <c r="F2072" s="29" t="s">
        <v>372</v>
      </c>
      <c r="G2072">
        <v>13</v>
      </c>
      <c r="H2072" t="s">
        <v>1051</v>
      </c>
      <c r="I2072" t="s">
        <v>98</v>
      </c>
      <c r="J2072" t="s">
        <v>1856</v>
      </c>
      <c r="K2072" t="s">
        <v>285</v>
      </c>
      <c r="L2072" t="s">
        <v>327</v>
      </c>
    </row>
    <row r="2073" spans="1:12">
      <c r="A2073" t="s">
        <v>318</v>
      </c>
      <c r="B2073" t="s">
        <v>1854</v>
      </c>
      <c r="C2073" t="s">
        <v>1959</v>
      </c>
      <c r="D2073" s="28">
        <v>7683400059973</v>
      </c>
      <c r="E2073" s="29" t="s">
        <v>371</v>
      </c>
      <c r="F2073" s="29" t="s">
        <v>372</v>
      </c>
      <c r="G2073">
        <v>13</v>
      </c>
      <c r="H2073" t="s">
        <v>1051</v>
      </c>
      <c r="I2073" t="s">
        <v>98</v>
      </c>
      <c r="J2073" t="s">
        <v>1856</v>
      </c>
      <c r="K2073" t="s">
        <v>285</v>
      </c>
      <c r="L2073" t="s">
        <v>327</v>
      </c>
    </row>
    <row r="2074" spans="1:12">
      <c r="A2074" t="s">
        <v>318</v>
      </c>
      <c r="B2074" t="s">
        <v>1854</v>
      </c>
      <c r="C2074" t="s">
        <v>855</v>
      </c>
      <c r="D2074" s="28">
        <v>7683400066058</v>
      </c>
      <c r="E2074" s="29" t="s">
        <v>371</v>
      </c>
      <c r="F2074" s="29" t="s">
        <v>372</v>
      </c>
      <c r="G2074">
        <v>13</v>
      </c>
      <c r="H2074" t="s">
        <v>1051</v>
      </c>
      <c r="I2074" t="s">
        <v>98</v>
      </c>
      <c r="J2074" t="s">
        <v>1856</v>
      </c>
      <c r="K2074" t="s">
        <v>285</v>
      </c>
      <c r="L2074" t="s">
        <v>327</v>
      </c>
    </row>
    <row r="2075" spans="1:12">
      <c r="A2075" t="s">
        <v>318</v>
      </c>
      <c r="B2075" t="s">
        <v>1854</v>
      </c>
      <c r="C2075" t="s">
        <v>1940</v>
      </c>
      <c r="D2075" s="28">
        <v>7683400066068</v>
      </c>
      <c r="E2075" s="29" t="s">
        <v>371</v>
      </c>
      <c r="F2075" s="29" t="s">
        <v>372</v>
      </c>
      <c r="G2075">
        <v>13</v>
      </c>
      <c r="H2075" t="s">
        <v>1051</v>
      </c>
      <c r="I2075" t="s">
        <v>98</v>
      </c>
      <c r="J2075" t="s">
        <v>1856</v>
      </c>
      <c r="K2075" t="s">
        <v>285</v>
      </c>
      <c r="L2075" t="s">
        <v>327</v>
      </c>
    </row>
    <row r="2076" spans="1:12">
      <c r="A2076" t="s">
        <v>318</v>
      </c>
      <c r="B2076" t="s">
        <v>1854</v>
      </c>
      <c r="C2076" t="s">
        <v>453</v>
      </c>
      <c r="D2076" s="28">
        <v>7683400066200</v>
      </c>
      <c r="E2076" s="29" t="s">
        <v>371</v>
      </c>
      <c r="F2076" s="29" t="s">
        <v>372</v>
      </c>
      <c r="G2076">
        <v>13</v>
      </c>
      <c r="H2076" t="s">
        <v>1051</v>
      </c>
      <c r="I2076" t="s">
        <v>45</v>
      </c>
      <c r="J2076" t="s">
        <v>1856</v>
      </c>
      <c r="K2076" t="s">
        <v>285</v>
      </c>
      <c r="L2076" t="s">
        <v>327</v>
      </c>
    </row>
    <row r="2077" spans="1:12">
      <c r="A2077" t="s">
        <v>318</v>
      </c>
      <c r="B2077" t="s">
        <v>1854</v>
      </c>
      <c r="C2077" t="s">
        <v>575</v>
      </c>
      <c r="D2077" s="28">
        <v>7683400066548</v>
      </c>
      <c r="E2077" s="29" t="s">
        <v>371</v>
      </c>
      <c r="F2077" s="29" t="s">
        <v>372</v>
      </c>
      <c r="G2077">
        <v>13</v>
      </c>
      <c r="H2077" t="s">
        <v>1051</v>
      </c>
      <c r="I2077" t="s">
        <v>98</v>
      </c>
      <c r="J2077" t="s">
        <v>1856</v>
      </c>
      <c r="K2077" t="s">
        <v>285</v>
      </c>
      <c r="L2077" t="s">
        <v>327</v>
      </c>
    </row>
    <row r="2078" spans="1:12">
      <c r="A2078" t="s">
        <v>318</v>
      </c>
      <c r="B2078" t="s">
        <v>1854</v>
      </c>
      <c r="C2078" t="s">
        <v>1327</v>
      </c>
      <c r="D2078" s="28">
        <v>7683400066675</v>
      </c>
      <c r="E2078" s="29" t="s">
        <v>371</v>
      </c>
      <c r="F2078" s="29" t="s">
        <v>372</v>
      </c>
      <c r="G2078">
        <v>13</v>
      </c>
      <c r="H2078" t="s">
        <v>1051</v>
      </c>
      <c r="I2078" t="s">
        <v>98</v>
      </c>
      <c r="J2078" t="s">
        <v>1856</v>
      </c>
      <c r="K2078" t="s">
        <v>1226</v>
      </c>
      <c r="L2078" t="s">
        <v>327</v>
      </c>
    </row>
    <row r="2079" spans="1:12">
      <c r="A2079" t="s">
        <v>318</v>
      </c>
      <c r="B2079" t="s">
        <v>1854</v>
      </c>
      <c r="C2079" t="s">
        <v>382</v>
      </c>
      <c r="D2079" s="28">
        <v>7683400066680</v>
      </c>
      <c r="E2079" s="29" t="s">
        <v>371</v>
      </c>
      <c r="F2079" s="29" t="s">
        <v>372</v>
      </c>
      <c r="G2079">
        <v>13</v>
      </c>
      <c r="H2079" t="s">
        <v>1051</v>
      </c>
      <c r="I2079" t="s">
        <v>98</v>
      </c>
      <c r="J2079" t="s">
        <v>1856</v>
      </c>
      <c r="K2079" t="s">
        <v>1226</v>
      </c>
      <c r="L2079" t="s">
        <v>327</v>
      </c>
    </row>
    <row r="2080" spans="1:12">
      <c r="A2080" t="s">
        <v>318</v>
      </c>
      <c r="B2080" t="s">
        <v>1854</v>
      </c>
      <c r="C2080" t="s">
        <v>389</v>
      </c>
      <c r="D2080" s="28">
        <v>7683400066691</v>
      </c>
      <c r="E2080" s="29" t="s">
        <v>371</v>
      </c>
      <c r="F2080" s="29" t="s">
        <v>372</v>
      </c>
      <c r="G2080">
        <v>13</v>
      </c>
      <c r="H2080" t="s">
        <v>1051</v>
      </c>
      <c r="I2080" t="s">
        <v>98</v>
      </c>
      <c r="J2080" t="s">
        <v>1856</v>
      </c>
      <c r="K2080" t="s">
        <v>285</v>
      </c>
      <c r="L2080" t="s">
        <v>327</v>
      </c>
    </row>
    <row r="2081" spans="1:12">
      <c r="A2081" t="s">
        <v>318</v>
      </c>
      <c r="B2081" t="s">
        <v>1854</v>
      </c>
      <c r="C2081" t="s">
        <v>513</v>
      </c>
      <c r="D2081" s="28">
        <v>7683400066704</v>
      </c>
      <c r="E2081" s="29" t="s">
        <v>371</v>
      </c>
      <c r="F2081" s="29" t="s">
        <v>372</v>
      </c>
      <c r="G2081">
        <v>13</v>
      </c>
      <c r="H2081" t="s">
        <v>1051</v>
      </c>
      <c r="I2081" t="s">
        <v>98</v>
      </c>
      <c r="J2081" t="s">
        <v>1856</v>
      </c>
      <c r="K2081" t="s">
        <v>285</v>
      </c>
      <c r="L2081" t="s">
        <v>327</v>
      </c>
    </row>
    <row r="2082" spans="1:12">
      <c r="A2082" t="s">
        <v>318</v>
      </c>
      <c r="B2082" t="s">
        <v>1854</v>
      </c>
      <c r="C2082" t="s">
        <v>1162</v>
      </c>
      <c r="D2082" s="28">
        <v>7683400067018</v>
      </c>
      <c r="E2082" s="29" t="s">
        <v>371</v>
      </c>
      <c r="F2082" s="29" t="s">
        <v>372</v>
      </c>
      <c r="G2082">
        <v>13</v>
      </c>
      <c r="H2082" t="s">
        <v>1051</v>
      </c>
      <c r="I2082" t="s">
        <v>98</v>
      </c>
      <c r="J2082" t="s">
        <v>1856</v>
      </c>
      <c r="K2082" t="s">
        <v>285</v>
      </c>
      <c r="L2082" t="s">
        <v>327</v>
      </c>
    </row>
    <row r="2083" spans="1:12">
      <c r="A2083" t="s">
        <v>318</v>
      </c>
      <c r="B2083" t="s">
        <v>1854</v>
      </c>
      <c r="C2083" t="s">
        <v>1960</v>
      </c>
      <c r="D2083" s="28">
        <v>7683400067035</v>
      </c>
      <c r="E2083" s="29" t="s">
        <v>371</v>
      </c>
      <c r="F2083" s="29" t="s">
        <v>372</v>
      </c>
      <c r="G2083">
        <v>13</v>
      </c>
      <c r="H2083" t="s">
        <v>1051</v>
      </c>
      <c r="I2083" t="s">
        <v>98</v>
      </c>
      <c r="J2083" t="s">
        <v>1856</v>
      </c>
      <c r="K2083" t="s">
        <v>285</v>
      </c>
      <c r="L2083" t="s">
        <v>327</v>
      </c>
    </row>
    <row r="2084" spans="1:12">
      <c r="A2084" t="s">
        <v>318</v>
      </c>
      <c r="B2084" t="s">
        <v>1854</v>
      </c>
      <c r="C2084" t="s">
        <v>1958</v>
      </c>
      <c r="D2084" s="28">
        <v>7683400067042</v>
      </c>
      <c r="E2084" s="29" t="s">
        <v>371</v>
      </c>
      <c r="F2084" s="29" t="s">
        <v>372</v>
      </c>
      <c r="G2084">
        <v>13</v>
      </c>
      <c r="H2084" t="s">
        <v>1051</v>
      </c>
      <c r="I2084" t="s">
        <v>98</v>
      </c>
      <c r="J2084" t="s">
        <v>1856</v>
      </c>
      <c r="K2084" t="s">
        <v>285</v>
      </c>
      <c r="L2084" t="s">
        <v>327</v>
      </c>
    </row>
    <row r="2085" spans="1:12">
      <c r="A2085" t="s">
        <v>318</v>
      </c>
      <c r="B2085" t="s">
        <v>1854</v>
      </c>
      <c r="C2085" t="s">
        <v>1961</v>
      </c>
      <c r="D2085" s="28">
        <v>7683400067053</v>
      </c>
      <c r="E2085" s="29" t="s">
        <v>371</v>
      </c>
      <c r="F2085" s="29" t="s">
        <v>372</v>
      </c>
      <c r="G2085">
        <v>13</v>
      </c>
      <c r="H2085" t="s">
        <v>1051</v>
      </c>
      <c r="I2085" t="s">
        <v>98</v>
      </c>
      <c r="J2085" t="s">
        <v>1856</v>
      </c>
      <c r="K2085" t="s">
        <v>285</v>
      </c>
      <c r="L2085" t="s">
        <v>327</v>
      </c>
    </row>
    <row r="2086" spans="1:12">
      <c r="A2086" t="s">
        <v>318</v>
      </c>
      <c r="B2086" t="s">
        <v>1854</v>
      </c>
      <c r="C2086" t="s">
        <v>442</v>
      </c>
      <c r="D2086" s="28">
        <v>7683400067068</v>
      </c>
      <c r="E2086" s="29" t="s">
        <v>371</v>
      </c>
      <c r="F2086" s="29" t="s">
        <v>372</v>
      </c>
      <c r="G2086">
        <v>13</v>
      </c>
      <c r="H2086" t="s">
        <v>1051</v>
      </c>
      <c r="I2086" t="s">
        <v>98</v>
      </c>
      <c r="J2086" t="s">
        <v>1856</v>
      </c>
      <c r="K2086" t="s">
        <v>285</v>
      </c>
      <c r="L2086" t="s">
        <v>327</v>
      </c>
    </row>
    <row r="2087" spans="1:12">
      <c r="A2087" t="s">
        <v>318</v>
      </c>
      <c r="B2087" t="s">
        <v>1854</v>
      </c>
      <c r="C2087" t="s">
        <v>1962</v>
      </c>
      <c r="D2087" s="28">
        <v>7683400067074</v>
      </c>
      <c r="E2087" s="29" t="s">
        <v>371</v>
      </c>
      <c r="F2087" s="29" t="s">
        <v>372</v>
      </c>
      <c r="G2087">
        <v>13</v>
      </c>
      <c r="H2087" t="s">
        <v>1051</v>
      </c>
      <c r="I2087" t="s">
        <v>98</v>
      </c>
      <c r="J2087" t="s">
        <v>1856</v>
      </c>
      <c r="K2087" t="s">
        <v>285</v>
      </c>
      <c r="L2087" t="s">
        <v>327</v>
      </c>
    </row>
    <row r="2088" spans="1:12">
      <c r="A2088" t="s">
        <v>318</v>
      </c>
      <c r="B2088" t="s">
        <v>1854</v>
      </c>
      <c r="C2088" t="s">
        <v>1963</v>
      </c>
      <c r="D2088" s="28">
        <v>7683400067084</v>
      </c>
      <c r="E2088" s="29" t="s">
        <v>371</v>
      </c>
      <c r="F2088" s="29" t="s">
        <v>372</v>
      </c>
      <c r="G2088">
        <v>13</v>
      </c>
      <c r="H2088" t="s">
        <v>1051</v>
      </c>
      <c r="I2088" t="s">
        <v>98</v>
      </c>
      <c r="J2088" t="s">
        <v>1856</v>
      </c>
      <c r="K2088" t="s">
        <v>285</v>
      </c>
      <c r="L2088" t="s">
        <v>327</v>
      </c>
    </row>
    <row r="2089" spans="1:12">
      <c r="A2089" t="s">
        <v>318</v>
      </c>
      <c r="B2089" t="s">
        <v>1854</v>
      </c>
      <c r="C2089" t="s">
        <v>1802</v>
      </c>
      <c r="D2089" s="28">
        <v>7683400067087</v>
      </c>
      <c r="E2089" s="29" t="s">
        <v>371</v>
      </c>
      <c r="F2089" s="29" t="s">
        <v>372</v>
      </c>
      <c r="G2089">
        <v>13</v>
      </c>
      <c r="H2089" t="s">
        <v>1051</v>
      </c>
      <c r="I2089" t="s">
        <v>98</v>
      </c>
      <c r="J2089" t="s">
        <v>1856</v>
      </c>
      <c r="K2089" t="s">
        <v>1226</v>
      </c>
      <c r="L2089" t="s">
        <v>327</v>
      </c>
    </row>
    <row r="2090" spans="1:12">
      <c r="A2090" t="s">
        <v>318</v>
      </c>
      <c r="B2090" t="s">
        <v>1854</v>
      </c>
      <c r="C2090" t="s">
        <v>1964</v>
      </c>
      <c r="D2090" s="28">
        <v>7683400067096</v>
      </c>
      <c r="E2090" s="29" t="s">
        <v>371</v>
      </c>
      <c r="F2090" s="29" t="s">
        <v>372</v>
      </c>
      <c r="G2090">
        <v>13</v>
      </c>
      <c r="H2090" t="s">
        <v>1051</v>
      </c>
      <c r="I2090" t="s">
        <v>98</v>
      </c>
      <c r="J2090" t="s">
        <v>1856</v>
      </c>
      <c r="K2090" t="s">
        <v>285</v>
      </c>
      <c r="L2090" t="s">
        <v>327</v>
      </c>
    </row>
    <row r="2091" spans="1:12">
      <c r="A2091" t="s">
        <v>318</v>
      </c>
      <c r="B2091" t="s">
        <v>1854</v>
      </c>
      <c r="C2091" t="s">
        <v>1965</v>
      </c>
      <c r="D2091" s="28">
        <v>7683400067098</v>
      </c>
      <c r="E2091" s="29" t="s">
        <v>371</v>
      </c>
      <c r="F2091" s="29" t="s">
        <v>372</v>
      </c>
      <c r="G2091">
        <v>13</v>
      </c>
      <c r="H2091" t="s">
        <v>1051</v>
      </c>
      <c r="I2091" t="s">
        <v>98</v>
      </c>
      <c r="J2091" t="s">
        <v>1856</v>
      </c>
      <c r="K2091" t="s">
        <v>285</v>
      </c>
      <c r="L2091" t="s">
        <v>327</v>
      </c>
    </row>
    <row r="2092" spans="1:12">
      <c r="A2092" t="s">
        <v>318</v>
      </c>
      <c r="B2092" t="s">
        <v>1854</v>
      </c>
      <c r="C2092" t="s">
        <v>554</v>
      </c>
      <c r="D2092" s="28">
        <v>7683400067105</v>
      </c>
      <c r="E2092" s="29" t="s">
        <v>371</v>
      </c>
      <c r="F2092" s="29" t="s">
        <v>372</v>
      </c>
      <c r="G2092">
        <v>13</v>
      </c>
      <c r="H2092" t="s">
        <v>1051</v>
      </c>
      <c r="I2092" t="s">
        <v>98</v>
      </c>
      <c r="J2092" t="s">
        <v>1856</v>
      </c>
      <c r="K2092" t="s">
        <v>285</v>
      </c>
      <c r="L2092" t="s">
        <v>327</v>
      </c>
    </row>
    <row r="2093" spans="1:12">
      <c r="A2093" t="s">
        <v>318</v>
      </c>
      <c r="B2093" t="s">
        <v>1854</v>
      </c>
      <c r="C2093" t="s">
        <v>1243</v>
      </c>
      <c r="D2093" s="28">
        <v>7683400067110</v>
      </c>
      <c r="E2093" s="29" t="s">
        <v>371</v>
      </c>
      <c r="F2093" s="29" t="s">
        <v>372</v>
      </c>
      <c r="G2093">
        <v>13</v>
      </c>
      <c r="H2093" t="s">
        <v>1051</v>
      </c>
      <c r="I2093" t="s">
        <v>98</v>
      </c>
      <c r="J2093" t="s">
        <v>1856</v>
      </c>
      <c r="K2093" t="s">
        <v>285</v>
      </c>
      <c r="L2093" t="s">
        <v>327</v>
      </c>
    </row>
    <row r="2094" spans="1:12">
      <c r="A2094" t="s">
        <v>318</v>
      </c>
      <c r="B2094" t="s">
        <v>1854</v>
      </c>
      <c r="C2094" t="s">
        <v>1966</v>
      </c>
      <c r="D2094" s="28">
        <v>7683400067116</v>
      </c>
      <c r="E2094" s="29" t="s">
        <v>371</v>
      </c>
      <c r="F2094" s="29" t="s">
        <v>372</v>
      </c>
      <c r="G2094">
        <v>13</v>
      </c>
      <c r="H2094" t="s">
        <v>1051</v>
      </c>
      <c r="I2094" t="s">
        <v>98</v>
      </c>
      <c r="J2094" t="s">
        <v>1856</v>
      </c>
      <c r="K2094" t="s">
        <v>285</v>
      </c>
      <c r="L2094" t="s">
        <v>327</v>
      </c>
    </row>
    <row r="2095" spans="1:12">
      <c r="A2095" t="s">
        <v>318</v>
      </c>
      <c r="B2095" t="s">
        <v>1854</v>
      </c>
      <c r="C2095" t="s">
        <v>1182</v>
      </c>
      <c r="D2095" s="28">
        <v>7683400067124</v>
      </c>
      <c r="E2095" s="29" t="s">
        <v>371</v>
      </c>
      <c r="F2095" s="29" t="s">
        <v>372</v>
      </c>
      <c r="G2095">
        <v>13</v>
      </c>
      <c r="H2095" t="s">
        <v>1051</v>
      </c>
      <c r="I2095" t="s">
        <v>98</v>
      </c>
      <c r="J2095" t="s">
        <v>1856</v>
      </c>
      <c r="K2095" t="s">
        <v>1226</v>
      </c>
      <c r="L2095" t="s">
        <v>327</v>
      </c>
    </row>
    <row r="2096" spans="1:12">
      <c r="A2096" t="s">
        <v>318</v>
      </c>
      <c r="B2096" t="s">
        <v>1854</v>
      </c>
      <c r="C2096" t="s">
        <v>1230</v>
      </c>
      <c r="D2096" s="28">
        <v>7683400067132</v>
      </c>
      <c r="E2096" s="29" t="s">
        <v>371</v>
      </c>
      <c r="F2096" s="29" t="s">
        <v>372</v>
      </c>
      <c r="G2096">
        <v>13</v>
      </c>
      <c r="H2096" t="s">
        <v>1051</v>
      </c>
      <c r="I2096" t="s">
        <v>98</v>
      </c>
      <c r="J2096" t="s">
        <v>1856</v>
      </c>
      <c r="K2096" t="s">
        <v>285</v>
      </c>
      <c r="L2096" t="s">
        <v>327</v>
      </c>
    </row>
    <row r="2097" spans="1:12">
      <c r="A2097" t="s">
        <v>318</v>
      </c>
      <c r="B2097" t="s">
        <v>1854</v>
      </c>
      <c r="C2097" t="s">
        <v>969</v>
      </c>
      <c r="D2097" s="28">
        <v>7683400067135</v>
      </c>
      <c r="E2097" s="29" t="s">
        <v>371</v>
      </c>
      <c r="F2097" s="29" t="s">
        <v>372</v>
      </c>
      <c r="G2097">
        <v>13</v>
      </c>
      <c r="H2097" t="s">
        <v>1051</v>
      </c>
      <c r="I2097" t="s">
        <v>98</v>
      </c>
      <c r="J2097" t="s">
        <v>1856</v>
      </c>
      <c r="K2097" t="s">
        <v>1226</v>
      </c>
      <c r="L2097" t="s">
        <v>327</v>
      </c>
    </row>
    <row r="2098" spans="1:12">
      <c r="A2098" t="s">
        <v>318</v>
      </c>
      <c r="B2098" t="s">
        <v>1854</v>
      </c>
      <c r="C2098" t="s">
        <v>1967</v>
      </c>
      <c r="D2098" s="28">
        <v>7683400067151</v>
      </c>
      <c r="E2098" s="29" t="s">
        <v>371</v>
      </c>
      <c r="F2098" s="29" t="s">
        <v>372</v>
      </c>
      <c r="G2098">
        <v>13</v>
      </c>
      <c r="H2098" t="s">
        <v>1051</v>
      </c>
      <c r="I2098" t="s">
        <v>98</v>
      </c>
      <c r="J2098" t="s">
        <v>1856</v>
      </c>
      <c r="K2098" t="s">
        <v>1226</v>
      </c>
      <c r="L2098" t="s">
        <v>327</v>
      </c>
    </row>
    <row r="2099" spans="1:12">
      <c r="A2099" t="s">
        <v>318</v>
      </c>
      <c r="B2099" t="s">
        <v>1854</v>
      </c>
      <c r="C2099" t="s">
        <v>514</v>
      </c>
      <c r="D2099" s="28">
        <v>7683400067154</v>
      </c>
      <c r="E2099" s="29" t="s">
        <v>371</v>
      </c>
      <c r="F2099" s="29" t="s">
        <v>372</v>
      </c>
      <c r="G2099">
        <v>13</v>
      </c>
      <c r="H2099" t="s">
        <v>1051</v>
      </c>
      <c r="I2099" t="s">
        <v>98</v>
      </c>
      <c r="J2099" t="s">
        <v>1856</v>
      </c>
      <c r="K2099" t="s">
        <v>285</v>
      </c>
      <c r="L2099" t="s">
        <v>327</v>
      </c>
    </row>
    <row r="2100" spans="1:12">
      <c r="A2100" t="s">
        <v>318</v>
      </c>
      <c r="B2100" t="s">
        <v>1854</v>
      </c>
      <c r="C2100" t="s">
        <v>1968</v>
      </c>
      <c r="D2100" s="28">
        <v>7683400067161</v>
      </c>
      <c r="E2100" s="29" t="s">
        <v>371</v>
      </c>
      <c r="F2100" s="29" t="s">
        <v>372</v>
      </c>
      <c r="G2100">
        <v>13</v>
      </c>
      <c r="H2100" t="s">
        <v>1051</v>
      </c>
      <c r="I2100" t="s">
        <v>98</v>
      </c>
      <c r="J2100" t="s">
        <v>1856</v>
      </c>
      <c r="K2100" t="s">
        <v>285</v>
      </c>
      <c r="L2100" t="s">
        <v>327</v>
      </c>
    </row>
    <row r="2101" spans="1:12">
      <c r="A2101" t="s">
        <v>318</v>
      </c>
      <c r="B2101" t="s">
        <v>1854</v>
      </c>
      <c r="C2101" t="s">
        <v>572</v>
      </c>
      <c r="D2101" s="28">
        <v>7683400067252</v>
      </c>
      <c r="E2101" s="29" t="s">
        <v>371</v>
      </c>
      <c r="F2101" s="29" t="s">
        <v>372</v>
      </c>
      <c r="G2101">
        <v>13</v>
      </c>
      <c r="H2101" t="s">
        <v>1051</v>
      </c>
      <c r="I2101" t="s">
        <v>98</v>
      </c>
      <c r="J2101" t="s">
        <v>1856</v>
      </c>
      <c r="K2101" t="s">
        <v>285</v>
      </c>
      <c r="L2101" t="s">
        <v>327</v>
      </c>
    </row>
    <row r="2102" spans="1:12">
      <c r="A2102" t="s">
        <v>318</v>
      </c>
      <c r="B2102" t="s">
        <v>1854</v>
      </c>
      <c r="C2102" t="s">
        <v>1969</v>
      </c>
      <c r="D2102" s="28">
        <v>7683400067260</v>
      </c>
      <c r="E2102" s="29" t="s">
        <v>371</v>
      </c>
      <c r="F2102" s="29" t="s">
        <v>372</v>
      </c>
      <c r="G2102">
        <v>13</v>
      </c>
      <c r="H2102" t="s">
        <v>1051</v>
      </c>
      <c r="I2102" t="s">
        <v>98</v>
      </c>
      <c r="J2102" t="s">
        <v>1856</v>
      </c>
      <c r="K2102" t="s">
        <v>1226</v>
      </c>
      <c r="L2102" t="s">
        <v>327</v>
      </c>
    </row>
    <row r="2103" spans="1:12">
      <c r="A2103" t="s">
        <v>318</v>
      </c>
      <c r="B2103" t="s">
        <v>1854</v>
      </c>
      <c r="C2103" t="s">
        <v>1970</v>
      </c>
      <c r="D2103" s="28">
        <v>7683400067262</v>
      </c>
      <c r="E2103" s="29" t="s">
        <v>371</v>
      </c>
      <c r="F2103" s="29" t="s">
        <v>372</v>
      </c>
      <c r="G2103">
        <v>13</v>
      </c>
      <c r="H2103" t="s">
        <v>1051</v>
      </c>
      <c r="I2103" t="s">
        <v>98</v>
      </c>
      <c r="J2103" t="s">
        <v>1856</v>
      </c>
      <c r="K2103" t="s">
        <v>285</v>
      </c>
      <c r="L2103" t="s">
        <v>327</v>
      </c>
    </row>
    <row r="2104" spans="1:12">
      <c r="A2104" t="s">
        <v>318</v>
      </c>
      <c r="B2104" t="s">
        <v>1854</v>
      </c>
      <c r="C2104" t="s">
        <v>373</v>
      </c>
      <c r="D2104" s="28">
        <v>7683400067265</v>
      </c>
      <c r="E2104" s="29" t="s">
        <v>371</v>
      </c>
      <c r="F2104" s="29" t="s">
        <v>372</v>
      </c>
      <c r="G2104">
        <v>13</v>
      </c>
      <c r="H2104" t="s">
        <v>1051</v>
      </c>
      <c r="I2104" t="s">
        <v>98</v>
      </c>
      <c r="J2104" t="s">
        <v>1856</v>
      </c>
      <c r="K2104" t="s">
        <v>285</v>
      </c>
      <c r="L2104" t="s">
        <v>327</v>
      </c>
    </row>
    <row r="2105" spans="1:12">
      <c r="A2105" t="s">
        <v>318</v>
      </c>
      <c r="B2105" t="s">
        <v>1854</v>
      </c>
      <c r="C2105" t="s">
        <v>1394</v>
      </c>
      <c r="D2105" s="28">
        <v>7683400067311</v>
      </c>
      <c r="E2105" s="29" t="s">
        <v>371</v>
      </c>
      <c r="F2105" s="29" t="s">
        <v>372</v>
      </c>
      <c r="G2105">
        <v>13</v>
      </c>
      <c r="H2105" t="s">
        <v>1051</v>
      </c>
      <c r="I2105" t="s">
        <v>98</v>
      </c>
      <c r="J2105" t="s">
        <v>1856</v>
      </c>
      <c r="K2105" t="s">
        <v>285</v>
      </c>
      <c r="L2105" t="s">
        <v>327</v>
      </c>
    </row>
    <row r="2106" spans="1:12">
      <c r="A2106" t="s">
        <v>318</v>
      </c>
      <c r="B2106" t="s">
        <v>1854</v>
      </c>
      <c r="C2106" t="s">
        <v>1971</v>
      </c>
      <c r="D2106" s="28">
        <v>7683400067321</v>
      </c>
      <c r="E2106" s="29" t="s">
        <v>371</v>
      </c>
      <c r="F2106" s="29" t="s">
        <v>372</v>
      </c>
      <c r="G2106">
        <v>13</v>
      </c>
      <c r="H2106" t="s">
        <v>1051</v>
      </c>
      <c r="I2106" t="s">
        <v>98</v>
      </c>
      <c r="J2106" t="s">
        <v>1856</v>
      </c>
      <c r="K2106" t="s">
        <v>285</v>
      </c>
      <c r="L2106" t="s">
        <v>327</v>
      </c>
    </row>
    <row r="2107" spans="1:12">
      <c r="A2107" t="s">
        <v>318</v>
      </c>
      <c r="B2107" t="s">
        <v>1854</v>
      </c>
      <c r="C2107" t="s">
        <v>1972</v>
      </c>
      <c r="D2107" s="28">
        <v>7683400067340</v>
      </c>
      <c r="E2107" s="29" t="s">
        <v>371</v>
      </c>
      <c r="F2107" s="29" t="s">
        <v>372</v>
      </c>
      <c r="G2107">
        <v>13</v>
      </c>
      <c r="H2107" t="s">
        <v>1051</v>
      </c>
      <c r="I2107" t="s">
        <v>98</v>
      </c>
      <c r="J2107" t="s">
        <v>1856</v>
      </c>
      <c r="K2107" t="s">
        <v>285</v>
      </c>
      <c r="L2107" t="s">
        <v>327</v>
      </c>
    </row>
    <row r="2108" spans="1:12">
      <c r="A2108" t="s">
        <v>318</v>
      </c>
      <c r="B2108" t="s">
        <v>1854</v>
      </c>
      <c r="C2108" t="s">
        <v>1973</v>
      </c>
      <c r="D2108" s="28">
        <v>7683400067357</v>
      </c>
      <c r="E2108" s="29" t="s">
        <v>371</v>
      </c>
      <c r="F2108" s="29" t="s">
        <v>372</v>
      </c>
      <c r="G2108">
        <v>13</v>
      </c>
      <c r="H2108" t="s">
        <v>1051</v>
      </c>
      <c r="I2108" t="s">
        <v>98</v>
      </c>
      <c r="J2108" t="s">
        <v>1856</v>
      </c>
      <c r="K2108" t="s">
        <v>285</v>
      </c>
      <c r="L2108" t="s">
        <v>327</v>
      </c>
    </row>
    <row r="2109" spans="1:12">
      <c r="A2109" t="s">
        <v>318</v>
      </c>
      <c r="B2109" t="s">
        <v>1854</v>
      </c>
      <c r="C2109" t="s">
        <v>1974</v>
      </c>
      <c r="D2109" s="28">
        <v>7683400067388</v>
      </c>
      <c r="E2109" s="29" t="s">
        <v>371</v>
      </c>
      <c r="F2109" s="29" t="s">
        <v>372</v>
      </c>
      <c r="G2109">
        <v>13</v>
      </c>
      <c r="H2109" t="s">
        <v>1051</v>
      </c>
      <c r="I2109" t="s">
        <v>98</v>
      </c>
      <c r="J2109" t="s">
        <v>1856</v>
      </c>
      <c r="K2109" t="s">
        <v>285</v>
      </c>
      <c r="L2109" t="s">
        <v>327</v>
      </c>
    </row>
    <row r="2110" spans="1:12">
      <c r="A2110" t="s">
        <v>318</v>
      </c>
      <c r="B2110" t="s">
        <v>1854</v>
      </c>
      <c r="C2110" t="s">
        <v>1975</v>
      </c>
      <c r="D2110" s="28">
        <v>7683400067409</v>
      </c>
      <c r="E2110" s="29" t="s">
        <v>371</v>
      </c>
      <c r="F2110" s="29" t="s">
        <v>372</v>
      </c>
      <c r="G2110">
        <v>13</v>
      </c>
      <c r="H2110" t="s">
        <v>1051</v>
      </c>
      <c r="I2110" t="s">
        <v>98</v>
      </c>
      <c r="J2110" t="s">
        <v>1856</v>
      </c>
      <c r="K2110" t="s">
        <v>285</v>
      </c>
      <c r="L2110" t="s">
        <v>327</v>
      </c>
    </row>
    <row r="2111" spans="1:12">
      <c r="A2111" t="s">
        <v>318</v>
      </c>
      <c r="B2111" t="s">
        <v>1854</v>
      </c>
      <c r="C2111" t="s">
        <v>1976</v>
      </c>
      <c r="D2111" s="28">
        <v>7683400067420</v>
      </c>
      <c r="E2111" s="29" t="s">
        <v>371</v>
      </c>
      <c r="F2111" s="29" t="s">
        <v>372</v>
      </c>
      <c r="G2111">
        <v>13</v>
      </c>
      <c r="H2111" t="s">
        <v>1051</v>
      </c>
      <c r="I2111" t="s">
        <v>98</v>
      </c>
      <c r="J2111" t="s">
        <v>1856</v>
      </c>
      <c r="K2111" t="s">
        <v>285</v>
      </c>
      <c r="L2111" t="s">
        <v>327</v>
      </c>
    </row>
    <row r="2112" spans="1:12">
      <c r="A2112" t="s">
        <v>318</v>
      </c>
      <c r="B2112" t="s">
        <v>1854</v>
      </c>
      <c r="C2112" t="s">
        <v>1977</v>
      </c>
      <c r="D2112" s="28">
        <v>7683400069000</v>
      </c>
      <c r="E2112" s="29" t="s">
        <v>371</v>
      </c>
      <c r="F2112" s="29" t="s">
        <v>372</v>
      </c>
      <c r="G2112">
        <v>13</v>
      </c>
      <c r="H2112" t="s">
        <v>1051</v>
      </c>
      <c r="I2112" t="s">
        <v>98</v>
      </c>
      <c r="J2112" t="s">
        <v>1856</v>
      </c>
      <c r="K2112" t="s">
        <v>285</v>
      </c>
      <c r="L2112" t="s">
        <v>327</v>
      </c>
    </row>
    <row r="2113" spans="1:12">
      <c r="A2113" t="s">
        <v>318</v>
      </c>
      <c r="B2113" t="s">
        <v>1854</v>
      </c>
      <c r="C2113" t="s">
        <v>1978</v>
      </c>
      <c r="D2113" s="28">
        <v>7683400069032</v>
      </c>
      <c r="E2113" s="29" t="s">
        <v>371</v>
      </c>
      <c r="F2113" s="29" t="s">
        <v>372</v>
      </c>
      <c r="G2113">
        <v>13</v>
      </c>
      <c r="H2113" t="s">
        <v>1051</v>
      </c>
      <c r="I2113" t="s">
        <v>98</v>
      </c>
      <c r="J2113" t="s">
        <v>1856</v>
      </c>
      <c r="K2113" t="s">
        <v>285</v>
      </c>
      <c r="L2113" t="s">
        <v>327</v>
      </c>
    </row>
    <row r="2114" spans="1:12">
      <c r="A2114" t="s">
        <v>318</v>
      </c>
      <c r="B2114" t="s">
        <v>1854</v>
      </c>
      <c r="C2114" t="s">
        <v>446</v>
      </c>
      <c r="D2114" s="28">
        <v>7683400070229</v>
      </c>
      <c r="E2114" s="29" t="s">
        <v>371</v>
      </c>
      <c r="F2114" s="29" t="s">
        <v>372</v>
      </c>
      <c r="G2114">
        <v>13</v>
      </c>
      <c r="H2114" t="s">
        <v>1051</v>
      </c>
      <c r="I2114" t="s">
        <v>98</v>
      </c>
      <c r="J2114" t="s">
        <v>1856</v>
      </c>
      <c r="K2114" t="s">
        <v>285</v>
      </c>
      <c r="L2114" t="s">
        <v>327</v>
      </c>
    </row>
    <row r="2115" spans="1:12">
      <c r="A2115" t="s">
        <v>318</v>
      </c>
      <c r="B2115" t="s">
        <v>1854</v>
      </c>
      <c r="C2115" t="s">
        <v>1979</v>
      </c>
      <c r="D2115" s="28">
        <v>7683400134021</v>
      </c>
      <c r="E2115" s="29" t="s">
        <v>371</v>
      </c>
      <c r="F2115" s="29" t="s">
        <v>372</v>
      </c>
      <c r="G2115">
        <v>13</v>
      </c>
      <c r="H2115" t="s">
        <v>1051</v>
      </c>
      <c r="I2115" t="s">
        <v>98</v>
      </c>
      <c r="J2115" t="s">
        <v>1856</v>
      </c>
      <c r="K2115" t="s">
        <v>285</v>
      </c>
      <c r="L2115" t="s">
        <v>327</v>
      </c>
    </row>
    <row r="2116" spans="1:12">
      <c r="A2116" t="s">
        <v>318</v>
      </c>
      <c r="B2116" t="s">
        <v>1854</v>
      </c>
      <c r="C2116" t="s">
        <v>1980</v>
      </c>
      <c r="D2116" s="28">
        <v>768341147795</v>
      </c>
      <c r="E2116" s="29" t="s">
        <v>371</v>
      </c>
      <c r="F2116" s="29" t="s">
        <v>372</v>
      </c>
      <c r="G2116">
        <v>13</v>
      </c>
      <c r="H2116" t="s">
        <v>1051</v>
      </c>
      <c r="I2116" t="s">
        <v>98</v>
      </c>
      <c r="J2116" t="s">
        <v>1856</v>
      </c>
      <c r="K2116" t="s">
        <v>285</v>
      </c>
      <c r="L2116" t="s">
        <v>327</v>
      </c>
    </row>
    <row r="2117" spans="1:12">
      <c r="A2117" t="s">
        <v>318</v>
      </c>
      <c r="B2117" t="s">
        <v>1854</v>
      </c>
      <c r="C2117" t="s">
        <v>1981</v>
      </c>
      <c r="D2117" s="28">
        <v>768281154688</v>
      </c>
      <c r="E2117" s="29" t="s">
        <v>1331</v>
      </c>
      <c r="F2117" s="29" t="s">
        <v>322</v>
      </c>
      <c r="G2117">
        <v>30</v>
      </c>
      <c r="H2117" t="s">
        <v>323</v>
      </c>
      <c r="I2117" t="s">
        <v>45</v>
      </c>
      <c r="J2117" t="s">
        <v>1871</v>
      </c>
      <c r="K2117" t="s">
        <v>394</v>
      </c>
      <c r="L2117" t="s">
        <v>327</v>
      </c>
    </row>
    <row r="2118" spans="1:12">
      <c r="A2118" t="s">
        <v>318</v>
      </c>
      <c r="B2118" t="s">
        <v>1854</v>
      </c>
      <c r="C2118" t="s">
        <v>1982</v>
      </c>
      <c r="D2118" s="28">
        <v>768281154689</v>
      </c>
      <c r="E2118" s="29" t="s">
        <v>1331</v>
      </c>
      <c r="F2118" s="29" t="s">
        <v>322</v>
      </c>
      <c r="G2118">
        <v>18</v>
      </c>
      <c r="H2118" t="s">
        <v>323</v>
      </c>
      <c r="I2118" t="s">
        <v>45</v>
      </c>
      <c r="J2118" t="s">
        <v>1871</v>
      </c>
      <c r="K2118" t="s">
        <v>394</v>
      </c>
      <c r="L2118" t="s">
        <v>327</v>
      </c>
    </row>
    <row r="2119" spans="1:12">
      <c r="A2119" t="s">
        <v>318</v>
      </c>
      <c r="B2119" t="s">
        <v>1854</v>
      </c>
      <c r="C2119" t="s">
        <v>1983</v>
      </c>
      <c r="D2119" s="28">
        <v>768281154690</v>
      </c>
      <c r="E2119" s="29" t="s">
        <v>1331</v>
      </c>
      <c r="F2119" s="29" t="s">
        <v>322</v>
      </c>
      <c r="G2119">
        <v>32</v>
      </c>
      <c r="H2119" t="s">
        <v>323</v>
      </c>
      <c r="I2119" t="s">
        <v>45</v>
      </c>
      <c r="J2119" t="s">
        <v>1871</v>
      </c>
      <c r="K2119" t="s">
        <v>394</v>
      </c>
      <c r="L2119" t="s">
        <v>327</v>
      </c>
    </row>
    <row r="2120" spans="1:12">
      <c r="A2120" t="s">
        <v>318</v>
      </c>
      <c r="B2120" t="s">
        <v>1984</v>
      </c>
      <c r="C2120" t="s">
        <v>575</v>
      </c>
      <c r="D2120" s="28">
        <v>7662200042804</v>
      </c>
      <c r="E2120" s="29" t="s">
        <v>371</v>
      </c>
      <c r="F2120" s="29" t="s">
        <v>372</v>
      </c>
      <c r="G2120">
        <v>7</v>
      </c>
      <c r="H2120" t="s">
        <v>323</v>
      </c>
      <c r="I2120" t="s">
        <v>45</v>
      </c>
      <c r="J2120" t="s">
        <v>1985</v>
      </c>
      <c r="K2120" t="s">
        <v>285</v>
      </c>
      <c r="L2120" t="s">
        <v>1986</v>
      </c>
    </row>
    <row r="2121" spans="1:12">
      <c r="A2121" t="s">
        <v>318</v>
      </c>
      <c r="B2121" t="s">
        <v>1984</v>
      </c>
      <c r="C2121" t="s">
        <v>554</v>
      </c>
      <c r="D2121" s="28">
        <v>7662200042905</v>
      </c>
      <c r="E2121" s="29" t="s">
        <v>371</v>
      </c>
      <c r="F2121" s="29" t="s">
        <v>372</v>
      </c>
      <c r="G2121">
        <v>12</v>
      </c>
      <c r="H2121" t="s">
        <v>323</v>
      </c>
      <c r="I2121" t="s">
        <v>45</v>
      </c>
      <c r="J2121" t="s">
        <v>1985</v>
      </c>
      <c r="K2121" t="s">
        <v>285</v>
      </c>
      <c r="L2121" t="s">
        <v>1986</v>
      </c>
    </row>
    <row r="2122" spans="1:12">
      <c r="A2122" t="s">
        <v>318</v>
      </c>
      <c r="B2122" t="s">
        <v>1984</v>
      </c>
      <c r="C2122" t="s">
        <v>868</v>
      </c>
      <c r="D2122" s="28">
        <v>7662200042959</v>
      </c>
      <c r="E2122" s="29" t="s">
        <v>371</v>
      </c>
      <c r="F2122" s="29" t="s">
        <v>372</v>
      </c>
      <c r="G2122">
        <v>10</v>
      </c>
      <c r="H2122" t="s">
        <v>323</v>
      </c>
      <c r="I2122" t="s">
        <v>45</v>
      </c>
      <c r="J2122" t="s">
        <v>1985</v>
      </c>
      <c r="K2122" t="s">
        <v>285</v>
      </c>
      <c r="L2122" t="s">
        <v>1986</v>
      </c>
    </row>
    <row r="2123" spans="1:12">
      <c r="A2123" t="s">
        <v>318</v>
      </c>
      <c r="B2123" t="s">
        <v>1984</v>
      </c>
      <c r="C2123" t="s">
        <v>1987</v>
      </c>
      <c r="D2123" s="28">
        <v>7662200042971</v>
      </c>
      <c r="E2123" s="29" t="s">
        <v>371</v>
      </c>
      <c r="F2123" s="29" t="s">
        <v>372</v>
      </c>
      <c r="G2123">
        <v>12</v>
      </c>
      <c r="H2123" t="s">
        <v>323</v>
      </c>
      <c r="I2123" t="s">
        <v>45</v>
      </c>
      <c r="J2123" t="s">
        <v>1985</v>
      </c>
      <c r="K2123" t="s">
        <v>285</v>
      </c>
      <c r="L2123" t="s">
        <v>1986</v>
      </c>
    </row>
    <row r="2124" spans="1:12">
      <c r="A2124" t="s">
        <v>318</v>
      </c>
      <c r="B2124" t="s">
        <v>1984</v>
      </c>
      <c r="C2124" t="s">
        <v>1988</v>
      </c>
      <c r="D2124" s="28">
        <v>7662200042984</v>
      </c>
      <c r="E2124" s="29" t="s">
        <v>371</v>
      </c>
      <c r="F2124" s="29" t="s">
        <v>372</v>
      </c>
      <c r="G2124">
        <v>10</v>
      </c>
      <c r="H2124" t="s">
        <v>323</v>
      </c>
      <c r="I2124" t="s">
        <v>45</v>
      </c>
      <c r="J2124" t="s">
        <v>1985</v>
      </c>
      <c r="K2124" t="s">
        <v>285</v>
      </c>
      <c r="L2124" t="s">
        <v>1986</v>
      </c>
    </row>
    <row r="2125" spans="1:12">
      <c r="A2125" t="s">
        <v>318</v>
      </c>
      <c r="B2125" t="s">
        <v>1984</v>
      </c>
      <c r="C2125" t="s">
        <v>1325</v>
      </c>
      <c r="D2125" s="28">
        <v>7662200043031</v>
      </c>
      <c r="E2125" s="29" t="s">
        <v>371</v>
      </c>
      <c r="F2125" s="29" t="s">
        <v>372</v>
      </c>
      <c r="G2125">
        <v>10</v>
      </c>
      <c r="H2125" t="s">
        <v>323</v>
      </c>
      <c r="I2125" t="s">
        <v>45</v>
      </c>
      <c r="J2125" t="s">
        <v>1985</v>
      </c>
      <c r="K2125" t="s">
        <v>285</v>
      </c>
      <c r="L2125" t="s">
        <v>1986</v>
      </c>
    </row>
    <row r="2126" spans="1:12">
      <c r="A2126" t="s">
        <v>318</v>
      </c>
      <c r="B2126" t="s">
        <v>1984</v>
      </c>
      <c r="C2126" t="s">
        <v>790</v>
      </c>
      <c r="D2126" s="28">
        <v>7662200043151</v>
      </c>
      <c r="E2126" s="29" t="s">
        <v>1045</v>
      </c>
      <c r="F2126" s="29" t="s">
        <v>372</v>
      </c>
      <c r="G2126">
        <v>14</v>
      </c>
      <c r="H2126" t="s">
        <v>323</v>
      </c>
      <c r="I2126" t="s">
        <v>45</v>
      </c>
      <c r="J2126" t="s">
        <v>1985</v>
      </c>
      <c r="K2126" t="s">
        <v>285</v>
      </c>
      <c r="L2126" t="s">
        <v>1986</v>
      </c>
    </row>
    <row r="2127" spans="1:12">
      <c r="A2127" t="s">
        <v>318</v>
      </c>
      <c r="B2127" t="s">
        <v>1984</v>
      </c>
      <c r="C2127" t="s">
        <v>1989</v>
      </c>
      <c r="D2127" s="28">
        <v>7662200043274</v>
      </c>
      <c r="E2127" s="29" t="s">
        <v>1045</v>
      </c>
      <c r="F2127" s="29" t="s">
        <v>372</v>
      </c>
      <c r="G2127">
        <v>14</v>
      </c>
      <c r="H2127" t="s">
        <v>323</v>
      </c>
      <c r="I2127" t="s">
        <v>45</v>
      </c>
      <c r="J2127" t="s">
        <v>1985</v>
      </c>
      <c r="K2127" t="s">
        <v>285</v>
      </c>
      <c r="L2127" t="s">
        <v>1986</v>
      </c>
    </row>
    <row r="2128" spans="1:12">
      <c r="A2128" t="s">
        <v>318</v>
      </c>
      <c r="B2128" t="s">
        <v>1984</v>
      </c>
      <c r="C2128" t="s">
        <v>411</v>
      </c>
      <c r="D2128" s="28">
        <v>7662200043337</v>
      </c>
      <c r="E2128" s="29" t="s">
        <v>1045</v>
      </c>
      <c r="F2128" s="29" t="s">
        <v>372</v>
      </c>
      <c r="G2128">
        <v>14</v>
      </c>
      <c r="H2128" t="s">
        <v>323</v>
      </c>
      <c r="I2128" t="s">
        <v>45</v>
      </c>
      <c r="J2128" t="s">
        <v>1985</v>
      </c>
      <c r="K2128" t="s">
        <v>285</v>
      </c>
      <c r="L2128" t="s">
        <v>1986</v>
      </c>
    </row>
    <row r="2129" spans="1:12">
      <c r="A2129" t="s">
        <v>318</v>
      </c>
      <c r="B2129" t="s">
        <v>1984</v>
      </c>
      <c r="C2129" t="s">
        <v>1679</v>
      </c>
      <c r="D2129" s="28">
        <v>7662200043367</v>
      </c>
      <c r="E2129" s="29" t="s">
        <v>1045</v>
      </c>
      <c r="F2129" s="29" t="s">
        <v>372</v>
      </c>
      <c r="G2129">
        <v>14</v>
      </c>
      <c r="H2129" t="s">
        <v>323</v>
      </c>
      <c r="I2129" t="s">
        <v>45</v>
      </c>
      <c r="J2129" t="s">
        <v>1985</v>
      </c>
      <c r="K2129" t="s">
        <v>285</v>
      </c>
      <c r="L2129" t="s">
        <v>1986</v>
      </c>
    </row>
    <row r="2130" spans="1:12">
      <c r="A2130" t="s">
        <v>318</v>
      </c>
      <c r="B2130" t="s">
        <v>1984</v>
      </c>
      <c r="C2130" t="s">
        <v>1990</v>
      </c>
      <c r="D2130" s="28">
        <v>7662200043444</v>
      </c>
      <c r="E2130" s="29" t="s">
        <v>371</v>
      </c>
      <c r="F2130" s="29" t="s">
        <v>372</v>
      </c>
      <c r="G2130">
        <v>6</v>
      </c>
      <c r="H2130" t="s">
        <v>323</v>
      </c>
      <c r="I2130" t="s">
        <v>45</v>
      </c>
      <c r="J2130" t="s">
        <v>1985</v>
      </c>
      <c r="K2130" t="s">
        <v>285</v>
      </c>
      <c r="L2130" t="s">
        <v>1986</v>
      </c>
    </row>
    <row r="2131" spans="1:12">
      <c r="A2131" t="s">
        <v>318</v>
      </c>
      <c r="B2131" t="s">
        <v>1984</v>
      </c>
      <c r="C2131" t="s">
        <v>421</v>
      </c>
      <c r="D2131" s="28">
        <v>7662200043469</v>
      </c>
      <c r="E2131" s="29" t="s">
        <v>371</v>
      </c>
      <c r="F2131" s="29" t="s">
        <v>372</v>
      </c>
      <c r="G2131">
        <v>10</v>
      </c>
      <c r="H2131" t="s">
        <v>323</v>
      </c>
      <c r="I2131" t="s">
        <v>45</v>
      </c>
      <c r="J2131" t="s">
        <v>1985</v>
      </c>
      <c r="K2131" t="s">
        <v>285</v>
      </c>
      <c r="L2131" t="s">
        <v>1986</v>
      </c>
    </row>
    <row r="2132" spans="1:12">
      <c r="A2132" t="s">
        <v>318</v>
      </c>
      <c r="B2132" t="s">
        <v>1984</v>
      </c>
      <c r="C2132" t="s">
        <v>1991</v>
      </c>
      <c r="D2132" s="28">
        <v>7662200043483</v>
      </c>
      <c r="E2132" s="29" t="s">
        <v>371</v>
      </c>
      <c r="F2132" s="29" t="s">
        <v>372</v>
      </c>
      <c r="G2132">
        <v>6</v>
      </c>
      <c r="H2132" t="s">
        <v>323</v>
      </c>
      <c r="I2132" t="s">
        <v>98</v>
      </c>
      <c r="J2132" t="s">
        <v>1985</v>
      </c>
      <c r="K2132" t="s">
        <v>285</v>
      </c>
      <c r="L2132" t="s">
        <v>1986</v>
      </c>
    </row>
    <row r="2133" spans="1:12">
      <c r="A2133" t="s">
        <v>318</v>
      </c>
      <c r="B2133" t="s">
        <v>1984</v>
      </c>
      <c r="C2133" t="s">
        <v>1992</v>
      </c>
      <c r="D2133" s="28">
        <v>7662200043518</v>
      </c>
      <c r="E2133" s="29" t="s">
        <v>371</v>
      </c>
      <c r="F2133" s="29" t="s">
        <v>372</v>
      </c>
      <c r="G2133">
        <v>11</v>
      </c>
      <c r="H2133" t="s">
        <v>323</v>
      </c>
      <c r="I2133" t="s">
        <v>45</v>
      </c>
      <c r="J2133" t="s">
        <v>1985</v>
      </c>
      <c r="K2133" t="s">
        <v>285</v>
      </c>
      <c r="L2133" t="s">
        <v>1986</v>
      </c>
    </row>
    <row r="2134" spans="1:12">
      <c r="A2134" t="s">
        <v>318</v>
      </c>
      <c r="B2134" t="s">
        <v>1984</v>
      </c>
      <c r="C2134" t="s">
        <v>1993</v>
      </c>
      <c r="D2134" s="28">
        <v>7662200043845</v>
      </c>
      <c r="E2134" s="29" t="s">
        <v>1045</v>
      </c>
      <c r="F2134" s="29" t="s">
        <v>372</v>
      </c>
      <c r="G2134">
        <v>14</v>
      </c>
      <c r="H2134" t="s">
        <v>323</v>
      </c>
      <c r="I2134" t="s">
        <v>45</v>
      </c>
      <c r="J2134" t="s">
        <v>1985</v>
      </c>
      <c r="K2134" t="s">
        <v>285</v>
      </c>
      <c r="L2134" t="s">
        <v>1986</v>
      </c>
    </row>
    <row r="2135" spans="1:12">
      <c r="A2135" t="s">
        <v>318</v>
      </c>
      <c r="B2135" t="s">
        <v>1984</v>
      </c>
      <c r="C2135" t="s">
        <v>1994</v>
      </c>
      <c r="D2135" s="28">
        <v>7662200043870</v>
      </c>
      <c r="E2135" s="29" t="s">
        <v>371</v>
      </c>
      <c r="F2135" s="29" t="s">
        <v>372</v>
      </c>
      <c r="G2135">
        <v>13</v>
      </c>
      <c r="H2135" t="s">
        <v>323</v>
      </c>
      <c r="I2135" t="s">
        <v>45</v>
      </c>
      <c r="J2135" t="s">
        <v>1995</v>
      </c>
      <c r="K2135" t="s">
        <v>285</v>
      </c>
      <c r="L2135" t="s">
        <v>1986</v>
      </c>
    </row>
    <row r="2136" spans="1:12">
      <c r="A2136" t="s">
        <v>318</v>
      </c>
      <c r="B2136" t="s">
        <v>1984</v>
      </c>
      <c r="C2136" t="s">
        <v>1296</v>
      </c>
      <c r="D2136" s="28">
        <v>7662200043906</v>
      </c>
      <c r="E2136" s="29" t="s">
        <v>371</v>
      </c>
      <c r="F2136" s="29" t="s">
        <v>372</v>
      </c>
      <c r="G2136">
        <v>9</v>
      </c>
      <c r="H2136" t="s">
        <v>323</v>
      </c>
      <c r="I2136" t="s">
        <v>45</v>
      </c>
      <c r="J2136" t="s">
        <v>1985</v>
      </c>
      <c r="K2136" t="s">
        <v>285</v>
      </c>
      <c r="L2136" t="s">
        <v>1986</v>
      </c>
    </row>
    <row r="2137" spans="1:12">
      <c r="A2137" t="s">
        <v>318</v>
      </c>
      <c r="B2137" t="s">
        <v>1984</v>
      </c>
      <c r="C2137" t="s">
        <v>1745</v>
      </c>
      <c r="D2137" s="28">
        <v>7662200068798</v>
      </c>
      <c r="E2137" s="29" t="s">
        <v>1045</v>
      </c>
      <c r="F2137" s="29" t="s">
        <v>372</v>
      </c>
      <c r="G2137">
        <v>14</v>
      </c>
      <c r="H2137" t="s">
        <v>323</v>
      </c>
      <c r="I2137" t="s">
        <v>45</v>
      </c>
      <c r="J2137" t="s">
        <v>1985</v>
      </c>
      <c r="K2137" t="s">
        <v>285</v>
      </c>
      <c r="L2137" t="s">
        <v>1986</v>
      </c>
    </row>
    <row r="2138" spans="1:12">
      <c r="A2138" t="s">
        <v>318</v>
      </c>
      <c r="B2138" t="s">
        <v>1984</v>
      </c>
      <c r="C2138" t="s">
        <v>1996</v>
      </c>
      <c r="D2138" s="28">
        <v>7686300073065</v>
      </c>
      <c r="E2138" s="29" t="s">
        <v>371</v>
      </c>
      <c r="F2138" s="29" t="s">
        <v>372</v>
      </c>
      <c r="G2138">
        <v>12</v>
      </c>
      <c r="H2138" t="s">
        <v>323</v>
      </c>
      <c r="I2138" t="s">
        <v>98</v>
      </c>
      <c r="J2138" t="s">
        <v>1997</v>
      </c>
      <c r="K2138" t="s">
        <v>285</v>
      </c>
      <c r="L2138" t="s">
        <v>1986</v>
      </c>
    </row>
    <row r="2139" spans="1:12">
      <c r="A2139" t="s">
        <v>318</v>
      </c>
      <c r="B2139" t="s">
        <v>1984</v>
      </c>
      <c r="C2139" t="s">
        <v>1998</v>
      </c>
      <c r="D2139" s="28">
        <v>7686300073078</v>
      </c>
      <c r="E2139" s="29" t="s">
        <v>1045</v>
      </c>
      <c r="F2139" s="29" t="s">
        <v>372</v>
      </c>
      <c r="G2139">
        <v>15</v>
      </c>
      <c r="H2139" t="s">
        <v>323</v>
      </c>
      <c r="I2139" t="s">
        <v>98</v>
      </c>
      <c r="J2139" t="s">
        <v>1997</v>
      </c>
      <c r="K2139" t="s">
        <v>285</v>
      </c>
      <c r="L2139" t="s">
        <v>1986</v>
      </c>
    </row>
    <row r="2140" spans="1:12">
      <c r="A2140" t="s">
        <v>318</v>
      </c>
      <c r="B2140" t="s">
        <v>1984</v>
      </c>
      <c r="C2140" t="s">
        <v>1999</v>
      </c>
      <c r="D2140" s="28">
        <v>7686300138197</v>
      </c>
      <c r="E2140" s="29" t="s">
        <v>371</v>
      </c>
      <c r="F2140" s="29" t="s">
        <v>372</v>
      </c>
      <c r="G2140">
        <v>11</v>
      </c>
      <c r="H2140" t="s">
        <v>323</v>
      </c>
      <c r="I2140" t="s">
        <v>45</v>
      </c>
      <c r="J2140" t="s">
        <v>1997</v>
      </c>
      <c r="K2140" t="s">
        <v>285</v>
      </c>
      <c r="L2140" t="s">
        <v>1986</v>
      </c>
    </row>
    <row r="2141" spans="1:12">
      <c r="A2141" t="s">
        <v>318</v>
      </c>
      <c r="B2141" t="s">
        <v>1984</v>
      </c>
      <c r="C2141" t="s">
        <v>1296</v>
      </c>
      <c r="D2141" s="28">
        <v>7689500042117</v>
      </c>
      <c r="E2141" s="29" t="s">
        <v>371</v>
      </c>
      <c r="F2141" s="29" t="s">
        <v>372</v>
      </c>
      <c r="G2141">
        <v>0</v>
      </c>
      <c r="H2141" t="s">
        <v>323</v>
      </c>
      <c r="I2141" t="s">
        <v>324</v>
      </c>
      <c r="J2141" t="s">
        <v>1995</v>
      </c>
      <c r="K2141" t="s">
        <v>285</v>
      </c>
      <c r="L2141" t="s">
        <v>285</v>
      </c>
    </row>
    <row r="2142" spans="1:12">
      <c r="A2142" t="s">
        <v>318</v>
      </c>
      <c r="B2142" t="s">
        <v>1984</v>
      </c>
      <c r="C2142" t="s">
        <v>385</v>
      </c>
      <c r="D2142" s="28">
        <v>7689500042145</v>
      </c>
      <c r="E2142" s="29" t="s">
        <v>371</v>
      </c>
      <c r="F2142" s="29" t="s">
        <v>372</v>
      </c>
      <c r="G2142">
        <v>12</v>
      </c>
      <c r="H2142" t="s">
        <v>323</v>
      </c>
      <c r="I2142" t="s">
        <v>98</v>
      </c>
      <c r="J2142" t="s">
        <v>1995</v>
      </c>
      <c r="K2142" t="s">
        <v>285</v>
      </c>
      <c r="L2142" t="s">
        <v>2000</v>
      </c>
    </row>
    <row r="2143" spans="1:12">
      <c r="A2143" t="s">
        <v>318</v>
      </c>
      <c r="B2143" t="s">
        <v>1984</v>
      </c>
      <c r="C2143" t="s">
        <v>2001</v>
      </c>
      <c r="D2143" s="28">
        <v>7689500042158</v>
      </c>
      <c r="E2143" s="29" t="s">
        <v>371</v>
      </c>
      <c r="F2143" s="29" t="s">
        <v>372</v>
      </c>
      <c r="G2143">
        <v>13</v>
      </c>
      <c r="H2143" t="s">
        <v>323</v>
      </c>
      <c r="I2143" t="s">
        <v>45</v>
      </c>
      <c r="J2143" t="s">
        <v>1995</v>
      </c>
      <c r="K2143" t="s">
        <v>285</v>
      </c>
      <c r="L2143" t="s">
        <v>2000</v>
      </c>
    </row>
    <row r="2144" spans="1:12">
      <c r="A2144" t="s">
        <v>318</v>
      </c>
      <c r="B2144" t="s">
        <v>1984</v>
      </c>
      <c r="C2144" t="s">
        <v>2002</v>
      </c>
      <c r="D2144" s="28">
        <v>7689500042763</v>
      </c>
      <c r="E2144" s="29" t="s">
        <v>371</v>
      </c>
      <c r="F2144" s="29" t="s">
        <v>372</v>
      </c>
      <c r="G2144">
        <v>13</v>
      </c>
      <c r="H2144" t="s">
        <v>323</v>
      </c>
      <c r="I2144" t="s">
        <v>45</v>
      </c>
      <c r="J2144" t="s">
        <v>1995</v>
      </c>
      <c r="K2144" t="s">
        <v>285</v>
      </c>
      <c r="L2144" t="s">
        <v>2000</v>
      </c>
    </row>
    <row r="2145" spans="1:12">
      <c r="A2145" t="s">
        <v>318</v>
      </c>
      <c r="B2145" t="s">
        <v>1984</v>
      </c>
      <c r="C2145" t="s">
        <v>749</v>
      </c>
      <c r="D2145" s="28">
        <v>7689500042765</v>
      </c>
      <c r="E2145" s="29" t="s">
        <v>371</v>
      </c>
      <c r="F2145" s="29" t="s">
        <v>372</v>
      </c>
      <c r="G2145">
        <v>8</v>
      </c>
      <c r="H2145" t="s">
        <v>323</v>
      </c>
      <c r="I2145" t="s">
        <v>45</v>
      </c>
      <c r="J2145" t="s">
        <v>1995</v>
      </c>
      <c r="K2145" t="s">
        <v>285</v>
      </c>
      <c r="L2145" t="s">
        <v>2003</v>
      </c>
    </row>
    <row r="2146" spans="1:12">
      <c r="A2146" t="s">
        <v>318</v>
      </c>
      <c r="B2146" t="s">
        <v>1984</v>
      </c>
      <c r="C2146" t="s">
        <v>527</v>
      </c>
      <c r="D2146" s="28">
        <v>7689500042766</v>
      </c>
      <c r="E2146" s="29" t="s">
        <v>371</v>
      </c>
      <c r="F2146" s="29" t="s">
        <v>372</v>
      </c>
      <c r="G2146">
        <v>12</v>
      </c>
      <c r="H2146" t="s">
        <v>323</v>
      </c>
      <c r="I2146" t="s">
        <v>45</v>
      </c>
      <c r="J2146" t="s">
        <v>1995</v>
      </c>
      <c r="K2146" t="s">
        <v>285</v>
      </c>
      <c r="L2146" t="s">
        <v>2003</v>
      </c>
    </row>
    <row r="2147" spans="1:12">
      <c r="A2147" t="s">
        <v>318</v>
      </c>
      <c r="B2147" t="s">
        <v>1984</v>
      </c>
      <c r="C2147" t="s">
        <v>2004</v>
      </c>
      <c r="D2147" s="28">
        <v>7689500042768</v>
      </c>
      <c r="E2147" s="29" t="s">
        <v>371</v>
      </c>
      <c r="F2147" s="29" t="s">
        <v>372</v>
      </c>
      <c r="G2147">
        <v>13</v>
      </c>
      <c r="H2147" t="s">
        <v>323</v>
      </c>
      <c r="I2147" t="s">
        <v>45</v>
      </c>
      <c r="J2147" t="s">
        <v>1995</v>
      </c>
      <c r="K2147" t="s">
        <v>285</v>
      </c>
      <c r="L2147" t="s">
        <v>2003</v>
      </c>
    </row>
    <row r="2148" spans="1:12">
      <c r="A2148" t="s">
        <v>318</v>
      </c>
      <c r="B2148" t="s">
        <v>1984</v>
      </c>
      <c r="C2148" t="s">
        <v>377</v>
      </c>
      <c r="D2148" s="28">
        <v>7689500043694</v>
      </c>
      <c r="E2148" s="29" t="s">
        <v>1045</v>
      </c>
      <c r="F2148" s="29" t="s">
        <v>372</v>
      </c>
      <c r="G2148">
        <v>15</v>
      </c>
      <c r="H2148" t="s">
        <v>323</v>
      </c>
      <c r="I2148" t="s">
        <v>98</v>
      </c>
      <c r="J2148" t="s">
        <v>1995</v>
      </c>
      <c r="K2148" t="s">
        <v>285</v>
      </c>
      <c r="L2148" t="s">
        <v>1986</v>
      </c>
    </row>
    <row r="2149" spans="1:12">
      <c r="A2149" t="s">
        <v>318</v>
      </c>
      <c r="B2149" t="s">
        <v>1984</v>
      </c>
      <c r="C2149" t="s">
        <v>2005</v>
      </c>
      <c r="D2149" s="28">
        <v>7689500043746</v>
      </c>
      <c r="E2149" s="29" t="s">
        <v>371</v>
      </c>
      <c r="F2149" s="29" t="s">
        <v>372</v>
      </c>
      <c r="G2149">
        <v>13</v>
      </c>
      <c r="H2149" t="s">
        <v>323</v>
      </c>
      <c r="I2149" t="s">
        <v>98</v>
      </c>
      <c r="J2149" t="s">
        <v>1995</v>
      </c>
      <c r="K2149" t="s">
        <v>285</v>
      </c>
      <c r="L2149" t="s">
        <v>2003</v>
      </c>
    </row>
    <row r="2150" spans="1:12">
      <c r="A2150" t="s">
        <v>318</v>
      </c>
      <c r="B2150" t="s">
        <v>1984</v>
      </c>
      <c r="C2150" t="s">
        <v>2006</v>
      </c>
      <c r="D2150" s="28">
        <v>7689500043770</v>
      </c>
      <c r="E2150" s="29" t="s">
        <v>371</v>
      </c>
      <c r="F2150" s="29" t="s">
        <v>372</v>
      </c>
      <c r="G2150">
        <v>7</v>
      </c>
      <c r="H2150" t="s">
        <v>323</v>
      </c>
      <c r="I2150" t="s">
        <v>45</v>
      </c>
      <c r="J2150" t="s">
        <v>1995</v>
      </c>
      <c r="K2150" t="s">
        <v>285</v>
      </c>
      <c r="L2150" t="s">
        <v>2003</v>
      </c>
    </row>
    <row r="2151" spans="1:12">
      <c r="A2151" t="s">
        <v>318</v>
      </c>
      <c r="B2151" t="s">
        <v>1984</v>
      </c>
      <c r="C2151" t="s">
        <v>2007</v>
      </c>
      <c r="D2151" s="28">
        <v>7689500043803</v>
      </c>
      <c r="E2151" s="29" t="s">
        <v>371</v>
      </c>
      <c r="F2151" s="29" t="s">
        <v>372</v>
      </c>
      <c r="G2151">
        <v>12</v>
      </c>
      <c r="H2151" t="s">
        <v>323</v>
      </c>
      <c r="I2151" t="s">
        <v>45</v>
      </c>
      <c r="J2151" t="s">
        <v>1995</v>
      </c>
      <c r="K2151" t="s">
        <v>285</v>
      </c>
      <c r="L2151" t="s">
        <v>1986</v>
      </c>
    </row>
    <row r="2152" spans="1:12">
      <c r="A2152" t="s">
        <v>318</v>
      </c>
      <c r="B2152" t="s">
        <v>1984</v>
      </c>
      <c r="C2152" t="s">
        <v>2008</v>
      </c>
      <c r="D2152" s="28">
        <v>768951121816</v>
      </c>
      <c r="E2152" s="29" t="s">
        <v>371</v>
      </c>
      <c r="F2152" s="29" t="s">
        <v>372</v>
      </c>
      <c r="G2152">
        <v>13</v>
      </c>
      <c r="H2152" t="s">
        <v>323</v>
      </c>
      <c r="I2152" t="s">
        <v>45</v>
      </c>
      <c r="J2152" t="s">
        <v>1995</v>
      </c>
      <c r="K2152" t="s">
        <v>285</v>
      </c>
      <c r="L2152" t="s">
        <v>2003</v>
      </c>
    </row>
    <row r="2153" spans="1:12">
      <c r="A2153" t="s">
        <v>318</v>
      </c>
      <c r="B2153" t="s">
        <v>1984</v>
      </c>
      <c r="C2153" t="s">
        <v>2009</v>
      </c>
      <c r="D2153" s="28">
        <v>7625000050156</v>
      </c>
      <c r="E2153" s="29" t="s">
        <v>371</v>
      </c>
      <c r="F2153" s="29" t="s">
        <v>372</v>
      </c>
      <c r="G2153">
        <v>13</v>
      </c>
      <c r="H2153" t="s">
        <v>323</v>
      </c>
      <c r="I2153" t="s">
        <v>98</v>
      </c>
      <c r="J2153" t="s">
        <v>2010</v>
      </c>
      <c r="K2153" t="s">
        <v>285</v>
      </c>
      <c r="L2153" t="s">
        <v>2011</v>
      </c>
    </row>
    <row r="2154" spans="1:12">
      <c r="A2154" t="s">
        <v>318</v>
      </c>
      <c r="B2154" t="s">
        <v>1984</v>
      </c>
      <c r="C2154" t="s">
        <v>2012</v>
      </c>
      <c r="D2154" s="28">
        <v>7625000050307</v>
      </c>
      <c r="E2154" s="29" t="s">
        <v>371</v>
      </c>
      <c r="F2154" s="29" t="s">
        <v>372</v>
      </c>
      <c r="G2154">
        <v>13</v>
      </c>
      <c r="H2154" t="s">
        <v>323</v>
      </c>
      <c r="I2154" t="s">
        <v>45</v>
      </c>
      <c r="J2154" t="s">
        <v>2010</v>
      </c>
      <c r="K2154" t="s">
        <v>1226</v>
      </c>
      <c r="L2154" t="s">
        <v>2013</v>
      </c>
    </row>
    <row r="2155" spans="1:12">
      <c r="A2155" t="s">
        <v>318</v>
      </c>
      <c r="B2155" t="s">
        <v>1984</v>
      </c>
      <c r="C2155" t="s">
        <v>1999</v>
      </c>
      <c r="D2155" s="28">
        <v>7625000050344</v>
      </c>
      <c r="E2155" s="29" t="s">
        <v>371</v>
      </c>
      <c r="F2155" s="29" t="s">
        <v>372</v>
      </c>
      <c r="G2155">
        <v>13</v>
      </c>
      <c r="H2155" t="s">
        <v>323</v>
      </c>
      <c r="I2155" t="s">
        <v>98</v>
      </c>
      <c r="J2155" t="s">
        <v>2010</v>
      </c>
      <c r="K2155" t="s">
        <v>1226</v>
      </c>
      <c r="L2155" t="s">
        <v>2011</v>
      </c>
    </row>
    <row r="2156" spans="1:12">
      <c r="A2156" t="s">
        <v>318</v>
      </c>
      <c r="B2156" t="s">
        <v>1984</v>
      </c>
      <c r="C2156" t="s">
        <v>2014</v>
      </c>
      <c r="D2156" s="28">
        <v>7625000050347</v>
      </c>
      <c r="E2156" s="29" t="s">
        <v>371</v>
      </c>
      <c r="F2156" s="29" t="s">
        <v>372</v>
      </c>
      <c r="G2156">
        <v>13</v>
      </c>
      <c r="H2156" t="s">
        <v>323</v>
      </c>
      <c r="I2156" t="s">
        <v>45</v>
      </c>
      <c r="J2156" t="s">
        <v>2010</v>
      </c>
      <c r="K2156" t="s">
        <v>285</v>
      </c>
      <c r="L2156" t="s">
        <v>2013</v>
      </c>
    </row>
    <row r="2157" spans="1:12">
      <c r="A2157" t="s">
        <v>318</v>
      </c>
      <c r="B2157" t="s">
        <v>1984</v>
      </c>
      <c r="C2157" t="s">
        <v>2015</v>
      </c>
      <c r="D2157" s="28">
        <v>7625000050371</v>
      </c>
      <c r="E2157" s="29" t="s">
        <v>371</v>
      </c>
      <c r="F2157" s="29" t="s">
        <v>372</v>
      </c>
      <c r="G2157">
        <v>13</v>
      </c>
      <c r="H2157" t="s">
        <v>323</v>
      </c>
      <c r="I2157" t="s">
        <v>98</v>
      </c>
      <c r="J2157" t="s">
        <v>2010</v>
      </c>
      <c r="K2157" t="s">
        <v>365</v>
      </c>
      <c r="L2157" t="s">
        <v>2011</v>
      </c>
    </row>
    <row r="2158" spans="1:12">
      <c r="A2158" t="s">
        <v>318</v>
      </c>
      <c r="B2158" t="s">
        <v>1984</v>
      </c>
      <c r="C2158" t="s">
        <v>2016</v>
      </c>
      <c r="D2158" s="28">
        <v>7625000050380</v>
      </c>
      <c r="E2158" s="29" t="s">
        <v>371</v>
      </c>
      <c r="F2158" s="29" t="s">
        <v>372</v>
      </c>
      <c r="G2158">
        <v>13</v>
      </c>
      <c r="H2158" t="s">
        <v>323</v>
      </c>
      <c r="I2158" t="s">
        <v>45</v>
      </c>
      <c r="J2158" t="s">
        <v>2010</v>
      </c>
      <c r="K2158" t="s">
        <v>285</v>
      </c>
      <c r="L2158" t="s">
        <v>2013</v>
      </c>
    </row>
    <row r="2159" spans="1:12">
      <c r="A2159" t="s">
        <v>318</v>
      </c>
      <c r="B2159" t="s">
        <v>1984</v>
      </c>
      <c r="C2159" t="s">
        <v>2017</v>
      </c>
      <c r="D2159" s="28">
        <v>7625000050388</v>
      </c>
      <c r="E2159" s="29" t="s">
        <v>371</v>
      </c>
      <c r="F2159" s="29" t="s">
        <v>372</v>
      </c>
      <c r="G2159">
        <v>13</v>
      </c>
      <c r="H2159" t="s">
        <v>323</v>
      </c>
      <c r="I2159" t="s">
        <v>98</v>
      </c>
      <c r="J2159" t="s">
        <v>2010</v>
      </c>
      <c r="K2159" t="s">
        <v>285</v>
      </c>
      <c r="L2159" t="s">
        <v>2011</v>
      </c>
    </row>
    <row r="2160" spans="1:12">
      <c r="A2160" t="s">
        <v>318</v>
      </c>
      <c r="B2160" t="s">
        <v>1984</v>
      </c>
      <c r="C2160" t="s">
        <v>2018</v>
      </c>
      <c r="D2160" s="28">
        <v>7625000050393</v>
      </c>
      <c r="E2160" s="29" t="s">
        <v>1045</v>
      </c>
      <c r="F2160" s="29" t="s">
        <v>372</v>
      </c>
      <c r="G2160">
        <v>15</v>
      </c>
      <c r="H2160" t="s">
        <v>323</v>
      </c>
      <c r="I2160" t="s">
        <v>98</v>
      </c>
      <c r="J2160" t="s">
        <v>2010</v>
      </c>
      <c r="K2160" t="s">
        <v>285</v>
      </c>
      <c r="L2160" t="s">
        <v>2011</v>
      </c>
    </row>
    <row r="2161" spans="1:12">
      <c r="A2161" t="s">
        <v>318</v>
      </c>
      <c r="B2161" t="s">
        <v>1984</v>
      </c>
      <c r="C2161" t="s">
        <v>2019</v>
      </c>
      <c r="D2161" s="28">
        <v>7625000050395</v>
      </c>
      <c r="E2161" s="29" t="s">
        <v>1045</v>
      </c>
      <c r="F2161" s="29" t="s">
        <v>372</v>
      </c>
      <c r="G2161">
        <v>15</v>
      </c>
      <c r="H2161" t="s">
        <v>323</v>
      </c>
      <c r="I2161" t="s">
        <v>45</v>
      </c>
      <c r="J2161" t="s">
        <v>2010</v>
      </c>
      <c r="K2161" t="s">
        <v>285</v>
      </c>
      <c r="L2161" t="s">
        <v>2013</v>
      </c>
    </row>
    <row r="2162" spans="1:12">
      <c r="A2162" t="s">
        <v>318</v>
      </c>
      <c r="B2162" t="s">
        <v>1984</v>
      </c>
      <c r="C2162" t="s">
        <v>2020</v>
      </c>
      <c r="D2162" s="28">
        <v>7625000050399</v>
      </c>
      <c r="E2162" s="29" t="s">
        <v>1045</v>
      </c>
      <c r="F2162" s="29" t="s">
        <v>372</v>
      </c>
      <c r="G2162">
        <v>15</v>
      </c>
      <c r="H2162" t="s">
        <v>323</v>
      </c>
      <c r="I2162" t="s">
        <v>45</v>
      </c>
      <c r="J2162" t="s">
        <v>2010</v>
      </c>
      <c r="K2162" t="s">
        <v>285</v>
      </c>
      <c r="L2162" t="s">
        <v>2013</v>
      </c>
    </row>
    <row r="2163" spans="1:12">
      <c r="A2163" t="s">
        <v>318</v>
      </c>
      <c r="B2163" t="s">
        <v>1984</v>
      </c>
      <c r="C2163" t="s">
        <v>2021</v>
      </c>
      <c r="D2163" s="28">
        <v>7625000050401</v>
      </c>
      <c r="E2163" s="29" t="s">
        <v>1045</v>
      </c>
      <c r="F2163" s="29" t="s">
        <v>372</v>
      </c>
      <c r="G2163">
        <v>15</v>
      </c>
      <c r="H2163" t="s">
        <v>323</v>
      </c>
      <c r="I2163" t="s">
        <v>98</v>
      </c>
      <c r="J2163" t="s">
        <v>2010</v>
      </c>
      <c r="K2163" t="s">
        <v>285</v>
      </c>
      <c r="L2163" t="s">
        <v>2011</v>
      </c>
    </row>
    <row r="2164" spans="1:12">
      <c r="A2164" t="s">
        <v>318</v>
      </c>
      <c r="B2164" t="s">
        <v>1984</v>
      </c>
      <c r="C2164" t="s">
        <v>2022</v>
      </c>
      <c r="D2164" s="28">
        <v>7625000050405</v>
      </c>
      <c r="E2164" s="29" t="s">
        <v>1045</v>
      </c>
      <c r="F2164" s="29" t="s">
        <v>372</v>
      </c>
      <c r="G2164">
        <v>15</v>
      </c>
      <c r="H2164" t="s">
        <v>323</v>
      </c>
      <c r="I2164" t="s">
        <v>45</v>
      </c>
      <c r="J2164" t="s">
        <v>2010</v>
      </c>
      <c r="K2164" t="s">
        <v>365</v>
      </c>
      <c r="L2164" t="s">
        <v>2013</v>
      </c>
    </row>
    <row r="2165" spans="1:12">
      <c r="A2165" t="s">
        <v>318</v>
      </c>
      <c r="B2165" t="s">
        <v>1984</v>
      </c>
      <c r="C2165" t="s">
        <v>2023</v>
      </c>
      <c r="D2165" s="28">
        <v>7682300072866</v>
      </c>
      <c r="E2165" s="29" t="s">
        <v>987</v>
      </c>
      <c r="F2165" s="29" t="s">
        <v>364</v>
      </c>
      <c r="G2165">
        <v>45</v>
      </c>
      <c r="H2165" t="s">
        <v>323</v>
      </c>
      <c r="I2165" t="s">
        <v>45</v>
      </c>
      <c r="J2165" t="s">
        <v>2024</v>
      </c>
      <c r="K2165" t="s">
        <v>394</v>
      </c>
      <c r="L2165" t="s">
        <v>2025</v>
      </c>
    </row>
    <row r="2166" spans="1:12">
      <c r="A2166" t="s">
        <v>318</v>
      </c>
      <c r="B2166" t="s">
        <v>1984</v>
      </c>
      <c r="C2166" t="s">
        <v>2026</v>
      </c>
      <c r="D2166" s="28">
        <v>7682300126239</v>
      </c>
      <c r="E2166" s="29" t="s">
        <v>393</v>
      </c>
      <c r="F2166" s="29" t="s">
        <v>372</v>
      </c>
      <c r="G2166">
        <v>30</v>
      </c>
      <c r="H2166" t="s">
        <v>323</v>
      </c>
      <c r="I2166" t="s">
        <v>45</v>
      </c>
      <c r="J2166" t="s">
        <v>2024</v>
      </c>
      <c r="K2166" t="s">
        <v>394</v>
      </c>
      <c r="L2166" t="s">
        <v>2027</v>
      </c>
    </row>
    <row r="2167" spans="1:12">
      <c r="A2167" t="s">
        <v>318</v>
      </c>
      <c r="B2167" t="s">
        <v>1984</v>
      </c>
      <c r="C2167" t="s">
        <v>2028</v>
      </c>
      <c r="D2167" s="28">
        <v>768231116600</v>
      </c>
      <c r="E2167" s="29" t="s">
        <v>393</v>
      </c>
      <c r="F2167" s="29" t="s">
        <v>372</v>
      </c>
      <c r="G2167">
        <v>25</v>
      </c>
      <c r="H2167" t="s">
        <v>323</v>
      </c>
      <c r="I2167" t="s">
        <v>45</v>
      </c>
      <c r="J2167" t="s">
        <v>2024</v>
      </c>
      <c r="K2167" t="s">
        <v>394</v>
      </c>
      <c r="L2167" t="s">
        <v>2025</v>
      </c>
    </row>
    <row r="2168" spans="1:12">
      <c r="A2168" t="s">
        <v>318</v>
      </c>
      <c r="B2168" t="s">
        <v>1984</v>
      </c>
      <c r="C2168" t="s">
        <v>2029</v>
      </c>
      <c r="D2168" s="28">
        <v>768231134118</v>
      </c>
      <c r="E2168" s="29" t="s">
        <v>393</v>
      </c>
      <c r="F2168" s="29" t="s">
        <v>372</v>
      </c>
      <c r="G2168">
        <v>12</v>
      </c>
      <c r="H2168" t="s">
        <v>323</v>
      </c>
      <c r="I2168" t="s">
        <v>45</v>
      </c>
      <c r="J2168" t="s">
        <v>2024</v>
      </c>
      <c r="K2168" t="s">
        <v>394</v>
      </c>
      <c r="L2168" t="s">
        <v>2030</v>
      </c>
    </row>
    <row r="2169" spans="1:12">
      <c r="A2169" t="s">
        <v>318</v>
      </c>
      <c r="B2169" t="s">
        <v>1984</v>
      </c>
      <c r="C2169" t="s">
        <v>2031</v>
      </c>
      <c r="D2169" s="28">
        <v>768231134129</v>
      </c>
      <c r="E2169" s="29" t="s">
        <v>393</v>
      </c>
      <c r="F2169" s="29" t="s">
        <v>372</v>
      </c>
      <c r="G2169">
        <v>19</v>
      </c>
      <c r="H2169" t="s">
        <v>323</v>
      </c>
      <c r="I2169" t="s">
        <v>98</v>
      </c>
      <c r="J2169" t="s">
        <v>2024</v>
      </c>
      <c r="K2169" t="s">
        <v>394</v>
      </c>
      <c r="L2169" t="s">
        <v>2032</v>
      </c>
    </row>
    <row r="2170" spans="1:12">
      <c r="A2170" t="s">
        <v>318</v>
      </c>
      <c r="B2170" t="s">
        <v>1984</v>
      </c>
      <c r="C2170" t="s">
        <v>2033</v>
      </c>
      <c r="D2170" s="28">
        <v>7689500059480</v>
      </c>
      <c r="E2170" s="29" t="s">
        <v>987</v>
      </c>
      <c r="F2170" s="29" t="s">
        <v>364</v>
      </c>
      <c r="G2170">
        <v>53</v>
      </c>
      <c r="H2170" t="s">
        <v>323</v>
      </c>
      <c r="I2170" t="s">
        <v>98</v>
      </c>
      <c r="J2170" t="s">
        <v>1995</v>
      </c>
      <c r="K2170" t="s">
        <v>989</v>
      </c>
    </row>
    <row r="2171" spans="1:12">
      <c r="A2171" t="s">
        <v>318</v>
      </c>
      <c r="B2171" t="s">
        <v>1984</v>
      </c>
      <c r="C2171" t="s">
        <v>2034</v>
      </c>
      <c r="D2171" s="28">
        <v>7689500131039</v>
      </c>
      <c r="E2171" s="29" t="s">
        <v>393</v>
      </c>
      <c r="F2171" s="29" t="s">
        <v>372</v>
      </c>
      <c r="G2171">
        <v>30</v>
      </c>
      <c r="H2171" t="s">
        <v>323</v>
      </c>
      <c r="I2171" t="s">
        <v>98</v>
      </c>
      <c r="J2171" t="s">
        <v>1995</v>
      </c>
      <c r="K2171" t="s">
        <v>394</v>
      </c>
    </row>
    <row r="2172" spans="1:12">
      <c r="A2172" t="s">
        <v>318</v>
      </c>
      <c r="B2172" t="s">
        <v>1984</v>
      </c>
      <c r="C2172" t="s">
        <v>2035</v>
      </c>
      <c r="D2172" s="28">
        <v>7689500131046</v>
      </c>
      <c r="E2172" s="29" t="s">
        <v>393</v>
      </c>
      <c r="F2172" s="29" t="s">
        <v>372</v>
      </c>
      <c r="G2172">
        <v>14</v>
      </c>
      <c r="H2172" t="s">
        <v>323</v>
      </c>
      <c r="I2172" t="s">
        <v>98</v>
      </c>
      <c r="J2172" t="s">
        <v>1995</v>
      </c>
      <c r="K2172" t="s">
        <v>394</v>
      </c>
    </row>
    <row r="2173" spans="1:12">
      <c r="A2173" t="s">
        <v>318</v>
      </c>
      <c r="B2173" t="s">
        <v>1984</v>
      </c>
      <c r="C2173" t="s">
        <v>2036</v>
      </c>
      <c r="D2173" s="28">
        <v>7689500131060</v>
      </c>
      <c r="E2173" s="29" t="s">
        <v>393</v>
      </c>
      <c r="F2173" s="29" t="s">
        <v>372</v>
      </c>
      <c r="G2173">
        <v>34</v>
      </c>
      <c r="H2173" t="s">
        <v>323</v>
      </c>
      <c r="I2173" t="s">
        <v>98</v>
      </c>
      <c r="J2173" t="s">
        <v>1995</v>
      </c>
      <c r="K2173" t="s">
        <v>394</v>
      </c>
    </row>
    <row r="2174" spans="1:12">
      <c r="A2174" t="s">
        <v>318</v>
      </c>
      <c r="B2174" t="s">
        <v>1984</v>
      </c>
      <c r="C2174" t="s">
        <v>2037</v>
      </c>
      <c r="D2174" s="28">
        <v>768951117573</v>
      </c>
      <c r="E2174" s="29" t="s">
        <v>393</v>
      </c>
      <c r="F2174" s="29" t="s">
        <v>372</v>
      </c>
      <c r="G2174">
        <v>18</v>
      </c>
      <c r="H2174" t="s">
        <v>323</v>
      </c>
      <c r="I2174" t="s">
        <v>98</v>
      </c>
      <c r="J2174" t="s">
        <v>1995</v>
      </c>
      <c r="K2174" t="s">
        <v>394</v>
      </c>
    </row>
    <row r="2175" spans="1:12">
      <c r="A2175" t="s">
        <v>318</v>
      </c>
      <c r="B2175" t="s">
        <v>1984</v>
      </c>
      <c r="C2175" t="s">
        <v>2038</v>
      </c>
      <c r="D2175" s="28">
        <v>768951136316</v>
      </c>
      <c r="E2175" s="29" t="s">
        <v>393</v>
      </c>
      <c r="F2175" s="29" t="s">
        <v>372</v>
      </c>
      <c r="G2175">
        <v>20</v>
      </c>
      <c r="H2175" t="s">
        <v>323</v>
      </c>
      <c r="I2175" t="s">
        <v>98</v>
      </c>
      <c r="J2175" t="s">
        <v>1995</v>
      </c>
      <c r="K2175" t="s">
        <v>394</v>
      </c>
    </row>
    <row r="2176" spans="1:12">
      <c r="A2176" t="s">
        <v>318</v>
      </c>
      <c r="B2176" t="s">
        <v>1984</v>
      </c>
      <c r="C2176" t="s">
        <v>2039</v>
      </c>
      <c r="D2176" s="28">
        <v>768951136320</v>
      </c>
      <c r="E2176" s="29" t="s">
        <v>393</v>
      </c>
      <c r="F2176" s="29" t="s">
        <v>372</v>
      </c>
      <c r="G2176">
        <v>30</v>
      </c>
      <c r="H2176" t="s">
        <v>323</v>
      </c>
      <c r="I2176" t="s">
        <v>98</v>
      </c>
      <c r="J2176" t="s">
        <v>1995</v>
      </c>
      <c r="K2176" t="s">
        <v>394</v>
      </c>
    </row>
    <row r="2177" spans="1:12">
      <c r="A2177" t="s">
        <v>318</v>
      </c>
      <c r="B2177" t="s">
        <v>1984</v>
      </c>
      <c r="C2177" t="s">
        <v>2040</v>
      </c>
      <c r="D2177" s="28">
        <v>7625000113579</v>
      </c>
      <c r="E2177" s="29" t="s">
        <v>368</v>
      </c>
      <c r="F2177" s="29" t="s">
        <v>364</v>
      </c>
      <c r="G2177">
        <v>108</v>
      </c>
      <c r="H2177" t="s">
        <v>323</v>
      </c>
      <c r="I2177" t="s">
        <v>98</v>
      </c>
      <c r="J2177" t="s">
        <v>2010</v>
      </c>
      <c r="K2177" t="s">
        <v>394</v>
      </c>
      <c r="L2177" t="s">
        <v>2041</v>
      </c>
    </row>
    <row r="2178" spans="1:12">
      <c r="A2178" t="s">
        <v>318</v>
      </c>
      <c r="B2178" t="s">
        <v>1984</v>
      </c>
      <c r="C2178" t="s">
        <v>2042</v>
      </c>
      <c r="D2178" s="28">
        <v>762501147738</v>
      </c>
      <c r="E2178" s="29" t="s">
        <v>1248</v>
      </c>
      <c r="F2178" s="29" t="s">
        <v>322</v>
      </c>
      <c r="G2178">
        <v>15</v>
      </c>
      <c r="H2178" t="s">
        <v>323</v>
      </c>
      <c r="I2178" t="s">
        <v>98</v>
      </c>
      <c r="J2178" t="s">
        <v>2010</v>
      </c>
      <c r="K2178" t="s">
        <v>394</v>
      </c>
      <c r="L2178" t="s">
        <v>2041</v>
      </c>
    </row>
    <row r="2179" spans="1:12">
      <c r="A2179" t="s">
        <v>318</v>
      </c>
      <c r="B2179" t="s">
        <v>1984</v>
      </c>
      <c r="C2179" t="s">
        <v>2043</v>
      </c>
      <c r="D2179" s="28">
        <v>762501147739</v>
      </c>
      <c r="E2179" s="29" t="s">
        <v>1248</v>
      </c>
      <c r="F2179" s="29" t="s">
        <v>322</v>
      </c>
      <c r="G2179">
        <v>16</v>
      </c>
      <c r="H2179" t="s">
        <v>323</v>
      </c>
      <c r="I2179" t="s">
        <v>98</v>
      </c>
      <c r="J2179" t="s">
        <v>2010</v>
      </c>
      <c r="K2179" t="s">
        <v>394</v>
      </c>
      <c r="L2179" t="s">
        <v>2041</v>
      </c>
    </row>
    <row r="2180" spans="1:12">
      <c r="A2180" t="s">
        <v>318</v>
      </c>
      <c r="B2180" t="s">
        <v>1984</v>
      </c>
      <c r="C2180" t="s">
        <v>2044</v>
      </c>
      <c r="D2180" s="28">
        <v>762501147740</v>
      </c>
      <c r="E2180" s="29" t="s">
        <v>1248</v>
      </c>
      <c r="F2180" s="29" t="s">
        <v>322</v>
      </c>
      <c r="G2180">
        <v>18</v>
      </c>
      <c r="H2180" t="s">
        <v>323</v>
      </c>
      <c r="I2180" t="s">
        <v>45</v>
      </c>
      <c r="J2180" t="s">
        <v>2010</v>
      </c>
      <c r="K2180" t="s">
        <v>394</v>
      </c>
      <c r="L2180" t="s">
        <v>2041</v>
      </c>
    </row>
    <row r="2181" spans="1:12">
      <c r="A2181" t="s">
        <v>318</v>
      </c>
      <c r="B2181" t="s">
        <v>1984</v>
      </c>
      <c r="C2181" t="s">
        <v>2045</v>
      </c>
      <c r="D2181" s="28">
        <v>7610000123343</v>
      </c>
      <c r="E2181" s="29" t="s">
        <v>368</v>
      </c>
      <c r="F2181" s="29" t="s">
        <v>364</v>
      </c>
      <c r="G2181">
        <v>40</v>
      </c>
      <c r="H2181" t="s">
        <v>323</v>
      </c>
      <c r="I2181" t="s">
        <v>45</v>
      </c>
      <c r="J2181" t="s">
        <v>2046</v>
      </c>
      <c r="K2181" t="s">
        <v>989</v>
      </c>
      <c r="L2181" t="s">
        <v>2047</v>
      </c>
    </row>
    <row r="2182" spans="1:12">
      <c r="A2182" t="s">
        <v>318</v>
      </c>
      <c r="B2182" t="s">
        <v>1984</v>
      </c>
      <c r="C2182" t="s">
        <v>2048</v>
      </c>
      <c r="D2182" s="28">
        <v>7610000128436</v>
      </c>
      <c r="E2182" s="29" t="s">
        <v>393</v>
      </c>
      <c r="F2182" s="29" t="s">
        <v>372</v>
      </c>
      <c r="G2182">
        <v>16</v>
      </c>
      <c r="H2182" t="s">
        <v>323</v>
      </c>
      <c r="I2182" t="s">
        <v>45</v>
      </c>
      <c r="J2182" t="s">
        <v>2046</v>
      </c>
      <c r="K2182" t="s">
        <v>394</v>
      </c>
      <c r="L2182" t="s">
        <v>2049</v>
      </c>
    </row>
    <row r="2183" spans="1:12">
      <c r="A2183" t="s">
        <v>318</v>
      </c>
      <c r="B2183" t="s">
        <v>1984</v>
      </c>
      <c r="C2183" t="s">
        <v>2050</v>
      </c>
      <c r="D2183" s="28">
        <v>7610000129079</v>
      </c>
      <c r="E2183" s="29" t="s">
        <v>1248</v>
      </c>
      <c r="F2183" s="29" t="s">
        <v>322</v>
      </c>
      <c r="G2183">
        <v>40</v>
      </c>
      <c r="H2183" t="s">
        <v>323</v>
      </c>
      <c r="I2183" t="s">
        <v>45</v>
      </c>
      <c r="J2183" t="s">
        <v>2046</v>
      </c>
      <c r="K2183" t="s">
        <v>394</v>
      </c>
      <c r="L2183" t="s">
        <v>2041</v>
      </c>
    </row>
    <row r="2184" spans="1:12">
      <c r="A2184" t="s">
        <v>318</v>
      </c>
      <c r="B2184" t="s">
        <v>1984</v>
      </c>
      <c r="C2184" t="s">
        <v>2051</v>
      </c>
      <c r="D2184" s="28">
        <v>7610000129226</v>
      </c>
      <c r="E2184" s="29" t="s">
        <v>1248</v>
      </c>
      <c r="F2184" s="29" t="s">
        <v>322</v>
      </c>
      <c r="G2184">
        <v>40</v>
      </c>
      <c r="H2184" t="s">
        <v>323</v>
      </c>
      <c r="I2184" t="s">
        <v>45</v>
      </c>
      <c r="J2184" t="s">
        <v>2046</v>
      </c>
      <c r="K2184" t="s">
        <v>394</v>
      </c>
      <c r="L2184" t="s">
        <v>2041</v>
      </c>
    </row>
    <row r="2185" spans="1:12">
      <c r="A2185" t="s">
        <v>318</v>
      </c>
      <c r="B2185" t="s">
        <v>1984</v>
      </c>
      <c r="C2185" t="s">
        <v>2052</v>
      </c>
      <c r="D2185" s="28">
        <v>7610000129494</v>
      </c>
      <c r="E2185" s="29" t="s">
        <v>1248</v>
      </c>
      <c r="F2185" s="29" t="s">
        <v>322</v>
      </c>
      <c r="G2185">
        <v>40</v>
      </c>
      <c r="H2185" t="s">
        <v>323</v>
      </c>
      <c r="I2185" t="s">
        <v>45</v>
      </c>
      <c r="J2185" t="s">
        <v>2046</v>
      </c>
      <c r="K2185" t="s">
        <v>394</v>
      </c>
      <c r="L2185" t="s">
        <v>2041</v>
      </c>
    </row>
    <row r="2186" spans="1:12">
      <c r="A2186" t="s">
        <v>318</v>
      </c>
      <c r="B2186" t="s">
        <v>1984</v>
      </c>
      <c r="C2186" t="s">
        <v>2053</v>
      </c>
      <c r="D2186" s="28">
        <v>761001134085</v>
      </c>
      <c r="E2186" s="29" t="s">
        <v>1248</v>
      </c>
      <c r="F2186" s="29" t="s">
        <v>322</v>
      </c>
      <c r="G2186">
        <v>12</v>
      </c>
      <c r="H2186" t="s">
        <v>323</v>
      </c>
      <c r="I2186" t="s">
        <v>45</v>
      </c>
      <c r="J2186" t="s">
        <v>2046</v>
      </c>
      <c r="K2186" t="s">
        <v>394</v>
      </c>
      <c r="L2186" t="s">
        <v>2041</v>
      </c>
    </row>
    <row r="2187" spans="1:12">
      <c r="A2187" t="s">
        <v>318</v>
      </c>
      <c r="B2187" t="s">
        <v>1984</v>
      </c>
      <c r="C2187" t="s">
        <v>2054</v>
      </c>
      <c r="D2187" s="28">
        <v>7686300129333</v>
      </c>
      <c r="E2187" s="29" t="s">
        <v>393</v>
      </c>
      <c r="F2187" s="29" t="s">
        <v>372</v>
      </c>
      <c r="G2187">
        <v>17</v>
      </c>
      <c r="H2187" t="s">
        <v>323</v>
      </c>
      <c r="I2187" t="s">
        <v>45</v>
      </c>
      <c r="J2187" t="s">
        <v>1997</v>
      </c>
      <c r="K2187" t="s">
        <v>394</v>
      </c>
      <c r="L2187" t="s">
        <v>2055</v>
      </c>
    </row>
    <row r="2188" spans="1:12">
      <c r="A2188" t="s">
        <v>318</v>
      </c>
      <c r="B2188" t="s">
        <v>1984</v>
      </c>
      <c r="C2188" t="s">
        <v>2056</v>
      </c>
      <c r="D2188" s="28">
        <v>7686300129459</v>
      </c>
      <c r="E2188" s="29" t="s">
        <v>393</v>
      </c>
      <c r="F2188" s="29" t="s">
        <v>372</v>
      </c>
      <c r="G2188">
        <v>27</v>
      </c>
      <c r="H2188" t="s">
        <v>323</v>
      </c>
      <c r="I2188" t="s">
        <v>98</v>
      </c>
      <c r="J2188" t="s">
        <v>1997</v>
      </c>
      <c r="K2188" t="s">
        <v>365</v>
      </c>
      <c r="L2188" t="s">
        <v>2041</v>
      </c>
    </row>
    <row r="2189" spans="1:12">
      <c r="A2189" t="s">
        <v>318</v>
      </c>
      <c r="B2189" t="s">
        <v>1984</v>
      </c>
      <c r="C2189" t="s">
        <v>2057</v>
      </c>
      <c r="D2189" s="28">
        <v>768631134114</v>
      </c>
      <c r="E2189" s="29" t="s">
        <v>393</v>
      </c>
      <c r="F2189" s="29" t="s">
        <v>372</v>
      </c>
      <c r="G2189">
        <v>11</v>
      </c>
      <c r="H2189" t="s">
        <v>323</v>
      </c>
      <c r="I2189" t="s">
        <v>45</v>
      </c>
      <c r="J2189" t="s">
        <v>1997</v>
      </c>
      <c r="K2189" t="s">
        <v>394</v>
      </c>
      <c r="L2189" t="s">
        <v>2041</v>
      </c>
    </row>
    <row r="2190" spans="1:12">
      <c r="A2190" t="s">
        <v>318</v>
      </c>
      <c r="B2190" t="s">
        <v>1984</v>
      </c>
      <c r="C2190" t="s">
        <v>2058</v>
      </c>
      <c r="D2190" s="28">
        <v>768631134117</v>
      </c>
      <c r="E2190" s="29" t="s">
        <v>393</v>
      </c>
      <c r="F2190" s="29" t="s">
        <v>372</v>
      </c>
      <c r="G2190">
        <v>16</v>
      </c>
      <c r="H2190" t="s">
        <v>323</v>
      </c>
      <c r="I2190" t="s">
        <v>45</v>
      </c>
      <c r="J2190" t="s">
        <v>1997</v>
      </c>
      <c r="K2190" t="s">
        <v>394</v>
      </c>
      <c r="L2190" t="s">
        <v>2041</v>
      </c>
    </row>
    <row r="2191" spans="1:12">
      <c r="A2191" t="s">
        <v>318</v>
      </c>
      <c r="B2191" t="s">
        <v>1984</v>
      </c>
      <c r="C2191" t="s">
        <v>2059</v>
      </c>
      <c r="D2191" s="28">
        <v>7640000072378</v>
      </c>
      <c r="E2191" s="29" t="s">
        <v>371</v>
      </c>
      <c r="F2191" s="29" t="s">
        <v>372</v>
      </c>
      <c r="G2191">
        <v>11</v>
      </c>
      <c r="H2191" t="s">
        <v>323</v>
      </c>
      <c r="I2191" t="s">
        <v>45</v>
      </c>
      <c r="J2191" t="s">
        <v>2060</v>
      </c>
      <c r="K2191" t="s">
        <v>285</v>
      </c>
      <c r="L2191" t="s">
        <v>2061</v>
      </c>
    </row>
    <row r="2192" spans="1:12">
      <c r="A2192" t="s">
        <v>318</v>
      </c>
      <c r="B2192" t="s">
        <v>1984</v>
      </c>
      <c r="C2192" t="s">
        <v>2062</v>
      </c>
      <c r="D2192" s="28">
        <v>7640000072381</v>
      </c>
      <c r="E2192" s="29" t="s">
        <v>371</v>
      </c>
      <c r="F2192" s="29" t="s">
        <v>372</v>
      </c>
      <c r="G2192">
        <v>9</v>
      </c>
      <c r="H2192" t="s">
        <v>323</v>
      </c>
      <c r="I2192" t="s">
        <v>98</v>
      </c>
      <c r="J2192" t="s">
        <v>2060</v>
      </c>
      <c r="K2192" t="s">
        <v>285</v>
      </c>
      <c r="L2192" t="s">
        <v>2061</v>
      </c>
    </row>
    <row r="2193" spans="1:12">
      <c r="A2193" t="s">
        <v>318</v>
      </c>
      <c r="B2193" t="s">
        <v>1984</v>
      </c>
      <c r="C2193" t="s">
        <v>440</v>
      </c>
      <c r="D2193" s="28">
        <v>7640000072386</v>
      </c>
      <c r="E2193" s="29" t="s">
        <v>371</v>
      </c>
      <c r="F2193" s="29" t="s">
        <v>372</v>
      </c>
      <c r="G2193">
        <v>10</v>
      </c>
      <c r="H2193" t="s">
        <v>323</v>
      </c>
      <c r="I2193" t="s">
        <v>98</v>
      </c>
      <c r="J2193" t="s">
        <v>2060</v>
      </c>
      <c r="K2193" t="s">
        <v>285</v>
      </c>
      <c r="L2193" t="s">
        <v>2061</v>
      </c>
    </row>
    <row r="2194" spans="1:12">
      <c r="A2194" t="s">
        <v>318</v>
      </c>
      <c r="B2194" t="s">
        <v>1984</v>
      </c>
      <c r="C2194" t="s">
        <v>602</v>
      </c>
      <c r="D2194" s="28">
        <v>7640000072390</v>
      </c>
      <c r="E2194" s="29" t="s">
        <v>371</v>
      </c>
      <c r="F2194" s="29" t="s">
        <v>372</v>
      </c>
      <c r="G2194">
        <v>10</v>
      </c>
      <c r="H2194" t="s">
        <v>323</v>
      </c>
      <c r="I2194" t="s">
        <v>45</v>
      </c>
      <c r="J2194" t="s">
        <v>2060</v>
      </c>
      <c r="K2194" t="s">
        <v>285</v>
      </c>
      <c r="L2194" t="s">
        <v>2061</v>
      </c>
    </row>
    <row r="2195" spans="1:12">
      <c r="A2195" t="s">
        <v>318</v>
      </c>
      <c r="B2195" t="s">
        <v>1984</v>
      </c>
      <c r="C2195" t="s">
        <v>958</v>
      </c>
      <c r="D2195" s="28">
        <v>7640000072399</v>
      </c>
      <c r="E2195" s="29" t="s">
        <v>371</v>
      </c>
      <c r="F2195" s="29" t="s">
        <v>372</v>
      </c>
      <c r="G2195">
        <v>10</v>
      </c>
      <c r="H2195" t="s">
        <v>323</v>
      </c>
      <c r="I2195" t="s">
        <v>98</v>
      </c>
      <c r="J2195" t="s">
        <v>2060</v>
      </c>
      <c r="K2195" t="s">
        <v>285</v>
      </c>
      <c r="L2195" t="s">
        <v>2061</v>
      </c>
    </row>
    <row r="2196" spans="1:12">
      <c r="A2196" t="s">
        <v>318</v>
      </c>
      <c r="B2196" t="s">
        <v>1984</v>
      </c>
      <c r="C2196" t="s">
        <v>884</v>
      </c>
      <c r="D2196" s="28">
        <v>7640000072402</v>
      </c>
      <c r="E2196" s="29" t="s">
        <v>371</v>
      </c>
      <c r="F2196" s="29" t="s">
        <v>372</v>
      </c>
      <c r="G2196">
        <v>11</v>
      </c>
      <c r="H2196" t="s">
        <v>323</v>
      </c>
      <c r="I2196" t="s">
        <v>98</v>
      </c>
      <c r="J2196" t="s">
        <v>2060</v>
      </c>
      <c r="K2196" t="s">
        <v>285</v>
      </c>
      <c r="L2196" t="s">
        <v>2061</v>
      </c>
    </row>
    <row r="2197" spans="1:12">
      <c r="A2197" t="s">
        <v>318</v>
      </c>
      <c r="B2197" t="s">
        <v>1984</v>
      </c>
      <c r="C2197" t="s">
        <v>2063</v>
      </c>
      <c r="D2197" s="28">
        <v>7640000072407</v>
      </c>
      <c r="E2197" s="29" t="s">
        <v>371</v>
      </c>
      <c r="F2197" s="29" t="s">
        <v>372</v>
      </c>
      <c r="G2197">
        <v>10</v>
      </c>
      <c r="H2197" t="s">
        <v>323</v>
      </c>
      <c r="I2197" t="s">
        <v>45</v>
      </c>
      <c r="J2197" t="s">
        <v>2060</v>
      </c>
      <c r="K2197" t="s">
        <v>285</v>
      </c>
      <c r="L2197" t="s">
        <v>2061</v>
      </c>
    </row>
    <row r="2198" spans="1:12">
      <c r="A2198" t="s">
        <v>318</v>
      </c>
      <c r="B2198" t="s">
        <v>1984</v>
      </c>
      <c r="C2198" t="s">
        <v>1429</v>
      </c>
      <c r="D2198" s="28">
        <v>7640000072412</v>
      </c>
      <c r="E2198" s="29" t="s">
        <v>371</v>
      </c>
      <c r="F2198" s="29" t="s">
        <v>372</v>
      </c>
      <c r="G2198">
        <v>11</v>
      </c>
      <c r="H2198" t="s">
        <v>323</v>
      </c>
      <c r="I2198" t="s">
        <v>45</v>
      </c>
      <c r="J2198" t="s">
        <v>2060</v>
      </c>
      <c r="K2198" t="s">
        <v>285</v>
      </c>
      <c r="L2198" t="s">
        <v>2061</v>
      </c>
    </row>
    <row r="2199" spans="1:12">
      <c r="A2199" t="s">
        <v>318</v>
      </c>
      <c r="B2199" t="s">
        <v>1984</v>
      </c>
      <c r="C2199" t="s">
        <v>2064</v>
      </c>
      <c r="D2199" s="28">
        <v>7640000072419</v>
      </c>
      <c r="E2199" s="29" t="s">
        <v>371</v>
      </c>
      <c r="F2199" s="29" t="s">
        <v>372</v>
      </c>
      <c r="G2199">
        <v>11</v>
      </c>
      <c r="H2199" t="s">
        <v>323</v>
      </c>
      <c r="I2199" t="s">
        <v>98</v>
      </c>
      <c r="J2199" t="s">
        <v>2060</v>
      </c>
      <c r="K2199" t="s">
        <v>285</v>
      </c>
      <c r="L2199" t="s">
        <v>2061</v>
      </c>
    </row>
    <row r="2200" spans="1:12">
      <c r="A2200" t="s">
        <v>318</v>
      </c>
      <c r="B2200" t="s">
        <v>1984</v>
      </c>
      <c r="C2200" t="s">
        <v>377</v>
      </c>
      <c r="D2200" s="28">
        <v>7640000072423</v>
      </c>
      <c r="E2200" s="29" t="s">
        <v>371</v>
      </c>
      <c r="F2200" s="29" t="s">
        <v>372</v>
      </c>
      <c r="G2200">
        <v>10</v>
      </c>
      <c r="H2200" t="s">
        <v>323</v>
      </c>
      <c r="I2200" t="s">
        <v>98</v>
      </c>
      <c r="J2200" t="s">
        <v>2060</v>
      </c>
      <c r="K2200" t="s">
        <v>285</v>
      </c>
      <c r="L2200" t="s">
        <v>2061</v>
      </c>
    </row>
    <row r="2201" spans="1:12">
      <c r="A2201" t="s">
        <v>318</v>
      </c>
      <c r="B2201" t="s">
        <v>1984</v>
      </c>
      <c r="C2201" t="s">
        <v>1286</v>
      </c>
      <c r="D2201" s="28">
        <v>7640000072436</v>
      </c>
      <c r="E2201" s="29" t="s">
        <v>371</v>
      </c>
      <c r="F2201" s="29" t="s">
        <v>372</v>
      </c>
      <c r="G2201">
        <v>9</v>
      </c>
      <c r="H2201" t="s">
        <v>323</v>
      </c>
      <c r="I2201" t="s">
        <v>98</v>
      </c>
      <c r="J2201" t="s">
        <v>2060</v>
      </c>
      <c r="K2201" t="s">
        <v>285</v>
      </c>
      <c r="L2201" t="s">
        <v>2065</v>
      </c>
    </row>
    <row r="2202" spans="1:12">
      <c r="A2202" t="s">
        <v>318</v>
      </c>
      <c r="B2202" t="s">
        <v>1984</v>
      </c>
      <c r="C2202" t="s">
        <v>575</v>
      </c>
      <c r="D2202" s="28">
        <v>7640000072450</v>
      </c>
      <c r="E2202" s="29" t="s">
        <v>371</v>
      </c>
      <c r="F2202" s="29" t="s">
        <v>372</v>
      </c>
      <c r="G2202">
        <v>10</v>
      </c>
      <c r="H2202" t="s">
        <v>323</v>
      </c>
      <c r="I2202" t="s">
        <v>45</v>
      </c>
      <c r="J2202" t="s">
        <v>2060</v>
      </c>
      <c r="K2202" t="s">
        <v>285</v>
      </c>
      <c r="L2202" t="s">
        <v>2061</v>
      </c>
    </row>
    <row r="2203" spans="1:12">
      <c r="A2203" t="s">
        <v>318</v>
      </c>
      <c r="B2203" t="s">
        <v>1984</v>
      </c>
      <c r="C2203" t="s">
        <v>2066</v>
      </c>
      <c r="D2203" s="28">
        <v>7640000072454</v>
      </c>
      <c r="E2203" s="29" t="s">
        <v>371</v>
      </c>
      <c r="F2203" s="29" t="s">
        <v>372</v>
      </c>
      <c r="G2203">
        <v>10</v>
      </c>
      <c r="H2203" t="s">
        <v>323</v>
      </c>
      <c r="I2203" t="s">
        <v>45</v>
      </c>
      <c r="J2203" t="s">
        <v>2060</v>
      </c>
      <c r="K2203" t="s">
        <v>285</v>
      </c>
      <c r="L2203" t="s">
        <v>2061</v>
      </c>
    </row>
    <row r="2204" spans="1:12">
      <c r="A2204" t="s">
        <v>318</v>
      </c>
      <c r="B2204" t="s">
        <v>1984</v>
      </c>
      <c r="C2204" t="s">
        <v>2067</v>
      </c>
      <c r="D2204" s="28">
        <v>7640000072458</v>
      </c>
      <c r="E2204" s="29" t="s">
        <v>1045</v>
      </c>
      <c r="F2204" s="29" t="s">
        <v>372</v>
      </c>
      <c r="G2204">
        <v>13</v>
      </c>
      <c r="H2204" t="s">
        <v>323</v>
      </c>
      <c r="I2204" t="s">
        <v>98</v>
      </c>
      <c r="J2204" t="s">
        <v>2060</v>
      </c>
      <c r="K2204" t="s">
        <v>285</v>
      </c>
      <c r="L2204" t="s">
        <v>2061</v>
      </c>
    </row>
    <row r="2205" spans="1:12">
      <c r="A2205" t="s">
        <v>318</v>
      </c>
      <c r="B2205" t="s">
        <v>1984</v>
      </c>
      <c r="C2205" t="s">
        <v>454</v>
      </c>
      <c r="D2205" s="28">
        <v>7640000072464</v>
      </c>
      <c r="E2205" s="29" t="s">
        <v>1045</v>
      </c>
      <c r="F2205" s="29" t="s">
        <v>372</v>
      </c>
      <c r="G2205">
        <v>12</v>
      </c>
      <c r="H2205" t="s">
        <v>323</v>
      </c>
      <c r="I2205" t="s">
        <v>98</v>
      </c>
      <c r="J2205" t="s">
        <v>2060</v>
      </c>
      <c r="K2205" t="s">
        <v>285</v>
      </c>
      <c r="L2205" t="s">
        <v>2061</v>
      </c>
    </row>
    <row r="2206" spans="1:12">
      <c r="A2206" t="s">
        <v>318</v>
      </c>
      <c r="B2206" t="s">
        <v>1984</v>
      </c>
      <c r="C2206" t="s">
        <v>1992</v>
      </c>
      <c r="D2206" s="28">
        <v>7640000072481</v>
      </c>
      <c r="E2206" s="29" t="s">
        <v>1045</v>
      </c>
      <c r="F2206" s="29" t="s">
        <v>372</v>
      </c>
      <c r="G2206">
        <v>12</v>
      </c>
      <c r="H2206" t="s">
        <v>323</v>
      </c>
      <c r="I2206" t="s">
        <v>98</v>
      </c>
      <c r="J2206" t="s">
        <v>2060</v>
      </c>
      <c r="K2206" t="s">
        <v>285</v>
      </c>
      <c r="L2206" t="s">
        <v>2061</v>
      </c>
    </row>
    <row r="2207" spans="1:12">
      <c r="A2207" t="s">
        <v>318</v>
      </c>
      <c r="B2207" t="s">
        <v>1984</v>
      </c>
      <c r="C2207" t="s">
        <v>2068</v>
      </c>
      <c r="D2207" s="28">
        <v>7640000073091</v>
      </c>
      <c r="E2207" s="29" t="s">
        <v>371</v>
      </c>
      <c r="F2207" s="29" t="s">
        <v>372</v>
      </c>
      <c r="G2207">
        <v>11</v>
      </c>
      <c r="H2207" t="s">
        <v>323</v>
      </c>
      <c r="I2207" t="s">
        <v>45</v>
      </c>
      <c r="J2207" t="s">
        <v>2060</v>
      </c>
      <c r="K2207" t="s">
        <v>285</v>
      </c>
      <c r="L2207" t="s">
        <v>2069</v>
      </c>
    </row>
    <row r="2208" spans="1:12">
      <c r="A2208" t="s">
        <v>318</v>
      </c>
      <c r="B2208" t="s">
        <v>1984</v>
      </c>
      <c r="C2208" t="s">
        <v>2070</v>
      </c>
      <c r="D2208" s="28">
        <v>7640000073093</v>
      </c>
      <c r="E2208" s="29" t="s">
        <v>371</v>
      </c>
      <c r="F2208" s="29" t="s">
        <v>372</v>
      </c>
      <c r="G2208">
        <v>11</v>
      </c>
      <c r="H2208" t="s">
        <v>323</v>
      </c>
      <c r="I2208" t="s">
        <v>98</v>
      </c>
      <c r="J2208" t="s">
        <v>2060</v>
      </c>
      <c r="K2208" t="s">
        <v>285</v>
      </c>
      <c r="L2208" t="s">
        <v>2061</v>
      </c>
    </row>
    <row r="2209" spans="1:12">
      <c r="A2209" t="s">
        <v>318</v>
      </c>
      <c r="B2209" t="s">
        <v>1984</v>
      </c>
      <c r="C2209" t="s">
        <v>521</v>
      </c>
      <c r="D2209" s="28">
        <v>7640000073094</v>
      </c>
      <c r="E2209" s="29" t="s">
        <v>371</v>
      </c>
      <c r="F2209" s="29" t="s">
        <v>372</v>
      </c>
      <c r="G2209">
        <v>11</v>
      </c>
      <c r="H2209" t="s">
        <v>323</v>
      </c>
      <c r="I2209" t="s">
        <v>45</v>
      </c>
      <c r="J2209" t="s">
        <v>2060</v>
      </c>
      <c r="K2209" t="s">
        <v>285</v>
      </c>
      <c r="L2209" t="s">
        <v>2061</v>
      </c>
    </row>
    <row r="2210" spans="1:12">
      <c r="A2210" t="s">
        <v>318</v>
      </c>
      <c r="B2210" t="s">
        <v>1984</v>
      </c>
      <c r="C2210" t="s">
        <v>2071</v>
      </c>
      <c r="D2210" s="28">
        <v>7640000073097</v>
      </c>
      <c r="E2210" s="29" t="s">
        <v>371</v>
      </c>
      <c r="F2210" s="29" t="s">
        <v>372</v>
      </c>
      <c r="G2210">
        <v>10</v>
      </c>
      <c r="H2210" t="s">
        <v>323</v>
      </c>
      <c r="I2210" t="s">
        <v>98</v>
      </c>
      <c r="J2210" t="s">
        <v>2060</v>
      </c>
      <c r="K2210" t="s">
        <v>285</v>
      </c>
      <c r="L2210" t="s">
        <v>2061</v>
      </c>
    </row>
    <row r="2211" spans="1:12">
      <c r="A2211" t="s">
        <v>318</v>
      </c>
      <c r="B2211" t="s">
        <v>1984</v>
      </c>
      <c r="C2211" t="s">
        <v>348</v>
      </c>
      <c r="D2211" s="28">
        <v>7640000073099</v>
      </c>
      <c r="E2211" s="29" t="s">
        <v>371</v>
      </c>
      <c r="F2211" s="29" t="s">
        <v>372</v>
      </c>
      <c r="G2211">
        <v>0</v>
      </c>
      <c r="H2211" t="s">
        <v>323</v>
      </c>
      <c r="I2211" t="s">
        <v>324</v>
      </c>
      <c r="J2211" t="s">
        <v>2060</v>
      </c>
      <c r="K2211" t="s">
        <v>285</v>
      </c>
      <c r="L2211" t="s">
        <v>2061</v>
      </c>
    </row>
    <row r="2212" spans="1:12">
      <c r="A2212" t="s">
        <v>318</v>
      </c>
      <c r="B2212" t="s">
        <v>1984</v>
      </c>
      <c r="C2212" t="s">
        <v>389</v>
      </c>
      <c r="D2212" s="28">
        <v>7640000073101</v>
      </c>
      <c r="E2212" s="29" t="s">
        <v>371</v>
      </c>
      <c r="F2212" s="29" t="s">
        <v>372</v>
      </c>
      <c r="G2212">
        <v>11</v>
      </c>
      <c r="H2212" t="s">
        <v>323</v>
      </c>
      <c r="I2212" t="s">
        <v>98</v>
      </c>
      <c r="J2212" t="s">
        <v>2060</v>
      </c>
      <c r="K2212" t="s">
        <v>285</v>
      </c>
      <c r="L2212" t="s">
        <v>2061</v>
      </c>
    </row>
    <row r="2213" spans="1:12">
      <c r="A2213" t="s">
        <v>318</v>
      </c>
      <c r="B2213" t="s">
        <v>1984</v>
      </c>
      <c r="C2213" t="s">
        <v>1738</v>
      </c>
      <c r="D2213" s="28">
        <v>7640000073102</v>
      </c>
      <c r="E2213" s="29" t="s">
        <v>371</v>
      </c>
      <c r="F2213" s="29" t="s">
        <v>372</v>
      </c>
      <c r="G2213">
        <v>11</v>
      </c>
      <c r="H2213" t="s">
        <v>323</v>
      </c>
      <c r="I2213" t="s">
        <v>98</v>
      </c>
      <c r="J2213" t="s">
        <v>2060</v>
      </c>
      <c r="K2213" t="s">
        <v>285</v>
      </c>
      <c r="L2213" t="s">
        <v>2061</v>
      </c>
    </row>
    <row r="2214" spans="1:12">
      <c r="A2214" t="s">
        <v>318</v>
      </c>
      <c r="B2214" t="s">
        <v>1984</v>
      </c>
      <c r="C2214" t="s">
        <v>2072</v>
      </c>
      <c r="D2214" s="28">
        <v>7640000073104</v>
      </c>
      <c r="E2214" s="29" t="s">
        <v>371</v>
      </c>
      <c r="F2214" s="29" t="s">
        <v>372</v>
      </c>
      <c r="G2214">
        <v>10</v>
      </c>
      <c r="H2214" t="s">
        <v>323</v>
      </c>
      <c r="I2214" t="s">
        <v>45</v>
      </c>
      <c r="J2214" t="s">
        <v>2060</v>
      </c>
      <c r="K2214" t="s">
        <v>285</v>
      </c>
      <c r="L2214" t="s">
        <v>2061</v>
      </c>
    </row>
    <row r="2215" spans="1:12">
      <c r="A2215" t="s">
        <v>318</v>
      </c>
      <c r="B2215" t="s">
        <v>1984</v>
      </c>
      <c r="C2215" t="s">
        <v>1708</v>
      </c>
      <c r="D2215" s="28">
        <v>7640000073106</v>
      </c>
      <c r="E2215" s="29" t="s">
        <v>371</v>
      </c>
      <c r="F2215" s="29" t="s">
        <v>372</v>
      </c>
      <c r="G2215">
        <v>10</v>
      </c>
      <c r="H2215" t="s">
        <v>323</v>
      </c>
      <c r="I2215" t="s">
        <v>98</v>
      </c>
      <c r="J2215" t="s">
        <v>2060</v>
      </c>
      <c r="K2215" t="s">
        <v>285</v>
      </c>
      <c r="L2215" t="s">
        <v>2061</v>
      </c>
    </row>
    <row r="2216" spans="1:12">
      <c r="A2216" t="s">
        <v>318</v>
      </c>
      <c r="B2216" t="s">
        <v>1984</v>
      </c>
      <c r="C2216" t="s">
        <v>1971</v>
      </c>
      <c r="D2216" s="28">
        <v>7640000135118</v>
      </c>
      <c r="E2216" s="29" t="s">
        <v>371</v>
      </c>
      <c r="F2216" s="29" t="s">
        <v>372</v>
      </c>
      <c r="G2216">
        <v>0</v>
      </c>
      <c r="H2216" t="s">
        <v>323</v>
      </c>
      <c r="I2216" t="s">
        <v>98</v>
      </c>
      <c r="J2216" t="s">
        <v>2060</v>
      </c>
      <c r="K2216" t="s">
        <v>285</v>
      </c>
      <c r="L2216" t="s">
        <v>2061</v>
      </c>
    </row>
    <row r="2217" spans="1:12">
      <c r="A2217" t="s">
        <v>318</v>
      </c>
      <c r="B2217" t="s">
        <v>1984</v>
      </c>
      <c r="C2217" t="s">
        <v>2073</v>
      </c>
      <c r="D2217" s="28">
        <v>7662200042812</v>
      </c>
      <c r="E2217" s="29" t="s">
        <v>371</v>
      </c>
      <c r="F2217" s="29" t="s">
        <v>372</v>
      </c>
      <c r="G2217">
        <v>9</v>
      </c>
      <c r="H2217" t="s">
        <v>323</v>
      </c>
      <c r="I2217" t="s">
        <v>98</v>
      </c>
      <c r="J2217" t="s">
        <v>1985</v>
      </c>
      <c r="K2217" t="s">
        <v>285</v>
      </c>
      <c r="L2217" t="s">
        <v>2061</v>
      </c>
    </row>
    <row r="2218" spans="1:12">
      <c r="A2218" t="s">
        <v>318</v>
      </c>
      <c r="B2218" t="s">
        <v>1984</v>
      </c>
      <c r="C2218" t="s">
        <v>2074</v>
      </c>
      <c r="D2218" s="28">
        <v>7662200042818</v>
      </c>
      <c r="E2218" s="29" t="s">
        <v>371</v>
      </c>
      <c r="F2218" s="29" t="s">
        <v>372</v>
      </c>
      <c r="G2218">
        <v>9</v>
      </c>
      <c r="H2218" t="s">
        <v>323</v>
      </c>
      <c r="I2218" t="s">
        <v>98</v>
      </c>
      <c r="J2218" t="s">
        <v>1985</v>
      </c>
      <c r="K2218" t="s">
        <v>285</v>
      </c>
      <c r="L2218" t="s">
        <v>2061</v>
      </c>
    </row>
    <row r="2219" spans="1:12">
      <c r="A2219" t="s">
        <v>318</v>
      </c>
      <c r="B2219" t="s">
        <v>1984</v>
      </c>
      <c r="C2219" t="s">
        <v>1186</v>
      </c>
      <c r="D2219" s="28">
        <v>7662200042828</v>
      </c>
      <c r="E2219" s="29" t="s">
        <v>371</v>
      </c>
      <c r="F2219" s="29" t="s">
        <v>372</v>
      </c>
      <c r="G2219">
        <v>9</v>
      </c>
      <c r="H2219" t="s">
        <v>323</v>
      </c>
      <c r="I2219" t="s">
        <v>45</v>
      </c>
      <c r="J2219" t="s">
        <v>1985</v>
      </c>
      <c r="K2219" t="s">
        <v>285</v>
      </c>
      <c r="L2219" t="s">
        <v>2061</v>
      </c>
    </row>
    <row r="2220" spans="1:12">
      <c r="A2220" t="s">
        <v>318</v>
      </c>
      <c r="B2220" t="s">
        <v>1984</v>
      </c>
      <c r="C2220" t="s">
        <v>2075</v>
      </c>
      <c r="D2220" s="28">
        <v>7662200042839</v>
      </c>
      <c r="E2220" s="29" t="s">
        <v>371</v>
      </c>
      <c r="F2220" s="29" t="s">
        <v>372</v>
      </c>
      <c r="G2220">
        <v>9</v>
      </c>
      <c r="H2220" t="s">
        <v>323</v>
      </c>
      <c r="I2220" t="s">
        <v>45</v>
      </c>
      <c r="J2220" t="s">
        <v>1985</v>
      </c>
      <c r="K2220" t="s">
        <v>285</v>
      </c>
      <c r="L2220" t="s">
        <v>2061</v>
      </c>
    </row>
    <row r="2221" spans="1:12">
      <c r="A2221" t="s">
        <v>318</v>
      </c>
      <c r="B2221" t="s">
        <v>1984</v>
      </c>
      <c r="C2221" t="s">
        <v>395</v>
      </c>
      <c r="D2221" s="28">
        <v>7662200042896</v>
      </c>
      <c r="E2221" s="29" t="s">
        <v>371</v>
      </c>
      <c r="F2221" s="29" t="s">
        <v>372</v>
      </c>
      <c r="G2221">
        <v>9</v>
      </c>
      <c r="H2221" t="s">
        <v>323</v>
      </c>
      <c r="I2221" t="s">
        <v>45</v>
      </c>
      <c r="J2221" t="s">
        <v>1985</v>
      </c>
      <c r="K2221" t="s">
        <v>285</v>
      </c>
      <c r="L2221" t="s">
        <v>2061</v>
      </c>
    </row>
    <row r="2222" spans="1:12">
      <c r="A2222" t="s">
        <v>318</v>
      </c>
      <c r="B2222" t="s">
        <v>1984</v>
      </c>
      <c r="C2222" t="s">
        <v>2076</v>
      </c>
      <c r="D2222" s="28">
        <v>7662200043013</v>
      </c>
      <c r="E2222" s="29" t="s">
        <v>371</v>
      </c>
      <c r="F2222" s="29" t="s">
        <v>372</v>
      </c>
      <c r="G2222">
        <v>12</v>
      </c>
      <c r="H2222" t="s">
        <v>323</v>
      </c>
      <c r="I2222" t="s">
        <v>45</v>
      </c>
      <c r="J2222" t="s">
        <v>1985</v>
      </c>
      <c r="K2222" t="s">
        <v>285</v>
      </c>
      <c r="L2222" t="s">
        <v>2061</v>
      </c>
    </row>
    <row r="2223" spans="1:12">
      <c r="A2223" t="s">
        <v>318</v>
      </c>
      <c r="B2223" t="s">
        <v>1984</v>
      </c>
      <c r="C2223" t="s">
        <v>2077</v>
      </c>
      <c r="D2223" s="28">
        <v>7662200043203</v>
      </c>
      <c r="E2223" s="29" t="s">
        <v>371</v>
      </c>
      <c r="F2223" s="29" t="s">
        <v>372</v>
      </c>
      <c r="G2223">
        <v>6</v>
      </c>
      <c r="H2223" t="s">
        <v>323</v>
      </c>
      <c r="I2223" t="s">
        <v>98</v>
      </c>
      <c r="J2223" t="s">
        <v>1985</v>
      </c>
      <c r="K2223" t="s">
        <v>285</v>
      </c>
      <c r="L2223" t="s">
        <v>2061</v>
      </c>
    </row>
    <row r="2224" spans="1:12">
      <c r="A2224" t="s">
        <v>318</v>
      </c>
      <c r="B2224" t="s">
        <v>1984</v>
      </c>
      <c r="C2224" t="s">
        <v>2078</v>
      </c>
      <c r="D2224" s="28">
        <v>7662200043237</v>
      </c>
      <c r="E2224" s="29" t="s">
        <v>371</v>
      </c>
      <c r="F2224" s="29" t="s">
        <v>372</v>
      </c>
      <c r="G2224">
        <v>8</v>
      </c>
      <c r="H2224" t="s">
        <v>323</v>
      </c>
      <c r="I2224" t="s">
        <v>45</v>
      </c>
      <c r="J2224" t="s">
        <v>1985</v>
      </c>
      <c r="K2224" t="s">
        <v>285</v>
      </c>
      <c r="L2224" t="s">
        <v>2061</v>
      </c>
    </row>
    <row r="2225" spans="1:12">
      <c r="A2225" t="s">
        <v>318</v>
      </c>
      <c r="B2225" t="s">
        <v>1984</v>
      </c>
      <c r="C2225" t="s">
        <v>395</v>
      </c>
      <c r="D2225" s="28">
        <v>7662200043324</v>
      </c>
      <c r="E2225" s="29" t="s">
        <v>371</v>
      </c>
      <c r="F2225" s="29" t="s">
        <v>372</v>
      </c>
      <c r="G2225">
        <v>11</v>
      </c>
      <c r="H2225" t="s">
        <v>323</v>
      </c>
      <c r="I2225" t="s">
        <v>45</v>
      </c>
      <c r="J2225" t="s">
        <v>1985</v>
      </c>
      <c r="K2225" t="s">
        <v>285</v>
      </c>
      <c r="L2225" t="s">
        <v>2061</v>
      </c>
    </row>
    <row r="2226" spans="1:12">
      <c r="A2226" t="s">
        <v>318</v>
      </c>
      <c r="B2226" t="s">
        <v>1984</v>
      </c>
      <c r="C2226" t="s">
        <v>1897</v>
      </c>
      <c r="D2226" s="28">
        <v>7662200043415</v>
      </c>
      <c r="E2226" s="29" t="s">
        <v>371</v>
      </c>
      <c r="F2226" s="29" t="s">
        <v>372</v>
      </c>
      <c r="G2226">
        <v>6</v>
      </c>
      <c r="H2226" t="s">
        <v>323</v>
      </c>
      <c r="I2226" t="s">
        <v>45</v>
      </c>
      <c r="J2226" t="s">
        <v>1985</v>
      </c>
      <c r="K2226" t="s">
        <v>285</v>
      </c>
      <c r="L2226" t="s">
        <v>2061</v>
      </c>
    </row>
    <row r="2227" spans="1:12">
      <c r="A2227" t="s">
        <v>318</v>
      </c>
      <c r="B2227" t="s">
        <v>1984</v>
      </c>
      <c r="C2227" t="s">
        <v>426</v>
      </c>
      <c r="D2227" s="28">
        <v>7662200067995</v>
      </c>
      <c r="E2227" s="29" t="s">
        <v>371</v>
      </c>
      <c r="F2227" s="29" t="s">
        <v>372</v>
      </c>
      <c r="G2227">
        <v>12</v>
      </c>
      <c r="H2227" t="s">
        <v>323</v>
      </c>
      <c r="I2227" t="s">
        <v>45</v>
      </c>
      <c r="J2227" t="s">
        <v>1985</v>
      </c>
      <c r="K2227" t="s">
        <v>285</v>
      </c>
      <c r="L2227" t="s">
        <v>2061</v>
      </c>
    </row>
    <row r="2228" spans="1:12">
      <c r="A2228" t="s">
        <v>318</v>
      </c>
      <c r="B2228" t="s">
        <v>1984</v>
      </c>
      <c r="C2228" t="s">
        <v>964</v>
      </c>
      <c r="D2228" s="28">
        <v>7662200070753</v>
      </c>
      <c r="E2228" s="29" t="s">
        <v>371</v>
      </c>
      <c r="F2228" s="29" t="s">
        <v>372</v>
      </c>
      <c r="G2228">
        <v>12</v>
      </c>
      <c r="H2228" t="s">
        <v>323</v>
      </c>
      <c r="I2228" t="s">
        <v>45</v>
      </c>
      <c r="J2228" t="s">
        <v>1985</v>
      </c>
      <c r="K2228" t="s">
        <v>285</v>
      </c>
      <c r="L2228" t="s">
        <v>2061</v>
      </c>
    </row>
    <row r="2229" spans="1:12">
      <c r="A2229" t="s">
        <v>318</v>
      </c>
      <c r="B2229" t="s">
        <v>1984</v>
      </c>
      <c r="C2229" t="s">
        <v>2079</v>
      </c>
      <c r="D2229" s="28">
        <v>7662200136808</v>
      </c>
      <c r="E2229" s="29" t="s">
        <v>371</v>
      </c>
      <c r="F2229" s="29" t="s">
        <v>372</v>
      </c>
      <c r="G2229">
        <v>10</v>
      </c>
      <c r="H2229" t="s">
        <v>323</v>
      </c>
      <c r="I2229" t="s">
        <v>98</v>
      </c>
      <c r="J2229" t="s">
        <v>1985</v>
      </c>
      <c r="K2229" t="s">
        <v>285</v>
      </c>
      <c r="L2229" t="s">
        <v>2061</v>
      </c>
    </row>
    <row r="2230" spans="1:12">
      <c r="A2230" t="s">
        <v>318</v>
      </c>
      <c r="B2230" t="s">
        <v>1984</v>
      </c>
      <c r="C2230" t="s">
        <v>2080</v>
      </c>
      <c r="D2230" s="28">
        <v>7682300067460</v>
      </c>
      <c r="E2230" s="29" t="s">
        <v>371</v>
      </c>
      <c r="F2230" s="29" t="s">
        <v>372</v>
      </c>
      <c r="G2230">
        <v>10</v>
      </c>
      <c r="H2230" t="s">
        <v>323</v>
      </c>
      <c r="I2230" t="s">
        <v>98</v>
      </c>
      <c r="J2230" t="s">
        <v>2024</v>
      </c>
      <c r="K2230" t="s">
        <v>285</v>
      </c>
      <c r="L2230" t="s">
        <v>2081</v>
      </c>
    </row>
    <row r="2231" spans="1:12">
      <c r="A2231" t="s">
        <v>318</v>
      </c>
      <c r="B2231" t="s">
        <v>1984</v>
      </c>
      <c r="C2231" t="s">
        <v>2082</v>
      </c>
      <c r="D2231" s="28">
        <v>7682300067465</v>
      </c>
      <c r="E2231" s="29" t="s">
        <v>371</v>
      </c>
      <c r="F2231" s="29" t="s">
        <v>372</v>
      </c>
      <c r="G2231">
        <v>10</v>
      </c>
      <c r="H2231" t="s">
        <v>323</v>
      </c>
      <c r="I2231" t="s">
        <v>98</v>
      </c>
      <c r="J2231" t="s">
        <v>2024</v>
      </c>
      <c r="K2231" t="s">
        <v>285</v>
      </c>
      <c r="L2231" t="s">
        <v>2081</v>
      </c>
    </row>
    <row r="2232" spans="1:12">
      <c r="A2232" t="s">
        <v>318</v>
      </c>
      <c r="B2232" t="s">
        <v>1984</v>
      </c>
      <c r="C2232" t="s">
        <v>2083</v>
      </c>
      <c r="D2232" s="28">
        <v>7682300072172</v>
      </c>
      <c r="E2232" s="29" t="s">
        <v>371</v>
      </c>
      <c r="F2232" s="29" t="s">
        <v>372</v>
      </c>
      <c r="G2232">
        <v>10</v>
      </c>
      <c r="H2232" t="s">
        <v>323</v>
      </c>
      <c r="I2232" t="s">
        <v>98</v>
      </c>
      <c r="J2232" t="s">
        <v>2024</v>
      </c>
      <c r="K2232" t="s">
        <v>285</v>
      </c>
      <c r="L2232" t="s">
        <v>2081</v>
      </c>
    </row>
    <row r="2233" spans="1:12">
      <c r="A2233" t="s">
        <v>318</v>
      </c>
      <c r="B2233" t="s">
        <v>1984</v>
      </c>
      <c r="C2233" t="s">
        <v>2084</v>
      </c>
      <c r="D2233" s="28">
        <v>7682300072184</v>
      </c>
      <c r="E2233" s="29" t="s">
        <v>371</v>
      </c>
      <c r="F2233" s="29" t="s">
        <v>372</v>
      </c>
      <c r="G2233">
        <v>10</v>
      </c>
      <c r="H2233" t="s">
        <v>323</v>
      </c>
      <c r="I2233" t="s">
        <v>98</v>
      </c>
      <c r="J2233" t="s">
        <v>2024</v>
      </c>
      <c r="K2233" t="s">
        <v>285</v>
      </c>
      <c r="L2233" t="s">
        <v>2081</v>
      </c>
    </row>
    <row r="2234" spans="1:12">
      <c r="A2234" t="s">
        <v>318</v>
      </c>
      <c r="B2234" t="s">
        <v>1984</v>
      </c>
      <c r="C2234" t="s">
        <v>2085</v>
      </c>
      <c r="D2234" s="28">
        <v>7682300072188</v>
      </c>
      <c r="E2234" s="29" t="s">
        <v>371</v>
      </c>
      <c r="F2234" s="29" t="s">
        <v>372</v>
      </c>
      <c r="G2234">
        <v>10</v>
      </c>
      <c r="H2234" t="s">
        <v>323</v>
      </c>
      <c r="I2234" t="s">
        <v>45</v>
      </c>
      <c r="J2234" t="s">
        <v>2024</v>
      </c>
      <c r="K2234" t="s">
        <v>285</v>
      </c>
      <c r="L2234" t="s">
        <v>2081</v>
      </c>
    </row>
    <row r="2235" spans="1:12">
      <c r="A2235" t="s">
        <v>318</v>
      </c>
      <c r="B2235" t="s">
        <v>1984</v>
      </c>
      <c r="C2235" t="s">
        <v>2086</v>
      </c>
      <c r="D2235" s="28">
        <v>7682300072192</v>
      </c>
      <c r="E2235" s="29" t="s">
        <v>371</v>
      </c>
      <c r="F2235" s="29" t="s">
        <v>372</v>
      </c>
      <c r="G2235">
        <v>10</v>
      </c>
      <c r="H2235" t="s">
        <v>323</v>
      </c>
      <c r="I2235" t="s">
        <v>45</v>
      </c>
      <c r="J2235" t="s">
        <v>2024</v>
      </c>
      <c r="K2235" t="s">
        <v>285</v>
      </c>
      <c r="L2235" t="s">
        <v>2081</v>
      </c>
    </row>
    <row r="2236" spans="1:12">
      <c r="A2236" t="s">
        <v>318</v>
      </c>
      <c r="B2236" t="s">
        <v>1984</v>
      </c>
      <c r="C2236" t="s">
        <v>2017</v>
      </c>
      <c r="D2236" s="28">
        <v>7682300072195</v>
      </c>
      <c r="E2236" s="29" t="s">
        <v>371</v>
      </c>
      <c r="F2236" s="29" t="s">
        <v>372</v>
      </c>
      <c r="G2236">
        <v>10</v>
      </c>
      <c r="H2236" t="s">
        <v>323</v>
      </c>
      <c r="I2236" t="s">
        <v>98</v>
      </c>
      <c r="J2236" t="s">
        <v>2024</v>
      </c>
      <c r="K2236" t="s">
        <v>285</v>
      </c>
      <c r="L2236" t="s">
        <v>2081</v>
      </c>
    </row>
    <row r="2237" spans="1:12">
      <c r="A2237" t="s">
        <v>318</v>
      </c>
      <c r="B2237" t="s">
        <v>1984</v>
      </c>
      <c r="C2237" t="s">
        <v>2087</v>
      </c>
      <c r="D2237" s="28">
        <v>7682300072203</v>
      </c>
      <c r="E2237" s="29" t="s">
        <v>371</v>
      </c>
      <c r="F2237" s="29" t="s">
        <v>372</v>
      </c>
      <c r="G2237">
        <v>10</v>
      </c>
      <c r="H2237" t="s">
        <v>323</v>
      </c>
      <c r="I2237" t="s">
        <v>45</v>
      </c>
      <c r="J2237" t="s">
        <v>2024</v>
      </c>
      <c r="K2237" t="s">
        <v>285</v>
      </c>
      <c r="L2237" t="s">
        <v>2081</v>
      </c>
    </row>
    <row r="2238" spans="1:12">
      <c r="A2238" t="s">
        <v>318</v>
      </c>
      <c r="B2238" t="s">
        <v>1984</v>
      </c>
      <c r="C2238" t="s">
        <v>2088</v>
      </c>
      <c r="D2238" s="28">
        <v>7682300076939</v>
      </c>
      <c r="E2238" s="29" t="s">
        <v>371</v>
      </c>
      <c r="F2238" s="29" t="s">
        <v>372</v>
      </c>
      <c r="G2238">
        <v>10</v>
      </c>
      <c r="H2238" t="s">
        <v>323</v>
      </c>
      <c r="I2238" t="s">
        <v>98</v>
      </c>
      <c r="J2238" t="s">
        <v>2024</v>
      </c>
      <c r="K2238" t="s">
        <v>285</v>
      </c>
      <c r="L2238" t="s">
        <v>2081</v>
      </c>
    </row>
    <row r="2239" spans="1:12">
      <c r="A2239" t="s">
        <v>318</v>
      </c>
      <c r="B2239" t="s">
        <v>1984</v>
      </c>
      <c r="C2239" t="s">
        <v>2089</v>
      </c>
      <c r="D2239" s="28">
        <v>7682300076943</v>
      </c>
      <c r="E2239" s="29" t="s">
        <v>371</v>
      </c>
      <c r="F2239" s="29" t="s">
        <v>372</v>
      </c>
      <c r="G2239">
        <v>10</v>
      </c>
      <c r="H2239" t="s">
        <v>323</v>
      </c>
      <c r="I2239" t="s">
        <v>98</v>
      </c>
      <c r="J2239" t="s">
        <v>2024</v>
      </c>
      <c r="K2239" t="s">
        <v>285</v>
      </c>
      <c r="L2239" t="s">
        <v>2081</v>
      </c>
    </row>
    <row r="2240" spans="1:12">
      <c r="A2240" t="s">
        <v>318</v>
      </c>
      <c r="B2240" t="s">
        <v>1984</v>
      </c>
      <c r="C2240" t="s">
        <v>2090</v>
      </c>
      <c r="D2240" s="28">
        <v>7682300076948</v>
      </c>
      <c r="E2240" s="29" t="s">
        <v>371</v>
      </c>
      <c r="F2240" s="29" t="s">
        <v>372</v>
      </c>
      <c r="G2240">
        <v>10</v>
      </c>
      <c r="H2240" t="s">
        <v>323</v>
      </c>
      <c r="I2240" t="s">
        <v>98</v>
      </c>
      <c r="J2240" t="s">
        <v>2024</v>
      </c>
      <c r="K2240" t="s">
        <v>285</v>
      </c>
      <c r="L2240" t="s">
        <v>2081</v>
      </c>
    </row>
    <row r="2241" spans="1:12">
      <c r="A2241" t="s">
        <v>318</v>
      </c>
      <c r="B2241" t="s">
        <v>1984</v>
      </c>
      <c r="C2241" t="s">
        <v>2091</v>
      </c>
      <c r="D2241" s="28">
        <v>7682300076968</v>
      </c>
      <c r="E2241" s="29" t="s">
        <v>371</v>
      </c>
      <c r="F2241" s="29" t="s">
        <v>372</v>
      </c>
      <c r="G2241">
        <v>10</v>
      </c>
      <c r="H2241" t="s">
        <v>323</v>
      </c>
      <c r="I2241" t="s">
        <v>98</v>
      </c>
      <c r="J2241" t="s">
        <v>2024</v>
      </c>
      <c r="K2241" t="s">
        <v>285</v>
      </c>
      <c r="L2241" t="s">
        <v>2081</v>
      </c>
    </row>
    <row r="2242" spans="1:12">
      <c r="A2242" t="s">
        <v>318</v>
      </c>
      <c r="B2242" t="s">
        <v>1984</v>
      </c>
      <c r="C2242" t="s">
        <v>2092</v>
      </c>
      <c r="D2242" s="28">
        <v>7682300076991</v>
      </c>
      <c r="E2242" s="29" t="s">
        <v>371</v>
      </c>
      <c r="F2242" s="29" t="s">
        <v>372</v>
      </c>
      <c r="G2242">
        <v>10</v>
      </c>
      <c r="H2242" t="s">
        <v>323</v>
      </c>
      <c r="I2242" t="s">
        <v>45</v>
      </c>
      <c r="J2242" t="s">
        <v>2024</v>
      </c>
      <c r="K2242" t="s">
        <v>285</v>
      </c>
      <c r="L2242" t="s">
        <v>2081</v>
      </c>
    </row>
    <row r="2243" spans="1:12">
      <c r="A2243" t="s">
        <v>318</v>
      </c>
      <c r="B2243" t="s">
        <v>1984</v>
      </c>
      <c r="C2243" t="s">
        <v>2093</v>
      </c>
      <c r="D2243" s="28">
        <v>7682300076997</v>
      </c>
      <c r="E2243" s="29" t="s">
        <v>371</v>
      </c>
      <c r="F2243" s="29" t="s">
        <v>372</v>
      </c>
      <c r="G2243">
        <v>10</v>
      </c>
      <c r="H2243" t="s">
        <v>323</v>
      </c>
      <c r="I2243" t="s">
        <v>45</v>
      </c>
      <c r="J2243" t="s">
        <v>2024</v>
      </c>
      <c r="K2243" t="s">
        <v>285</v>
      </c>
      <c r="L2243" t="s">
        <v>2081</v>
      </c>
    </row>
    <row r="2244" spans="1:12">
      <c r="A2244" t="s">
        <v>318</v>
      </c>
      <c r="B2244" t="s">
        <v>1984</v>
      </c>
      <c r="C2244" t="s">
        <v>2094</v>
      </c>
      <c r="D2244" s="28">
        <v>7682300077005</v>
      </c>
      <c r="E2244" s="29" t="s">
        <v>1045</v>
      </c>
      <c r="F2244" s="29" t="s">
        <v>372</v>
      </c>
      <c r="G2244">
        <v>13</v>
      </c>
      <c r="H2244" t="s">
        <v>323</v>
      </c>
      <c r="I2244" t="s">
        <v>98</v>
      </c>
      <c r="J2244" t="s">
        <v>2024</v>
      </c>
      <c r="K2244" t="s">
        <v>285</v>
      </c>
      <c r="L2244" t="s">
        <v>2081</v>
      </c>
    </row>
    <row r="2245" spans="1:12">
      <c r="A2245" t="s">
        <v>318</v>
      </c>
      <c r="B2245" t="s">
        <v>1984</v>
      </c>
      <c r="C2245" t="s">
        <v>2095</v>
      </c>
      <c r="D2245" s="28">
        <v>7682300077793</v>
      </c>
      <c r="E2245" s="29" t="s">
        <v>1045</v>
      </c>
      <c r="F2245" s="29" t="s">
        <v>372</v>
      </c>
      <c r="G2245">
        <v>13</v>
      </c>
      <c r="H2245" t="s">
        <v>323</v>
      </c>
      <c r="I2245" t="s">
        <v>45</v>
      </c>
      <c r="J2245" t="s">
        <v>2024</v>
      </c>
      <c r="K2245" t="s">
        <v>285</v>
      </c>
      <c r="L2245" t="s">
        <v>2081</v>
      </c>
    </row>
    <row r="2246" spans="1:12">
      <c r="A2246" t="s">
        <v>318</v>
      </c>
      <c r="B2246" t="s">
        <v>1984</v>
      </c>
      <c r="C2246" t="s">
        <v>2096</v>
      </c>
      <c r="D2246" s="28">
        <v>7682300077797</v>
      </c>
      <c r="E2246" s="29" t="s">
        <v>1045</v>
      </c>
      <c r="F2246" s="29" t="s">
        <v>372</v>
      </c>
      <c r="G2246">
        <v>13</v>
      </c>
      <c r="H2246" t="s">
        <v>323</v>
      </c>
      <c r="I2246" t="s">
        <v>98</v>
      </c>
      <c r="J2246" t="s">
        <v>2024</v>
      </c>
      <c r="K2246" t="s">
        <v>285</v>
      </c>
      <c r="L2246" t="s">
        <v>2081</v>
      </c>
    </row>
    <row r="2247" spans="1:12">
      <c r="A2247" t="s">
        <v>318</v>
      </c>
      <c r="B2247" t="s">
        <v>1984</v>
      </c>
      <c r="C2247" t="s">
        <v>2097</v>
      </c>
      <c r="D2247" s="28">
        <v>7682300130671</v>
      </c>
      <c r="E2247" s="29" t="s">
        <v>371</v>
      </c>
      <c r="F2247" s="29" t="s">
        <v>372</v>
      </c>
      <c r="G2247">
        <v>10</v>
      </c>
      <c r="H2247" t="s">
        <v>323</v>
      </c>
      <c r="I2247" t="s">
        <v>45</v>
      </c>
      <c r="J2247" t="s">
        <v>2024</v>
      </c>
      <c r="K2247" t="s">
        <v>285</v>
      </c>
      <c r="L2247" t="s">
        <v>2081</v>
      </c>
    </row>
    <row r="2248" spans="1:12">
      <c r="A2248" t="s">
        <v>318</v>
      </c>
      <c r="B2248" t="s">
        <v>1984</v>
      </c>
      <c r="C2248" t="s">
        <v>2098</v>
      </c>
      <c r="D2248" s="28">
        <v>7682300136595</v>
      </c>
      <c r="E2248" s="29" t="s">
        <v>371</v>
      </c>
      <c r="F2248" s="29" t="s">
        <v>372</v>
      </c>
      <c r="G2248">
        <v>10</v>
      </c>
      <c r="H2248" t="s">
        <v>323</v>
      </c>
      <c r="I2248" t="s">
        <v>98</v>
      </c>
      <c r="J2248" t="s">
        <v>2024</v>
      </c>
      <c r="K2248" t="s">
        <v>285</v>
      </c>
      <c r="L2248" t="s">
        <v>2081</v>
      </c>
    </row>
    <row r="2249" spans="1:12">
      <c r="A2249" t="s">
        <v>318</v>
      </c>
      <c r="B2249" t="s">
        <v>1984</v>
      </c>
      <c r="C2249" t="s">
        <v>2099</v>
      </c>
      <c r="D2249" s="28">
        <v>7682300136619</v>
      </c>
      <c r="E2249" s="29" t="s">
        <v>371</v>
      </c>
      <c r="F2249" s="29" t="s">
        <v>372</v>
      </c>
      <c r="G2249">
        <v>10</v>
      </c>
      <c r="H2249" t="s">
        <v>323</v>
      </c>
      <c r="I2249" t="s">
        <v>98</v>
      </c>
      <c r="J2249" t="s">
        <v>2024</v>
      </c>
      <c r="K2249" t="s">
        <v>285</v>
      </c>
      <c r="L2249" t="s">
        <v>2081</v>
      </c>
    </row>
    <row r="2250" spans="1:12">
      <c r="A2250" t="s">
        <v>318</v>
      </c>
      <c r="B2250" t="s">
        <v>1984</v>
      </c>
      <c r="C2250" t="s">
        <v>2100</v>
      </c>
      <c r="D2250" s="28">
        <v>7682300136663</v>
      </c>
      <c r="E2250" s="29" t="s">
        <v>1045</v>
      </c>
      <c r="F2250" s="29" t="s">
        <v>372</v>
      </c>
      <c r="G2250">
        <v>13</v>
      </c>
      <c r="H2250" t="s">
        <v>323</v>
      </c>
      <c r="I2250" t="s">
        <v>98</v>
      </c>
      <c r="J2250" t="s">
        <v>2024</v>
      </c>
      <c r="K2250" t="s">
        <v>285</v>
      </c>
      <c r="L2250" t="s">
        <v>2081</v>
      </c>
    </row>
    <row r="2251" spans="1:12">
      <c r="A2251" t="s">
        <v>318</v>
      </c>
      <c r="B2251" t="s">
        <v>1984</v>
      </c>
      <c r="C2251" t="s">
        <v>1186</v>
      </c>
      <c r="D2251" s="28">
        <v>7689500018519</v>
      </c>
      <c r="E2251" s="29" t="s">
        <v>1045</v>
      </c>
      <c r="F2251" s="29" t="s">
        <v>372</v>
      </c>
      <c r="G2251">
        <v>15</v>
      </c>
      <c r="H2251" t="s">
        <v>323</v>
      </c>
      <c r="I2251" t="s">
        <v>98</v>
      </c>
      <c r="J2251" t="s">
        <v>1995</v>
      </c>
      <c r="K2251" t="s">
        <v>285</v>
      </c>
      <c r="L2251" t="s">
        <v>2061</v>
      </c>
    </row>
    <row r="2252" spans="1:12">
      <c r="A2252" t="s">
        <v>318</v>
      </c>
      <c r="B2252" t="s">
        <v>1984</v>
      </c>
      <c r="C2252" t="s">
        <v>1244</v>
      </c>
      <c r="D2252" s="28">
        <v>7689500041866</v>
      </c>
      <c r="E2252" s="29" t="s">
        <v>1045</v>
      </c>
      <c r="F2252" s="29" t="s">
        <v>372</v>
      </c>
      <c r="G2252">
        <v>15</v>
      </c>
      <c r="H2252" t="s">
        <v>323</v>
      </c>
      <c r="I2252" t="s">
        <v>98</v>
      </c>
      <c r="J2252" t="s">
        <v>1995</v>
      </c>
      <c r="K2252" t="s">
        <v>285</v>
      </c>
      <c r="L2252" t="s">
        <v>2101</v>
      </c>
    </row>
    <row r="2253" spans="1:12">
      <c r="A2253" t="s">
        <v>318</v>
      </c>
      <c r="B2253" t="s">
        <v>1984</v>
      </c>
      <c r="C2253" t="s">
        <v>2102</v>
      </c>
      <c r="D2253" s="28">
        <v>7689500041914</v>
      </c>
      <c r="E2253" s="29" t="s">
        <v>371</v>
      </c>
      <c r="F2253" s="29" t="s">
        <v>372</v>
      </c>
      <c r="G2253">
        <v>13</v>
      </c>
      <c r="H2253" t="s">
        <v>323</v>
      </c>
      <c r="I2253" t="s">
        <v>98</v>
      </c>
      <c r="J2253" t="s">
        <v>1995</v>
      </c>
      <c r="K2253" t="s">
        <v>285</v>
      </c>
      <c r="L2253" t="s">
        <v>2101</v>
      </c>
    </row>
    <row r="2254" spans="1:12">
      <c r="A2254" t="s">
        <v>318</v>
      </c>
      <c r="B2254" t="s">
        <v>1984</v>
      </c>
      <c r="C2254" t="s">
        <v>1285</v>
      </c>
      <c r="D2254" s="28">
        <v>7689500042048</v>
      </c>
      <c r="E2254" s="29" t="s">
        <v>371</v>
      </c>
      <c r="F2254" s="29" t="s">
        <v>372</v>
      </c>
      <c r="G2254">
        <v>12</v>
      </c>
      <c r="H2254" t="s">
        <v>323</v>
      </c>
      <c r="I2254" t="s">
        <v>98</v>
      </c>
      <c r="J2254" t="s">
        <v>1995</v>
      </c>
      <c r="K2254" t="s">
        <v>285</v>
      </c>
      <c r="L2254" t="s">
        <v>2101</v>
      </c>
    </row>
    <row r="2255" spans="1:12">
      <c r="A2255" t="s">
        <v>318</v>
      </c>
      <c r="B2255" t="s">
        <v>1984</v>
      </c>
      <c r="C2255" t="s">
        <v>1182</v>
      </c>
      <c r="D2255" s="28">
        <v>7689500042182</v>
      </c>
      <c r="E2255" s="29" t="s">
        <v>371</v>
      </c>
      <c r="F2255" s="29" t="s">
        <v>372</v>
      </c>
      <c r="G2255">
        <v>13</v>
      </c>
      <c r="H2255" t="s">
        <v>323</v>
      </c>
      <c r="I2255" t="s">
        <v>98</v>
      </c>
      <c r="J2255" t="s">
        <v>1995</v>
      </c>
      <c r="K2255" t="s">
        <v>285</v>
      </c>
      <c r="L2255" t="s">
        <v>2101</v>
      </c>
    </row>
    <row r="2256" spans="1:12">
      <c r="A2256" t="s">
        <v>318</v>
      </c>
      <c r="B2256" t="s">
        <v>1984</v>
      </c>
      <c r="C2256" t="s">
        <v>395</v>
      </c>
      <c r="D2256" s="28">
        <v>7689500042215</v>
      </c>
      <c r="E2256" s="29" t="s">
        <v>371</v>
      </c>
      <c r="F2256" s="29" t="s">
        <v>372</v>
      </c>
      <c r="G2256">
        <v>13</v>
      </c>
      <c r="H2256" t="s">
        <v>323</v>
      </c>
      <c r="I2256" t="s">
        <v>45</v>
      </c>
      <c r="J2256" t="s">
        <v>1995</v>
      </c>
      <c r="K2256" t="s">
        <v>285</v>
      </c>
      <c r="L2256" t="s">
        <v>2101</v>
      </c>
    </row>
    <row r="2257" spans="1:12">
      <c r="A2257" t="s">
        <v>318</v>
      </c>
      <c r="B2257" t="s">
        <v>1984</v>
      </c>
      <c r="C2257" t="s">
        <v>2103</v>
      </c>
      <c r="D2257" s="28">
        <v>7689500042745</v>
      </c>
      <c r="E2257" s="29" t="s">
        <v>371</v>
      </c>
      <c r="F2257" s="29" t="s">
        <v>372</v>
      </c>
      <c r="G2257">
        <v>13</v>
      </c>
      <c r="H2257" t="s">
        <v>323</v>
      </c>
      <c r="I2257" t="s">
        <v>98</v>
      </c>
      <c r="J2257" t="s">
        <v>1995</v>
      </c>
      <c r="K2257" t="s">
        <v>285</v>
      </c>
      <c r="L2257" t="s">
        <v>2101</v>
      </c>
    </row>
    <row r="2258" spans="1:12">
      <c r="A2258" t="s">
        <v>318</v>
      </c>
      <c r="B2258" t="s">
        <v>1984</v>
      </c>
      <c r="C2258" t="s">
        <v>1243</v>
      </c>
      <c r="D2258" s="28">
        <v>7689500042747</v>
      </c>
      <c r="E2258" s="29" t="s">
        <v>371</v>
      </c>
      <c r="F2258" s="29" t="s">
        <v>372</v>
      </c>
      <c r="G2258">
        <v>13</v>
      </c>
      <c r="H2258" t="s">
        <v>323</v>
      </c>
      <c r="I2258" t="s">
        <v>98</v>
      </c>
      <c r="J2258" t="s">
        <v>1995</v>
      </c>
      <c r="K2258" t="s">
        <v>285</v>
      </c>
      <c r="L2258" t="s">
        <v>2101</v>
      </c>
    </row>
    <row r="2259" spans="1:12">
      <c r="A2259" t="s">
        <v>318</v>
      </c>
      <c r="B2259" t="s">
        <v>1984</v>
      </c>
      <c r="C2259" t="s">
        <v>2104</v>
      </c>
      <c r="D2259" s="28">
        <v>7689500042752</v>
      </c>
      <c r="E2259" s="29" t="s">
        <v>371</v>
      </c>
      <c r="F2259" s="29" t="s">
        <v>372</v>
      </c>
      <c r="G2259">
        <v>11</v>
      </c>
      <c r="H2259" t="s">
        <v>323</v>
      </c>
      <c r="I2259" t="s">
        <v>45</v>
      </c>
      <c r="J2259" t="s">
        <v>1995</v>
      </c>
      <c r="K2259" t="s">
        <v>285</v>
      </c>
      <c r="L2259" t="s">
        <v>2101</v>
      </c>
    </row>
    <row r="2260" spans="1:12">
      <c r="A2260" t="s">
        <v>318</v>
      </c>
      <c r="B2260" t="s">
        <v>1984</v>
      </c>
      <c r="C2260" t="s">
        <v>575</v>
      </c>
      <c r="D2260" s="28">
        <v>7689500042759</v>
      </c>
      <c r="E2260" s="29" t="s">
        <v>371</v>
      </c>
      <c r="F2260" s="29" t="s">
        <v>372</v>
      </c>
      <c r="G2260">
        <v>9</v>
      </c>
      <c r="H2260" t="s">
        <v>323</v>
      </c>
      <c r="I2260" t="s">
        <v>98</v>
      </c>
      <c r="J2260" t="s">
        <v>1995</v>
      </c>
      <c r="K2260" t="s">
        <v>285</v>
      </c>
      <c r="L2260" t="s">
        <v>2101</v>
      </c>
    </row>
    <row r="2261" spans="1:12">
      <c r="A2261" t="s">
        <v>318</v>
      </c>
      <c r="B2261" t="s">
        <v>1984</v>
      </c>
      <c r="C2261" t="s">
        <v>2105</v>
      </c>
      <c r="D2261" s="28">
        <v>7689500042773</v>
      </c>
      <c r="E2261" s="29" t="s">
        <v>371</v>
      </c>
      <c r="F2261" s="29" t="s">
        <v>372</v>
      </c>
      <c r="G2261">
        <v>12</v>
      </c>
      <c r="H2261" t="s">
        <v>323</v>
      </c>
      <c r="I2261" t="s">
        <v>98</v>
      </c>
      <c r="J2261" t="s">
        <v>1995</v>
      </c>
      <c r="K2261" t="s">
        <v>285</v>
      </c>
      <c r="L2261" t="s">
        <v>2101</v>
      </c>
    </row>
    <row r="2262" spans="1:12">
      <c r="A2262" t="s">
        <v>318</v>
      </c>
      <c r="B2262" t="s">
        <v>1984</v>
      </c>
      <c r="C2262" t="s">
        <v>1745</v>
      </c>
      <c r="D2262" s="28">
        <v>7689500042777</v>
      </c>
      <c r="E2262" s="29" t="s">
        <v>371</v>
      </c>
      <c r="F2262" s="29" t="s">
        <v>372</v>
      </c>
      <c r="G2262">
        <v>11</v>
      </c>
      <c r="H2262" t="s">
        <v>323</v>
      </c>
      <c r="I2262" t="s">
        <v>98</v>
      </c>
      <c r="J2262" t="s">
        <v>1995</v>
      </c>
      <c r="K2262" t="s">
        <v>285</v>
      </c>
      <c r="L2262" t="s">
        <v>2101</v>
      </c>
    </row>
    <row r="2263" spans="1:12">
      <c r="A2263" t="s">
        <v>318</v>
      </c>
      <c r="B2263" t="s">
        <v>1984</v>
      </c>
      <c r="C2263" t="s">
        <v>2106</v>
      </c>
      <c r="D2263" s="28">
        <v>7689500043666</v>
      </c>
      <c r="E2263" s="29" t="s">
        <v>1045</v>
      </c>
      <c r="F2263" s="29" t="s">
        <v>372</v>
      </c>
      <c r="G2263">
        <v>15</v>
      </c>
      <c r="H2263" t="s">
        <v>323</v>
      </c>
      <c r="I2263" t="s">
        <v>98</v>
      </c>
      <c r="J2263" t="s">
        <v>1995</v>
      </c>
      <c r="K2263" t="s">
        <v>285</v>
      </c>
      <c r="L2263" t="s">
        <v>2101</v>
      </c>
    </row>
    <row r="2264" spans="1:12">
      <c r="A2264" t="s">
        <v>318</v>
      </c>
      <c r="B2264" t="s">
        <v>1984</v>
      </c>
      <c r="C2264" t="s">
        <v>2107</v>
      </c>
      <c r="D2264" s="28">
        <v>7689500043685</v>
      </c>
      <c r="E2264" s="29" t="s">
        <v>1045</v>
      </c>
      <c r="F2264" s="29" t="s">
        <v>372</v>
      </c>
      <c r="G2264">
        <v>15</v>
      </c>
      <c r="H2264" t="s">
        <v>323</v>
      </c>
      <c r="I2264" t="s">
        <v>98</v>
      </c>
      <c r="J2264" t="s">
        <v>1995</v>
      </c>
      <c r="K2264" t="s">
        <v>285</v>
      </c>
      <c r="L2264" t="s">
        <v>2101</v>
      </c>
    </row>
    <row r="2265" spans="1:12">
      <c r="A2265" t="s">
        <v>318</v>
      </c>
      <c r="B2265" t="s">
        <v>1984</v>
      </c>
      <c r="C2265" t="s">
        <v>1745</v>
      </c>
      <c r="D2265" s="28">
        <v>7689500043702</v>
      </c>
      <c r="E2265" s="29" t="s">
        <v>1045</v>
      </c>
      <c r="F2265" s="29" t="s">
        <v>372</v>
      </c>
      <c r="G2265">
        <v>15</v>
      </c>
      <c r="H2265" t="s">
        <v>323</v>
      </c>
      <c r="I2265" t="s">
        <v>98</v>
      </c>
      <c r="J2265" t="s">
        <v>1995</v>
      </c>
      <c r="K2265" t="s">
        <v>285</v>
      </c>
      <c r="L2265" t="s">
        <v>2101</v>
      </c>
    </row>
    <row r="2266" spans="1:12">
      <c r="A2266" t="s">
        <v>318</v>
      </c>
      <c r="B2266" t="s">
        <v>1984</v>
      </c>
      <c r="C2266" t="s">
        <v>596</v>
      </c>
      <c r="D2266" s="28">
        <v>7689500043720</v>
      </c>
      <c r="E2266" s="29" t="s">
        <v>371</v>
      </c>
      <c r="F2266" s="29" t="s">
        <v>372</v>
      </c>
      <c r="G2266">
        <v>12</v>
      </c>
      <c r="H2266" t="s">
        <v>323</v>
      </c>
      <c r="I2266" t="s">
        <v>98</v>
      </c>
      <c r="J2266" t="s">
        <v>1995</v>
      </c>
      <c r="K2266" t="s">
        <v>285</v>
      </c>
      <c r="L2266" t="s">
        <v>2101</v>
      </c>
    </row>
    <row r="2267" spans="1:12">
      <c r="A2267" t="s">
        <v>318</v>
      </c>
      <c r="B2267" t="s">
        <v>1984</v>
      </c>
      <c r="C2267" t="s">
        <v>2108</v>
      </c>
      <c r="D2267" s="28">
        <v>7689500043735</v>
      </c>
      <c r="E2267" s="29" t="s">
        <v>371</v>
      </c>
      <c r="F2267" s="29" t="s">
        <v>372</v>
      </c>
      <c r="G2267">
        <v>10</v>
      </c>
      <c r="H2267" t="s">
        <v>323</v>
      </c>
      <c r="I2267" t="s">
        <v>98</v>
      </c>
      <c r="J2267" t="s">
        <v>1995</v>
      </c>
      <c r="K2267" t="s">
        <v>285</v>
      </c>
      <c r="L2267" t="s">
        <v>2101</v>
      </c>
    </row>
    <row r="2268" spans="1:12">
      <c r="A2268" t="s">
        <v>318</v>
      </c>
      <c r="B2268" t="s">
        <v>1984</v>
      </c>
      <c r="C2268" t="s">
        <v>2109</v>
      </c>
      <c r="D2268" s="28">
        <v>7689500043764</v>
      </c>
      <c r="E2268" s="29" t="s">
        <v>371</v>
      </c>
      <c r="F2268" s="29" t="s">
        <v>372</v>
      </c>
      <c r="G2268">
        <v>13</v>
      </c>
      <c r="H2268" t="s">
        <v>323</v>
      </c>
      <c r="I2268" t="s">
        <v>98</v>
      </c>
      <c r="J2268" t="s">
        <v>1995</v>
      </c>
      <c r="K2268" t="s">
        <v>285</v>
      </c>
      <c r="L2268" t="s">
        <v>2101</v>
      </c>
    </row>
    <row r="2269" spans="1:12">
      <c r="A2269" t="s">
        <v>318</v>
      </c>
      <c r="B2269" t="s">
        <v>1984</v>
      </c>
      <c r="C2269" t="s">
        <v>865</v>
      </c>
      <c r="D2269" s="28">
        <v>7689500043783</v>
      </c>
      <c r="E2269" s="29" t="s">
        <v>371</v>
      </c>
      <c r="F2269" s="29" t="s">
        <v>372</v>
      </c>
      <c r="G2269">
        <v>9</v>
      </c>
      <c r="H2269" t="s">
        <v>323</v>
      </c>
      <c r="I2269" t="s">
        <v>98</v>
      </c>
      <c r="J2269" t="s">
        <v>1995</v>
      </c>
      <c r="K2269" t="s">
        <v>285</v>
      </c>
      <c r="L2269" t="s">
        <v>2101</v>
      </c>
    </row>
    <row r="2270" spans="1:12">
      <c r="A2270" t="s">
        <v>318</v>
      </c>
      <c r="B2270" t="s">
        <v>1984</v>
      </c>
      <c r="C2270" t="s">
        <v>2110</v>
      </c>
      <c r="D2270" s="28">
        <v>7689500043790</v>
      </c>
      <c r="E2270" s="29" t="s">
        <v>371</v>
      </c>
      <c r="F2270" s="29" t="s">
        <v>372</v>
      </c>
      <c r="G2270">
        <v>12</v>
      </c>
      <c r="H2270" t="s">
        <v>323</v>
      </c>
      <c r="I2270" t="s">
        <v>98</v>
      </c>
      <c r="J2270" t="s">
        <v>1995</v>
      </c>
      <c r="K2270" t="s">
        <v>285</v>
      </c>
      <c r="L2270" t="s">
        <v>2101</v>
      </c>
    </row>
    <row r="2271" spans="1:12">
      <c r="A2271" t="s">
        <v>318</v>
      </c>
      <c r="B2271" t="s">
        <v>1984</v>
      </c>
      <c r="C2271" t="s">
        <v>1494</v>
      </c>
      <c r="D2271" s="28">
        <v>7689500043833</v>
      </c>
      <c r="E2271" s="29" t="s">
        <v>371</v>
      </c>
      <c r="F2271" s="29" t="s">
        <v>372</v>
      </c>
      <c r="G2271">
        <v>11</v>
      </c>
      <c r="H2271" t="s">
        <v>323</v>
      </c>
      <c r="I2271" t="s">
        <v>45</v>
      </c>
      <c r="J2271" t="s">
        <v>1995</v>
      </c>
      <c r="K2271" t="s">
        <v>285</v>
      </c>
      <c r="L2271" t="s">
        <v>2101</v>
      </c>
    </row>
    <row r="2272" spans="1:12">
      <c r="A2272" t="s">
        <v>318</v>
      </c>
      <c r="B2272" t="s">
        <v>1984</v>
      </c>
      <c r="C2272" t="s">
        <v>2111</v>
      </c>
      <c r="D2272" s="28">
        <v>7689500043880</v>
      </c>
      <c r="E2272" s="29" t="s">
        <v>1045</v>
      </c>
      <c r="F2272" s="29" t="s">
        <v>372</v>
      </c>
      <c r="G2272">
        <v>15</v>
      </c>
      <c r="H2272" t="s">
        <v>323</v>
      </c>
      <c r="I2272" t="s">
        <v>98</v>
      </c>
      <c r="J2272" t="s">
        <v>1995</v>
      </c>
      <c r="K2272" t="s">
        <v>285</v>
      </c>
      <c r="L2272" t="s">
        <v>2101</v>
      </c>
    </row>
    <row r="2273" spans="1:12">
      <c r="A2273" t="s">
        <v>318</v>
      </c>
      <c r="B2273" t="s">
        <v>1984</v>
      </c>
      <c r="C2273" t="s">
        <v>454</v>
      </c>
      <c r="D2273" s="28">
        <v>7689500067958</v>
      </c>
      <c r="E2273" s="29" t="s">
        <v>371</v>
      </c>
      <c r="F2273" s="29" t="s">
        <v>372</v>
      </c>
      <c r="G2273">
        <v>11</v>
      </c>
      <c r="H2273" t="s">
        <v>323</v>
      </c>
      <c r="I2273" t="s">
        <v>98</v>
      </c>
      <c r="J2273" t="s">
        <v>1995</v>
      </c>
      <c r="K2273" t="s">
        <v>285</v>
      </c>
      <c r="L2273" t="s">
        <v>2101</v>
      </c>
    </row>
    <row r="2274" spans="1:12">
      <c r="A2274" t="s">
        <v>318</v>
      </c>
      <c r="B2274" t="s">
        <v>1984</v>
      </c>
      <c r="C2274" t="s">
        <v>1225</v>
      </c>
      <c r="D2274" s="28">
        <v>7689500079988</v>
      </c>
      <c r="E2274" s="29" t="s">
        <v>371</v>
      </c>
      <c r="F2274" s="29" t="s">
        <v>372</v>
      </c>
      <c r="G2274">
        <v>12</v>
      </c>
      <c r="H2274" t="s">
        <v>323</v>
      </c>
      <c r="I2274" t="s">
        <v>98</v>
      </c>
      <c r="J2274" t="s">
        <v>1995</v>
      </c>
      <c r="K2274" t="s">
        <v>285</v>
      </c>
      <c r="L2274" t="s">
        <v>2101</v>
      </c>
    </row>
    <row r="2275" spans="1:12">
      <c r="A2275" t="s">
        <v>318</v>
      </c>
      <c r="B2275" t="s">
        <v>1984</v>
      </c>
      <c r="C2275" t="s">
        <v>969</v>
      </c>
      <c r="D2275" s="28">
        <v>768951121813</v>
      </c>
      <c r="E2275" s="29" t="s">
        <v>371</v>
      </c>
      <c r="F2275" s="29" t="s">
        <v>372</v>
      </c>
      <c r="G2275">
        <v>11</v>
      </c>
      <c r="H2275" t="s">
        <v>323</v>
      </c>
      <c r="I2275" t="s">
        <v>98</v>
      </c>
      <c r="J2275" t="s">
        <v>1995</v>
      </c>
      <c r="K2275" t="s">
        <v>285</v>
      </c>
      <c r="L2275" t="s">
        <v>2101</v>
      </c>
    </row>
    <row r="2276" spans="1:12">
      <c r="A2276" t="s">
        <v>318</v>
      </c>
      <c r="B2276" t="s">
        <v>1984</v>
      </c>
      <c r="C2276" t="s">
        <v>763</v>
      </c>
      <c r="D2276" s="28">
        <v>7610000018123</v>
      </c>
      <c r="E2276" s="29" t="s">
        <v>371</v>
      </c>
      <c r="F2276" s="29" t="s">
        <v>372</v>
      </c>
      <c r="G2276">
        <v>12</v>
      </c>
      <c r="H2276" t="s">
        <v>323</v>
      </c>
      <c r="I2276" t="s">
        <v>98</v>
      </c>
      <c r="J2276" t="s">
        <v>2046</v>
      </c>
      <c r="K2276" t="s">
        <v>394</v>
      </c>
      <c r="L2276" t="s">
        <v>2101</v>
      </c>
    </row>
    <row r="2277" spans="1:12">
      <c r="A2277" t="s">
        <v>318</v>
      </c>
      <c r="B2277" t="s">
        <v>1984</v>
      </c>
      <c r="C2277" t="s">
        <v>940</v>
      </c>
      <c r="D2277" s="28">
        <v>7610000018151</v>
      </c>
      <c r="E2277" s="29" t="s">
        <v>371</v>
      </c>
      <c r="F2277" s="29" t="s">
        <v>372</v>
      </c>
      <c r="G2277">
        <v>13</v>
      </c>
      <c r="H2277" t="s">
        <v>323</v>
      </c>
      <c r="I2277" t="s">
        <v>98</v>
      </c>
      <c r="J2277" t="s">
        <v>2046</v>
      </c>
      <c r="K2277" t="s">
        <v>285</v>
      </c>
      <c r="L2277" t="s">
        <v>2101</v>
      </c>
    </row>
    <row r="2278" spans="1:12">
      <c r="A2278" t="s">
        <v>318</v>
      </c>
      <c r="B2278" t="s">
        <v>1984</v>
      </c>
      <c r="C2278" t="s">
        <v>2112</v>
      </c>
      <c r="D2278" s="28">
        <v>7610000021026</v>
      </c>
      <c r="E2278" s="29" t="s">
        <v>371</v>
      </c>
      <c r="F2278" s="29" t="s">
        <v>372</v>
      </c>
      <c r="G2278">
        <v>12</v>
      </c>
      <c r="H2278" t="s">
        <v>323</v>
      </c>
      <c r="I2278" t="s">
        <v>98</v>
      </c>
      <c r="J2278" t="s">
        <v>2046</v>
      </c>
      <c r="K2278" t="s">
        <v>285</v>
      </c>
      <c r="L2278" t="s">
        <v>2101</v>
      </c>
    </row>
    <row r="2279" spans="1:12">
      <c r="A2279" t="s">
        <v>318</v>
      </c>
      <c r="B2279" t="s">
        <v>1984</v>
      </c>
      <c r="C2279" t="s">
        <v>377</v>
      </c>
      <c r="D2279" s="28">
        <v>7610000021041</v>
      </c>
      <c r="E2279" s="29" t="s">
        <v>371</v>
      </c>
      <c r="F2279" s="29" t="s">
        <v>372</v>
      </c>
      <c r="G2279">
        <v>13</v>
      </c>
      <c r="H2279" t="s">
        <v>323</v>
      </c>
      <c r="I2279" t="s">
        <v>98</v>
      </c>
      <c r="J2279" t="s">
        <v>2046</v>
      </c>
      <c r="K2279" t="s">
        <v>285</v>
      </c>
      <c r="L2279" t="s">
        <v>2101</v>
      </c>
    </row>
    <row r="2280" spans="1:12">
      <c r="A2280" t="s">
        <v>318</v>
      </c>
      <c r="B2280" t="s">
        <v>1984</v>
      </c>
      <c r="C2280" t="s">
        <v>2113</v>
      </c>
      <c r="D2280" s="28">
        <v>7610000021053</v>
      </c>
      <c r="E2280" s="29" t="s">
        <v>371</v>
      </c>
      <c r="F2280" s="29" t="s">
        <v>372</v>
      </c>
      <c r="G2280">
        <v>10</v>
      </c>
      <c r="H2280" t="s">
        <v>323</v>
      </c>
      <c r="I2280" t="s">
        <v>45</v>
      </c>
      <c r="J2280" t="s">
        <v>2046</v>
      </c>
      <c r="K2280" t="s">
        <v>365</v>
      </c>
      <c r="L2280" t="s">
        <v>2101</v>
      </c>
    </row>
    <row r="2281" spans="1:12">
      <c r="A2281" t="s">
        <v>318</v>
      </c>
      <c r="B2281" t="s">
        <v>1984</v>
      </c>
      <c r="C2281" t="s">
        <v>2114</v>
      </c>
      <c r="D2281" s="28">
        <v>7610000021084</v>
      </c>
      <c r="E2281" s="29" t="s">
        <v>371</v>
      </c>
      <c r="F2281" s="29" t="s">
        <v>372</v>
      </c>
      <c r="G2281">
        <v>11</v>
      </c>
      <c r="H2281" t="s">
        <v>323</v>
      </c>
      <c r="I2281" t="s">
        <v>45</v>
      </c>
      <c r="J2281" t="s">
        <v>2046</v>
      </c>
      <c r="K2281" t="s">
        <v>365</v>
      </c>
      <c r="L2281" t="s">
        <v>2101</v>
      </c>
    </row>
    <row r="2282" spans="1:12">
      <c r="A2282" t="s">
        <v>318</v>
      </c>
      <c r="B2282" t="s">
        <v>1984</v>
      </c>
      <c r="C2282" t="s">
        <v>2115</v>
      </c>
      <c r="D2282" s="28">
        <v>7610000021098</v>
      </c>
      <c r="E2282" s="29" t="s">
        <v>371</v>
      </c>
      <c r="F2282" s="29" t="s">
        <v>372</v>
      </c>
      <c r="G2282">
        <v>13</v>
      </c>
      <c r="H2282" t="s">
        <v>323</v>
      </c>
      <c r="I2282" t="s">
        <v>45</v>
      </c>
      <c r="J2282" t="s">
        <v>2046</v>
      </c>
      <c r="K2282" t="s">
        <v>394</v>
      </c>
      <c r="L2282" t="s">
        <v>2101</v>
      </c>
    </row>
    <row r="2283" spans="1:12">
      <c r="A2283" t="s">
        <v>318</v>
      </c>
      <c r="B2283" t="s">
        <v>1984</v>
      </c>
      <c r="C2283" t="s">
        <v>2116</v>
      </c>
      <c r="D2283" s="28">
        <v>7610000021117</v>
      </c>
      <c r="E2283" s="29" t="s">
        <v>371</v>
      </c>
      <c r="F2283" s="29" t="s">
        <v>372</v>
      </c>
      <c r="G2283">
        <v>10</v>
      </c>
      <c r="H2283" t="s">
        <v>323</v>
      </c>
      <c r="I2283" t="s">
        <v>45</v>
      </c>
      <c r="J2283" t="s">
        <v>2046</v>
      </c>
      <c r="K2283" t="s">
        <v>365</v>
      </c>
      <c r="L2283" t="s">
        <v>2101</v>
      </c>
    </row>
    <row r="2284" spans="1:12">
      <c r="A2284" t="s">
        <v>318</v>
      </c>
      <c r="B2284" t="s">
        <v>1984</v>
      </c>
      <c r="C2284" t="s">
        <v>1186</v>
      </c>
      <c r="D2284" s="28">
        <v>7610000021126</v>
      </c>
      <c r="E2284" s="29" t="s">
        <v>1045</v>
      </c>
      <c r="F2284" s="29" t="s">
        <v>372</v>
      </c>
      <c r="G2284">
        <v>15</v>
      </c>
      <c r="H2284" t="s">
        <v>323</v>
      </c>
      <c r="I2284" t="s">
        <v>98</v>
      </c>
      <c r="J2284" t="s">
        <v>2046</v>
      </c>
      <c r="K2284" t="s">
        <v>285</v>
      </c>
      <c r="L2284" t="s">
        <v>2101</v>
      </c>
    </row>
    <row r="2285" spans="1:12">
      <c r="A2285" t="s">
        <v>318</v>
      </c>
      <c r="B2285" t="s">
        <v>1984</v>
      </c>
      <c r="C2285" t="s">
        <v>2117</v>
      </c>
      <c r="D2285" s="28">
        <v>7610000021138</v>
      </c>
      <c r="E2285" s="29" t="s">
        <v>371</v>
      </c>
      <c r="F2285" s="29" t="s">
        <v>372</v>
      </c>
      <c r="G2285">
        <v>11</v>
      </c>
      <c r="H2285" t="s">
        <v>323</v>
      </c>
      <c r="I2285" t="s">
        <v>45</v>
      </c>
      <c r="J2285" t="s">
        <v>2046</v>
      </c>
      <c r="K2285" t="s">
        <v>285</v>
      </c>
      <c r="L2285" t="s">
        <v>2101</v>
      </c>
    </row>
    <row r="2286" spans="1:12">
      <c r="A2286" t="s">
        <v>318</v>
      </c>
      <c r="B2286" t="s">
        <v>1984</v>
      </c>
      <c r="C2286" t="s">
        <v>1225</v>
      </c>
      <c r="D2286" s="28">
        <v>7610000021166</v>
      </c>
      <c r="E2286" s="29" t="s">
        <v>371</v>
      </c>
      <c r="F2286" s="29" t="s">
        <v>372</v>
      </c>
      <c r="G2286">
        <v>12</v>
      </c>
      <c r="H2286" t="s">
        <v>323</v>
      </c>
      <c r="I2286" t="s">
        <v>45</v>
      </c>
      <c r="J2286" t="s">
        <v>2046</v>
      </c>
      <c r="K2286" t="s">
        <v>285</v>
      </c>
      <c r="L2286" t="s">
        <v>2101</v>
      </c>
    </row>
    <row r="2287" spans="1:12">
      <c r="A2287" t="s">
        <v>318</v>
      </c>
      <c r="B2287" t="s">
        <v>1984</v>
      </c>
      <c r="C2287" t="s">
        <v>2118</v>
      </c>
      <c r="D2287" s="28">
        <v>7610000113501</v>
      </c>
      <c r="E2287" s="29" t="s">
        <v>371</v>
      </c>
      <c r="F2287" s="29" t="s">
        <v>372</v>
      </c>
      <c r="G2287">
        <v>13</v>
      </c>
      <c r="H2287" t="s">
        <v>323</v>
      </c>
      <c r="I2287" t="s">
        <v>45</v>
      </c>
      <c r="J2287" t="s">
        <v>2046</v>
      </c>
      <c r="K2287" t="s">
        <v>394</v>
      </c>
      <c r="L2287" t="s">
        <v>2101</v>
      </c>
    </row>
    <row r="2288" spans="1:12">
      <c r="A2288" t="s">
        <v>318</v>
      </c>
      <c r="B2288" t="s">
        <v>1984</v>
      </c>
      <c r="C2288" t="s">
        <v>2119</v>
      </c>
      <c r="D2288" s="28">
        <v>7610000137821</v>
      </c>
      <c r="E2288" s="29" t="s">
        <v>371</v>
      </c>
      <c r="F2288" s="29" t="s">
        <v>372</v>
      </c>
      <c r="G2288">
        <v>11</v>
      </c>
      <c r="H2288" t="s">
        <v>323</v>
      </c>
      <c r="I2288" t="s">
        <v>98</v>
      </c>
      <c r="J2288" t="s">
        <v>2046</v>
      </c>
      <c r="K2288" t="s">
        <v>285</v>
      </c>
      <c r="L2288" t="s">
        <v>2101</v>
      </c>
    </row>
    <row r="2289" spans="1:12">
      <c r="A2289" t="s">
        <v>318</v>
      </c>
      <c r="B2289" t="s">
        <v>1984</v>
      </c>
      <c r="C2289" t="s">
        <v>382</v>
      </c>
      <c r="D2289" s="28">
        <v>761001126891</v>
      </c>
      <c r="E2289" s="29" t="s">
        <v>371</v>
      </c>
      <c r="F2289" s="29" t="s">
        <v>372</v>
      </c>
      <c r="G2289">
        <v>11</v>
      </c>
      <c r="H2289" t="s">
        <v>323</v>
      </c>
      <c r="I2289" t="s">
        <v>45</v>
      </c>
      <c r="J2289" t="s">
        <v>2046</v>
      </c>
      <c r="K2289" t="s">
        <v>285</v>
      </c>
      <c r="L2289" t="s">
        <v>2101</v>
      </c>
    </row>
    <row r="2290" spans="1:12">
      <c r="A2290" t="s">
        <v>318</v>
      </c>
      <c r="B2290" t="s">
        <v>1984</v>
      </c>
      <c r="C2290" t="s">
        <v>2120</v>
      </c>
      <c r="D2290" s="28">
        <v>761001146488</v>
      </c>
      <c r="E2290" s="29" t="s">
        <v>329</v>
      </c>
      <c r="F2290" s="29" t="s">
        <v>322</v>
      </c>
      <c r="G2290">
        <v>23</v>
      </c>
      <c r="H2290" t="s">
        <v>323</v>
      </c>
      <c r="I2290" t="s">
        <v>98</v>
      </c>
      <c r="J2290" t="s">
        <v>2046</v>
      </c>
      <c r="K2290" t="s">
        <v>337</v>
      </c>
      <c r="L2290" t="s">
        <v>2121</v>
      </c>
    </row>
    <row r="2291" spans="1:12">
      <c r="A2291" t="s">
        <v>318</v>
      </c>
      <c r="B2291" t="s">
        <v>1984</v>
      </c>
      <c r="C2291" t="s">
        <v>2122</v>
      </c>
      <c r="D2291" s="28">
        <v>761001146702</v>
      </c>
      <c r="E2291" s="29" t="s">
        <v>329</v>
      </c>
      <c r="F2291" s="29" t="s">
        <v>322</v>
      </c>
      <c r="G2291">
        <v>22</v>
      </c>
      <c r="H2291" t="s">
        <v>323</v>
      </c>
      <c r="I2291" t="s">
        <v>98</v>
      </c>
      <c r="J2291" t="s">
        <v>2046</v>
      </c>
      <c r="K2291" t="s">
        <v>337</v>
      </c>
      <c r="L2291" t="s">
        <v>2121</v>
      </c>
    </row>
    <row r="2292" spans="1:12">
      <c r="A2292" t="s">
        <v>318</v>
      </c>
      <c r="B2292" t="s">
        <v>1984</v>
      </c>
      <c r="C2292" t="s">
        <v>2123</v>
      </c>
      <c r="D2292" s="28">
        <v>761001146730</v>
      </c>
      <c r="E2292" s="29" t="s">
        <v>329</v>
      </c>
      <c r="F2292" s="29" t="s">
        <v>322</v>
      </c>
      <c r="G2292">
        <v>21</v>
      </c>
      <c r="H2292" t="s">
        <v>323</v>
      </c>
      <c r="I2292" t="s">
        <v>45</v>
      </c>
      <c r="J2292" t="s">
        <v>2046</v>
      </c>
      <c r="K2292" t="s">
        <v>337</v>
      </c>
      <c r="L2292" t="s">
        <v>2121</v>
      </c>
    </row>
    <row r="2293" spans="1:12">
      <c r="A2293" t="s">
        <v>318</v>
      </c>
      <c r="B2293" t="s">
        <v>1984</v>
      </c>
      <c r="C2293" t="s">
        <v>2124</v>
      </c>
      <c r="D2293" s="28">
        <v>761001146731</v>
      </c>
      <c r="E2293" s="29" t="s">
        <v>329</v>
      </c>
      <c r="F2293" s="29" t="s">
        <v>322</v>
      </c>
      <c r="G2293">
        <v>23</v>
      </c>
      <c r="H2293" t="s">
        <v>323</v>
      </c>
      <c r="I2293" t="s">
        <v>98</v>
      </c>
      <c r="J2293" t="s">
        <v>2046</v>
      </c>
      <c r="K2293" t="s">
        <v>337</v>
      </c>
      <c r="L2293" t="s">
        <v>2121</v>
      </c>
    </row>
    <row r="2294" spans="1:12">
      <c r="A2294" t="s">
        <v>318</v>
      </c>
      <c r="B2294" t="s">
        <v>1984</v>
      </c>
      <c r="C2294" t="s">
        <v>2125</v>
      </c>
      <c r="D2294" s="28">
        <v>761001163021</v>
      </c>
      <c r="E2294" s="29" t="s">
        <v>329</v>
      </c>
      <c r="F2294" s="29" t="s">
        <v>322</v>
      </c>
      <c r="G2294">
        <v>20</v>
      </c>
      <c r="H2294" t="s">
        <v>323</v>
      </c>
      <c r="I2294" t="s">
        <v>98</v>
      </c>
      <c r="J2294" t="s">
        <v>2046</v>
      </c>
      <c r="K2294" t="s">
        <v>285</v>
      </c>
      <c r="L2294" t="s">
        <v>2121</v>
      </c>
    </row>
    <row r="2295" spans="1:12">
      <c r="A2295" t="s">
        <v>318</v>
      </c>
      <c r="B2295" t="s">
        <v>1984</v>
      </c>
      <c r="C2295" t="s">
        <v>2126</v>
      </c>
      <c r="D2295" s="28">
        <v>761001163022</v>
      </c>
      <c r="E2295" s="29" t="s">
        <v>329</v>
      </c>
      <c r="F2295" s="29" t="s">
        <v>322</v>
      </c>
      <c r="G2295">
        <v>20</v>
      </c>
      <c r="H2295" t="s">
        <v>323</v>
      </c>
      <c r="I2295" t="s">
        <v>98</v>
      </c>
      <c r="J2295" t="s">
        <v>2046</v>
      </c>
      <c r="K2295" t="s">
        <v>285</v>
      </c>
      <c r="L2295" t="s">
        <v>2121</v>
      </c>
    </row>
    <row r="2296" spans="1:12">
      <c r="A2296" t="s">
        <v>318</v>
      </c>
      <c r="B2296" t="s">
        <v>1984</v>
      </c>
      <c r="C2296" t="s">
        <v>2127</v>
      </c>
      <c r="D2296" s="28">
        <v>762501130911</v>
      </c>
      <c r="E2296" s="29" t="s">
        <v>329</v>
      </c>
      <c r="F2296" s="29" t="s">
        <v>322</v>
      </c>
      <c r="G2296">
        <v>29</v>
      </c>
      <c r="H2296" t="s">
        <v>323</v>
      </c>
      <c r="I2296" t="s">
        <v>45</v>
      </c>
      <c r="J2296" t="s">
        <v>2010</v>
      </c>
      <c r="K2296" t="s">
        <v>337</v>
      </c>
      <c r="L2296" t="s">
        <v>2121</v>
      </c>
    </row>
    <row r="2297" spans="1:12">
      <c r="A2297" t="s">
        <v>318</v>
      </c>
      <c r="B2297" t="s">
        <v>1984</v>
      </c>
      <c r="C2297" t="s">
        <v>2128</v>
      </c>
      <c r="D2297" s="28">
        <v>762501130913</v>
      </c>
      <c r="E2297" s="29" t="s">
        <v>329</v>
      </c>
      <c r="F2297" s="29" t="s">
        <v>322</v>
      </c>
      <c r="G2297">
        <v>18</v>
      </c>
      <c r="H2297" t="s">
        <v>323</v>
      </c>
      <c r="I2297" t="s">
        <v>45</v>
      </c>
      <c r="J2297" t="s">
        <v>2010</v>
      </c>
      <c r="K2297" t="s">
        <v>337</v>
      </c>
      <c r="L2297" t="s">
        <v>2121</v>
      </c>
    </row>
    <row r="2298" spans="1:12">
      <c r="A2298" t="s">
        <v>318</v>
      </c>
      <c r="B2298" t="s">
        <v>1984</v>
      </c>
      <c r="C2298" t="s">
        <v>2129</v>
      </c>
      <c r="D2298" s="28">
        <v>762501147757</v>
      </c>
      <c r="E2298" s="29" t="s">
        <v>329</v>
      </c>
      <c r="F2298" s="29" t="s">
        <v>322</v>
      </c>
      <c r="G2298">
        <v>23</v>
      </c>
      <c r="H2298" t="s">
        <v>323</v>
      </c>
      <c r="I2298" t="s">
        <v>98</v>
      </c>
      <c r="J2298" t="s">
        <v>2010</v>
      </c>
      <c r="K2298" t="s">
        <v>337</v>
      </c>
      <c r="L2298" t="s">
        <v>2121</v>
      </c>
    </row>
    <row r="2299" spans="1:12">
      <c r="A2299" t="s">
        <v>318</v>
      </c>
      <c r="B2299" t="s">
        <v>1984</v>
      </c>
      <c r="C2299" t="s">
        <v>2130</v>
      </c>
      <c r="D2299" s="28">
        <v>762501155817</v>
      </c>
      <c r="E2299" s="29" t="s">
        <v>329</v>
      </c>
      <c r="F2299" s="29" t="s">
        <v>322</v>
      </c>
      <c r="G2299">
        <v>21</v>
      </c>
      <c r="H2299" t="s">
        <v>323</v>
      </c>
      <c r="I2299" t="s">
        <v>98</v>
      </c>
      <c r="J2299" t="s">
        <v>2010</v>
      </c>
      <c r="K2299" t="s">
        <v>285</v>
      </c>
      <c r="L2299" t="s">
        <v>2121</v>
      </c>
    </row>
    <row r="2300" spans="1:12">
      <c r="A2300" t="s">
        <v>318</v>
      </c>
      <c r="B2300" t="s">
        <v>1984</v>
      </c>
      <c r="C2300" t="s">
        <v>2131</v>
      </c>
      <c r="D2300" s="28">
        <v>7662200020088</v>
      </c>
      <c r="E2300" s="29" t="s">
        <v>987</v>
      </c>
      <c r="F2300" s="29" t="s">
        <v>364</v>
      </c>
      <c r="G2300">
        <v>122</v>
      </c>
      <c r="H2300" t="s">
        <v>323</v>
      </c>
      <c r="I2300" t="s">
        <v>45</v>
      </c>
      <c r="J2300" t="s">
        <v>1985</v>
      </c>
      <c r="K2300" t="s">
        <v>989</v>
      </c>
      <c r="L2300" t="s">
        <v>2132</v>
      </c>
    </row>
    <row r="2301" spans="1:12">
      <c r="A2301" t="s">
        <v>318</v>
      </c>
      <c r="B2301" t="s">
        <v>1984</v>
      </c>
      <c r="C2301" t="s">
        <v>2133</v>
      </c>
      <c r="D2301" s="28">
        <v>766221143826</v>
      </c>
      <c r="E2301" s="29" t="s">
        <v>368</v>
      </c>
      <c r="F2301" s="29" t="s">
        <v>364</v>
      </c>
      <c r="G2301">
        <v>95</v>
      </c>
      <c r="H2301" t="s">
        <v>323</v>
      </c>
      <c r="I2301" t="s">
        <v>45</v>
      </c>
      <c r="J2301" t="s">
        <v>1985</v>
      </c>
      <c r="K2301" t="s">
        <v>989</v>
      </c>
      <c r="L2301" t="s">
        <v>2132</v>
      </c>
    </row>
    <row r="2302" spans="1:12">
      <c r="A2302" t="s">
        <v>318</v>
      </c>
      <c r="B2302" t="s">
        <v>1984</v>
      </c>
      <c r="C2302" t="s">
        <v>2134</v>
      </c>
      <c r="D2302" s="28">
        <v>7640000131068</v>
      </c>
      <c r="E2302" s="29" t="s">
        <v>393</v>
      </c>
      <c r="F2302" s="29" t="s">
        <v>372</v>
      </c>
      <c r="G2302">
        <v>49</v>
      </c>
      <c r="H2302" t="s">
        <v>323</v>
      </c>
      <c r="I2302" t="s">
        <v>98</v>
      </c>
      <c r="J2302" t="s">
        <v>2060</v>
      </c>
      <c r="K2302" t="s">
        <v>394</v>
      </c>
      <c r="L2302" t="s">
        <v>2135</v>
      </c>
    </row>
    <row r="2303" spans="1:12">
      <c r="A2303" t="s">
        <v>318</v>
      </c>
      <c r="B2303" t="s">
        <v>1984</v>
      </c>
      <c r="C2303" t="s">
        <v>741</v>
      </c>
      <c r="D2303" s="28">
        <v>764001116594</v>
      </c>
      <c r="E2303" s="29" t="s">
        <v>393</v>
      </c>
      <c r="F2303" s="29" t="s">
        <v>372</v>
      </c>
      <c r="G2303">
        <v>49</v>
      </c>
      <c r="H2303" t="s">
        <v>323</v>
      </c>
      <c r="I2303" t="s">
        <v>98</v>
      </c>
      <c r="J2303" t="s">
        <v>2060</v>
      </c>
      <c r="K2303" t="s">
        <v>394</v>
      </c>
      <c r="L2303" t="s">
        <v>2135</v>
      </c>
    </row>
    <row r="2304" spans="1:12">
      <c r="A2304" t="s">
        <v>318</v>
      </c>
      <c r="B2304" t="s">
        <v>1984</v>
      </c>
      <c r="C2304" t="s">
        <v>2136</v>
      </c>
      <c r="D2304" s="28">
        <v>7689500043095</v>
      </c>
      <c r="E2304" s="29" t="s">
        <v>987</v>
      </c>
      <c r="F2304" s="29" t="s">
        <v>364</v>
      </c>
      <c r="G2304">
        <v>203</v>
      </c>
      <c r="H2304" t="s">
        <v>323</v>
      </c>
      <c r="I2304" t="s">
        <v>45</v>
      </c>
      <c r="J2304" t="s">
        <v>1995</v>
      </c>
      <c r="K2304" t="s">
        <v>989</v>
      </c>
      <c r="L2304" t="s">
        <v>2137</v>
      </c>
    </row>
    <row r="2305" spans="1:12">
      <c r="A2305" t="s">
        <v>318</v>
      </c>
      <c r="B2305" t="s">
        <v>1984</v>
      </c>
      <c r="C2305" t="s">
        <v>2138</v>
      </c>
      <c r="D2305" s="28">
        <v>7640000018322</v>
      </c>
      <c r="E2305" s="29" t="s">
        <v>987</v>
      </c>
      <c r="F2305" s="29" t="s">
        <v>364</v>
      </c>
      <c r="G2305">
        <v>228</v>
      </c>
      <c r="H2305" t="s">
        <v>323</v>
      </c>
      <c r="I2305" t="s">
        <v>45</v>
      </c>
      <c r="J2305" t="s">
        <v>2060</v>
      </c>
      <c r="K2305" t="s">
        <v>337</v>
      </c>
      <c r="L2305" t="s">
        <v>2139</v>
      </c>
    </row>
    <row r="2306" spans="1:12">
      <c r="A2306" t="s">
        <v>318</v>
      </c>
      <c r="B2306" t="s">
        <v>1984</v>
      </c>
      <c r="C2306" t="s">
        <v>2140</v>
      </c>
      <c r="D2306" s="28">
        <v>7686300022481</v>
      </c>
      <c r="E2306" s="29" t="s">
        <v>987</v>
      </c>
      <c r="F2306" s="29" t="s">
        <v>364</v>
      </c>
      <c r="G2306">
        <v>78</v>
      </c>
      <c r="H2306" t="s">
        <v>323</v>
      </c>
      <c r="I2306" t="s">
        <v>45</v>
      </c>
      <c r="J2306" t="s">
        <v>1997</v>
      </c>
      <c r="K2306" t="s">
        <v>989</v>
      </c>
      <c r="L2306" t="s">
        <v>2141</v>
      </c>
    </row>
    <row r="2307" spans="1:12">
      <c r="A2307" t="s">
        <v>318</v>
      </c>
      <c r="B2307" t="s">
        <v>1984</v>
      </c>
      <c r="C2307" t="s">
        <v>2142</v>
      </c>
      <c r="D2307" s="28">
        <v>768951143827</v>
      </c>
      <c r="E2307" s="29" t="s">
        <v>368</v>
      </c>
      <c r="F2307" s="29" t="s">
        <v>364</v>
      </c>
      <c r="G2307">
        <v>132</v>
      </c>
      <c r="H2307" t="s">
        <v>323</v>
      </c>
      <c r="I2307" t="s">
        <v>98</v>
      </c>
      <c r="J2307" t="s">
        <v>1995</v>
      </c>
      <c r="K2307" t="s">
        <v>394</v>
      </c>
    </row>
    <row r="2308" spans="1:12">
      <c r="A2308" t="s">
        <v>318</v>
      </c>
      <c r="B2308" t="s">
        <v>1984</v>
      </c>
      <c r="C2308" t="s">
        <v>2143</v>
      </c>
      <c r="D2308" s="28">
        <v>7662200126208</v>
      </c>
      <c r="E2308" s="29" t="s">
        <v>393</v>
      </c>
      <c r="F2308" s="29" t="s">
        <v>372</v>
      </c>
      <c r="G2308">
        <v>15</v>
      </c>
      <c r="H2308" t="s">
        <v>323</v>
      </c>
      <c r="I2308" t="s">
        <v>45</v>
      </c>
      <c r="J2308" t="s">
        <v>1985</v>
      </c>
      <c r="K2308" t="s">
        <v>394</v>
      </c>
    </row>
    <row r="2309" spans="1:12">
      <c r="A2309" t="s">
        <v>318</v>
      </c>
      <c r="B2309" t="s">
        <v>1984</v>
      </c>
      <c r="C2309" t="s">
        <v>2144</v>
      </c>
      <c r="D2309" s="28">
        <v>7662200130838</v>
      </c>
      <c r="E2309" s="29" t="s">
        <v>393</v>
      </c>
      <c r="F2309" s="29" t="s">
        <v>372</v>
      </c>
      <c r="G2309">
        <v>15</v>
      </c>
      <c r="H2309" t="s">
        <v>323</v>
      </c>
      <c r="I2309" t="s">
        <v>45</v>
      </c>
      <c r="J2309" t="s">
        <v>1985</v>
      </c>
      <c r="K2309" t="s">
        <v>394</v>
      </c>
    </row>
    <row r="2310" spans="1:12">
      <c r="A2310" t="s">
        <v>318</v>
      </c>
      <c r="B2310" t="s">
        <v>1984</v>
      </c>
      <c r="C2310" t="s">
        <v>2145</v>
      </c>
      <c r="D2310" s="28">
        <v>7662200130850</v>
      </c>
      <c r="E2310" s="29" t="s">
        <v>393</v>
      </c>
      <c r="F2310" s="29" t="s">
        <v>372</v>
      </c>
      <c r="G2310">
        <v>35</v>
      </c>
      <c r="H2310" t="s">
        <v>323</v>
      </c>
      <c r="I2310" t="s">
        <v>45</v>
      </c>
      <c r="J2310" t="s">
        <v>1985</v>
      </c>
      <c r="K2310" t="s">
        <v>394</v>
      </c>
    </row>
    <row r="2311" spans="1:12">
      <c r="A2311" t="s">
        <v>318</v>
      </c>
      <c r="B2311" t="s">
        <v>1984</v>
      </c>
      <c r="C2311" t="s">
        <v>2146</v>
      </c>
      <c r="D2311" s="28">
        <v>7662200130889</v>
      </c>
      <c r="E2311" s="29" t="s">
        <v>393</v>
      </c>
      <c r="F2311" s="29" t="s">
        <v>372</v>
      </c>
      <c r="G2311">
        <v>10</v>
      </c>
      <c r="H2311" t="s">
        <v>323</v>
      </c>
      <c r="I2311" t="s">
        <v>45</v>
      </c>
      <c r="J2311" t="s">
        <v>1985</v>
      </c>
      <c r="K2311" t="s">
        <v>394</v>
      </c>
    </row>
    <row r="2312" spans="1:12">
      <c r="A2312" t="s">
        <v>318</v>
      </c>
      <c r="B2312" t="s">
        <v>1984</v>
      </c>
      <c r="C2312" t="s">
        <v>2147</v>
      </c>
      <c r="D2312" s="28">
        <v>7662200130904</v>
      </c>
      <c r="E2312" s="29" t="s">
        <v>393</v>
      </c>
      <c r="F2312" s="29" t="s">
        <v>372</v>
      </c>
      <c r="G2312">
        <v>43</v>
      </c>
      <c r="H2312" t="s">
        <v>323</v>
      </c>
      <c r="I2312" t="s">
        <v>45</v>
      </c>
      <c r="J2312" t="s">
        <v>1985</v>
      </c>
      <c r="K2312" t="s">
        <v>394</v>
      </c>
    </row>
    <row r="2313" spans="1:12">
      <c r="A2313" t="s">
        <v>318</v>
      </c>
      <c r="B2313" t="s">
        <v>1984</v>
      </c>
      <c r="C2313" t="s">
        <v>2148</v>
      </c>
      <c r="D2313" s="28">
        <v>766221134230</v>
      </c>
      <c r="E2313" s="29" t="s">
        <v>393</v>
      </c>
      <c r="F2313" s="29" t="s">
        <v>372</v>
      </c>
      <c r="G2313">
        <v>29</v>
      </c>
      <c r="H2313" t="s">
        <v>323</v>
      </c>
      <c r="I2313" t="s">
        <v>45</v>
      </c>
      <c r="J2313" t="s">
        <v>1985</v>
      </c>
      <c r="K2313" t="s">
        <v>394</v>
      </c>
    </row>
    <row r="2314" spans="1:12">
      <c r="A2314" t="s">
        <v>318</v>
      </c>
      <c r="B2314" t="s">
        <v>1984</v>
      </c>
      <c r="C2314" t="s">
        <v>2149</v>
      </c>
      <c r="D2314" s="28">
        <v>766221134237</v>
      </c>
      <c r="E2314" s="29" t="s">
        <v>393</v>
      </c>
      <c r="F2314" s="29" t="s">
        <v>372</v>
      </c>
      <c r="G2314">
        <v>6</v>
      </c>
      <c r="H2314" t="s">
        <v>323</v>
      </c>
      <c r="I2314" t="s">
        <v>45</v>
      </c>
      <c r="J2314" t="s">
        <v>1985</v>
      </c>
      <c r="K2314" t="s">
        <v>394</v>
      </c>
    </row>
    <row r="2315" spans="1:12">
      <c r="A2315" t="s">
        <v>318</v>
      </c>
      <c r="B2315" t="s">
        <v>1984</v>
      </c>
      <c r="C2315" t="s">
        <v>2150</v>
      </c>
      <c r="D2315" s="28">
        <v>766221134252</v>
      </c>
      <c r="E2315" s="29" t="s">
        <v>393</v>
      </c>
      <c r="F2315" s="29" t="s">
        <v>372</v>
      </c>
      <c r="G2315">
        <v>12</v>
      </c>
      <c r="H2315" t="s">
        <v>323</v>
      </c>
      <c r="I2315" t="s">
        <v>45</v>
      </c>
      <c r="J2315" t="s">
        <v>1985</v>
      </c>
      <c r="K2315" t="s">
        <v>394</v>
      </c>
    </row>
    <row r="2316" spans="1:12">
      <c r="A2316" t="s">
        <v>318</v>
      </c>
      <c r="B2316" t="s">
        <v>1984</v>
      </c>
      <c r="C2316" t="s">
        <v>2151</v>
      </c>
      <c r="D2316" s="28">
        <v>766221134260</v>
      </c>
      <c r="E2316" s="29" t="s">
        <v>393</v>
      </c>
      <c r="F2316" s="29" t="s">
        <v>372</v>
      </c>
      <c r="G2316">
        <v>15</v>
      </c>
      <c r="H2316" t="s">
        <v>323</v>
      </c>
      <c r="I2316" t="s">
        <v>45</v>
      </c>
      <c r="J2316" t="s">
        <v>1985</v>
      </c>
      <c r="K2316" t="s">
        <v>394</v>
      </c>
    </row>
    <row r="2317" spans="1:12">
      <c r="A2317" t="s">
        <v>318</v>
      </c>
      <c r="B2317" t="s">
        <v>1984</v>
      </c>
      <c r="C2317" t="s">
        <v>2152</v>
      </c>
      <c r="D2317" s="28">
        <v>766221134263</v>
      </c>
      <c r="E2317" s="29" t="s">
        <v>393</v>
      </c>
      <c r="F2317" s="29" t="s">
        <v>372</v>
      </c>
      <c r="G2317">
        <v>20</v>
      </c>
      <c r="H2317" t="s">
        <v>323</v>
      </c>
      <c r="I2317" t="s">
        <v>45</v>
      </c>
      <c r="J2317" t="s">
        <v>1985</v>
      </c>
      <c r="K2317" t="s">
        <v>394</v>
      </c>
    </row>
    <row r="2318" spans="1:12">
      <c r="A2318" t="s">
        <v>318</v>
      </c>
      <c r="B2318" t="s">
        <v>1984</v>
      </c>
      <c r="C2318" t="s">
        <v>2153</v>
      </c>
      <c r="D2318" s="28">
        <v>766221160198</v>
      </c>
      <c r="E2318" s="29" t="s">
        <v>393</v>
      </c>
      <c r="F2318" s="29" t="s">
        <v>372</v>
      </c>
      <c r="G2318">
        <v>18</v>
      </c>
      <c r="H2318" t="s">
        <v>323</v>
      </c>
      <c r="I2318" t="s">
        <v>45</v>
      </c>
      <c r="J2318" t="s">
        <v>1985</v>
      </c>
      <c r="K2318" t="s">
        <v>285</v>
      </c>
    </row>
    <row r="2319" spans="1:12">
      <c r="A2319" t="s">
        <v>318</v>
      </c>
      <c r="B2319" t="s">
        <v>1984</v>
      </c>
      <c r="C2319" t="s">
        <v>2154</v>
      </c>
      <c r="D2319" s="28">
        <v>7625000059393</v>
      </c>
      <c r="E2319" s="29" t="s">
        <v>329</v>
      </c>
      <c r="F2319" s="29" t="s">
        <v>322</v>
      </c>
      <c r="G2319">
        <v>10</v>
      </c>
      <c r="H2319" t="s">
        <v>323</v>
      </c>
      <c r="I2319" t="s">
        <v>45</v>
      </c>
      <c r="J2319" t="s">
        <v>2010</v>
      </c>
      <c r="K2319" t="s">
        <v>285</v>
      </c>
      <c r="L2319" t="s">
        <v>2155</v>
      </c>
    </row>
    <row r="2320" spans="1:12">
      <c r="A2320" t="s">
        <v>318</v>
      </c>
      <c r="B2320" t="s">
        <v>1984</v>
      </c>
      <c r="C2320" t="s">
        <v>2156</v>
      </c>
      <c r="D2320" s="28">
        <v>7625000059400</v>
      </c>
      <c r="E2320" s="29" t="s">
        <v>329</v>
      </c>
      <c r="F2320" s="29" t="s">
        <v>322</v>
      </c>
      <c r="G2320">
        <v>7</v>
      </c>
      <c r="H2320" t="s">
        <v>323</v>
      </c>
      <c r="I2320" t="s">
        <v>45</v>
      </c>
      <c r="J2320" t="s">
        <v>2010</v>
      </c>
      <c r="K2320" t="s">
        <v>285</v>
      </c>
      <c r="L2320" t="s">
        <v>2155</v>
      </c>
    </row>
    <row r="2321" spans="1:12">
      <c r="A2321" t="s">
        <v>318</v>
      </c>
      <c r="B2321" t="s">
        <v>1984</v>
      </c>
      <c r="C2321" t="s">
        <v>2157</v>
      </c>
      <c r="D2321" s="28">
        <v>7625000059408</v>
      </c>
      <c r="E2321" s="29" t="s">
        <v>329</v>
      </c>
      <c r="F2321" s="29" t="s">
        <v>322</v>
      </c>
      <c r="G2321">
        <v>5</v>
      </c>
      <c r="H2321" t="s">
        <v>323</v>
      </c>
      <c r="I2321" t="s">
        <v>45</v>
      </c>
      <c r="J2321" t="s">
        <v>2010</v>
      </c>
      <c r="K2321" t="s">
        <v>285</v>
      </c>
      <c r="L2321" t="s">
        <v>2155</v>
      </c>
    </row>
    <row r="2322" spans="1:12">
      <c r="A2322" t="s">
        <v>318</v>
      </c>
      <c r="B2322" t="s">
        <v>1984</v>
      </c>
      <c r="C2322" t="s">
        <v>2158</v>
      </c>
      <c r="D2322" s="28">
        <v>762501132624</v>
      </c>
      <c r="E2322" s="29" t="s">
        <v>329</v>
      </c>
      <c r="F2322" s="29" t="s">
        <v>322</v>
      </c>
      <c r="G2322">
        <v>22</v>
      </c>
      <c r="H2322" t="s">
        <v>323</v>
      </c>
      <c r="I2322" t="s">
        <v>45</v>
      </c>
      <c r="J2322" t="s">
        <v>2010</v>
      </c>
      <c r="K2322" t="s">
        <v>285</v>
      </c>
      <c r="L2322" t="s">
        <v>2155</v>
      </c>
    </row>
    <row r="2323" spans="1:12">
      <c r="A2323" t="s">
        <v>318</v>
      </c>
      <c r="B2323" t="s">
        <v>1984</v>
      </c>
      <c r="C2323" t="s">
        <v>2159</v>
      </c>
      <c r="D2323" s="28">
        <v>762501132626</v>
      </c>
      <c r="E2323" s="29" t="s">
        <v>329</v>
      </c>
      <c r="F2323" s="29" t="s">
        <v>322</v>
      </c>
      <c r="G2323">
        <v>5</v>
      </c>
      <c r="H2323" t="s">
        <v>323</v>
      </c>
      <c r="I2323" t="s">
        <v>45</v>
      </c>
      <c r="J2323" t="s">
        <v>2010</v>
      </c>
      <c r="K2323" t="s">
        <v>285</v>
      </c>
      <c r="L2323" t="s">
        <v>2155</v>
      </c>
    </row>
    <row r="2324" spans="1:12">
      <c r="A2324" t="s">
        <v>318</v>
      </c>
      <c r="B2324" t="s">
        <v>1984</v>
      </c>
      <c r="C2324" t="s">
        <v>2160</v>
      </c>
      <c r="D2324" s="28">
        <v>762501132629</v>
      </c>
      <c r="E2324" s="29" t="s">
        <v>329</v>
      </c>
      <c r="F2324" s="29" t="s">
        <v>322</v>
      </c>
      <c r="G2324">
        <v>4</v>
      </c>
      <c r="H2324" t="s">
        <v>323</v>
      </c>
      <c r="I2324" t="s">
        <v>45</v>
      </c>
      <c r="J2324" t="s">
        <v>2010</v>
      </c>
      <c r="K2324" t="s">
        <v>285</v>
      </c>
      <c r="L2324" t="s">
        <v>2155</v>
      </c>
    </row>
    <row r="2325" spans="1:12">
      <c r="A2325" t="s">
        <v>318</v>
      </c>
      <c r="B2325" t="s">
        <v>1984</v>
      </c>
      <c r="C2325" t="s">
        <v>2161</v>
      </c>
      <c r="D2325" s="28">
        <v>762501147758</v>
      </c>
      <c r="E2325" s="29" t="s">
        <v>329</v>
      </c>
      <c r="F2325" s="29" t="s">
        <v>322</v>
      </c>
      <c r="G2325">
        <v>10</v>
      </c>
      <c r="H2325" t="s">
        <v>323</v>
      </c>
      <c r="I2325" t="s">
        <v>45</v>
      </c>
      <c r="J2325" t="s">
        <v>2010</v>
      </c>
      <c r="K2325" t="s">
        <v>285</v>
      </c>
      <c r="L2325" t="s">
        <v>2155</v>
      </c>
    </row>
    <row r="2326" spans="1:12">
      <c r="A2326" t="s">
        <v>318</v>
      </c>
      <c r="B2326" t="s">
        <v>1984</v>
      </c>
      <c r="C2326" t="s">
        <v>2162</v>
      </c>
      <c r="D2326" s="28">
        <v>762501147819</v>
      </c>
      <c r="E2326" s="29" t="s">
        <v>329</v>
      </c>
      <c r="F2326" s="29" t="s">
        <v>322</v>
      </c>
      <c r="G2326">
        <v>8</v>
      </c>
      <c r="H2326" t="s">
        <v>323</v>
      </c>
      <c r="I2326" t="s">
        <v>45</v>
      </c>
      <c r="J2326" t="s">
        <v>2010</v>
      </c>
      <c r="K2326" t="s">
        <v>285</v>
      </c>
      <c r="L2326" t="s">
        <v>2155</v>
      </c>
    </row>
    <row r="2327" spans="1:12">
      <c r="A2327" t="s">
        <v>318</v>
      </c>
      <c r="B2327" t="s">
        <v>2163</v>
      </c>
      <c r="C2327" t="s">
        <v>2164</v>
      </c>
      <c r="D2327" s="28">
        <v>7612200038255</v>
      </c>
      <c r="E2327" s="29" t="s">
        <v>371</v>
      </c>
      <c r="F2327" s="29" t="s">
        <v>372</v>
      </c>
      <c r="G2327">
        <v>11</v>
      </c>
      <c r="H2327" t="s">
        <v>323</v>
      </c>
      <c r="I2327" t="s">
        <v>98</v>
      </c>
      <c r="J2327" t="s">
        <v>2165</v>
      </c>
      <c r="K2327" t="s">
        <v>285</v>
      </c>
      <c r="L2327" t="s">
        <v>327</v>
      </c>
    </row>
    <row r="2328" spans="1:12">
      <c r="A2328" t="s">
        <v>318</v>
      </c>
      <c r="B2328" t="s">
        <v>2163</v>
      </c>
      <c r="C2328" t="s">
        <v>2166</v>
      </c>
      <c r="D2328" s="28">
        <v>7612200038272</v>
      </c>
      <c r="E2328" s="29" t="s">
        <v>371</v>
      </c>
      <c r="F2328" s="29" t="s">
        <v>372</v>
      </c>
      <c r="G2328">
        <v>8</v>
      </c>
      <c r="H2328" t="s">
        <v>323</v>
      </c>
      <c r="I2328" t="s">
        <v>45</v>
      </c>
      <c r="J2328" t="s">
        <v>2165</v>
      </c>
      <c r="K2328" t="s">
        <v>285</v>
      </c>
      <c r="L2328" t="s">
        <v>327</v>
      </c>
    </row>
    <row r="2329" spans="1:12">
      <c r="A2329" t="s">
        <v>318</v>
      </c>
      <c r="B2329" t="s">
        <v>2163</v>
      </c>
      <c r="C2329" t="s">
        <v>2167</v>
      </c>
      <c r="D2329" s="28">
        <v>7612200038278</v>
      </c>
      <c r="E2329" s="29" t="s">
        <v>371</v>
      </c>
      <c r="F2329" s="29" t="s">
        <v>372</v>
      </c>
      <c r="G2329">
        <v>12</v>
      </c>
      <c r="H2329" t="s">
        <v>323</v>
      </c>
      <c r="I2329" t="s">
        <v>45</v>
      </c>
      <c r="J2329" t="s">
        <v>2165</v>
      </c>
      <c r="K2329" t="s">
        <v>285</v>
      </c>
      <c r="L2329" t="s">
        <v>327</v>
      </c>
    </row>
    <row r="2330" spans="1:12">
      <c r="A2330" t="s">
        <v>318</v>
      </c>
      <c r="B2330" t="s">
        <v>2163</v>
      </c>
      <c r="C2330" t="s">
        <v>377</v>
      </c>
      <c r="D2330" s="28">
        <v>7612200038284</v>
      </c>
      <c r="E2330" s="29" t="s">
        <v>371</v>
      </c>
      <c r="F2330" s="29" t="s">
        <v>372</v>
      </c>
      <c r="G2330">
        <v>10</v>
      </c>
      <c r="H2330" t="s">
        <v>323</v>
      </c>
      <c r="I2330" t="s">
        <v>98</v>
      </c>
      <c r="J2330" t="s">
        <v>2165</v>
      </c>
      <c r="K2330" t="s">
        <v>285</v>
      </c>
      <c r="L2330" t="s">
        <v>327</v>
      </c>
    </row>
    <row r="2331" spans="1:12">
      <c r="A2331" t="s">
        <v>318</v>
      </c>
      <c r="B2331" t="s">
        <v>2163</v>
      </c>
      <c r="C2331" t="s">
        <v>1991</v>
      </c>
      <c r="D2331" s="28">
        <v>7612200038297</v>
      </c>
      <c r="E2331" s="29" t="s">
        <v>371</v>
      </c>
      <c r="F2331" s="29" t="s">
        <v>372</v>
      </c>
      <c r="G2331">
        <v>11</v>
      </c>
      <c r="H2331" t="s">
        <v>323</v>
      </c>
      <c r="I2331" t="s">
        <v>45</v>
      </c>
      <c r="J2331" t="s">
        <v>2165</v>
      </c>
      <c r="K2331" t="s">
        <v>285</v>
      </c>
      <c r="L2331" t="s">
        <v>327</v>
      </c>
    </row>
    <row r="2332" spans="1:12">
      <c r="A2332" t="s">
        <v>318</v>
      </c>
      <c r="B2332" t="s">
        <v>2163</v>
      </c>
      <c r="C2332" t="s">
        <v>711</v>
      </c>
      <c r="D2332" s="28">
        <v>7612200038304</v>
      </c>
      <c r="E2332" s="29" t="s">
        <v>371</v>
      </c>
      <c r="F2332" s="29" t="s">
        <v>372</v>
      </c>
      <c r="G2332">
        <v>9</v>
      </c>
      <c r="H2332" t="s">
        <v>323</v>
      </c>
      <c r="I2332" t="s">
        <v>98</v>
      </c>
      <c r="J2332" t="s">
        <v>2165</v>
      </c>
      <c r="K2332" t="s">
        <v>285</v>
      </c>
      <c r="L2332" t="s">
        <v>327</v>
      </c>
    </row>
    <row r="2333" spans="1:12">
      <c r="A2333" t="s">
        <v>318</v>
      </c>
      <c r="B2333" t="s">
        <v>2163</v>
      </c>
      <c r="C2333" t="s">
        <v>2168</v>
      </c>
      <c r="D2333" s="28">
        <v>7612200038610</v>
      </c>
      <c r="E2333" s="29" t="s">
        <v>371</v>
      </c>
      <c r="F2333" s="29" t="s">
        <v>372</v>
      </c>
      <c r="G2333">
        <v>10</v>
      </c>
      <c r="H2333" t="s">
        <v>323</v>
      </c>
      <c r="I2333" t="s">
        <v>98</v>
      </c>
      <c r="J2333" t="s">
        <v>2165</v>
      </c>
      <c r="K2333" t="s">
        <v>285</v>
      </c>
      <c r="L2333" t="s">
        <v>327</v>
      </c>
    </row>
    <row r="2334" spans="1:12">
      <c r="A2334" t="s">
        <v>318</v>
      </c>
      <c r="B2334" t="s">
        <v>2163</v>
      </c>
      <c r="C2334" t="s">
        <v>539</v>
      </c>
      <c r="D2334" s="28">
        <v>7612200038633</v>
      </c>
      <c r="E2334" s="29" t="s">
        <v>371</v>
      </c>
      <c r="F2334" s="29" t="s">
        <v>372</v>
      </c>
      <c r="G2334">
        <v>11</v>
      </c>
      <c r="H2334" t="s">
        <v>323</v>
      </c>
      <c r="I2334" t="s">
        <v>45</v>
      </c>
      <c r="J2334" t="s">
        <v>2165</v>
      </c>
      <c r="K2334" t="s">
        <v>285</v>
      </c>
      <c r="L2334" t="s">
        <v>327</v>
      </c>
    </row>
    <row r="2335" spans="1:12">
      <c r="A2335" t="s">
        <v>318</v>
      </c>
      <c r="B2335" t="s">
        <v>2163</v>
      </c>
      <c r="C2335" t="s">
        <v>2169</v>
      </c>
      <c r="D2335" s="28">
        <v>7612200038718</v>
      </c>
      <c r="E2335" s="29" t="s">
        <v>371</v>
      </c>
      <c r="F2335" s="29" t="s">
        <v>372</v>
      </c>
      <c r="G2335">
        <v>10</v>
      </c>
      <c r="H2335" t="s">
        <v>323</v>
      </c>
      <c r="I2335" t="s">
        <v>98</v>
      </c>
      <c r="J2335" t="s">
        <v>2165</v>
      </c>
      <c r="K2335" t="s">
        <v>285</v>
      </c>
      <c r="L2335" t="s">
        <v>327</v>
      </c>
    </row>
    <row r="2336" spans="1:12">
      <c r="A2336" t="s">
        <v>318</v>
      </c>
      <c r="B2336" t="s">
        <v>2163</v>
      </c>
      <c r="C2336" t="s">
        <v>1182</v>
      </c>
      <c r="D2336" s="28">
        <v>7612200038741</v>
      </c>
      <c r="E2336" s="29" t="s">
        <v>371</v>
      </c>
      <c r="F2336" s="29" t="s">
        <v>372</v>
      </c>
      <c r="G2336">
        <v>10</v>
      </c>
      <c r="H2336" t="s">
        <v>323</v>
      </c>
      <c r="I2336" t="s">
        <v>98</v>
      </c>
      <c r="J2336" t="s">
        <v>2165</v>
      </c>
      <c r="K2336" t="s">
        <v>285</v>
      </c>
      <c r="L2336" t="s">
        <v>327</v>
      </c>
    </row>
    <row r="2337" spans="1:12">
      <c r="A2337" t="s">
        <v>318</v>
      </c>
      <c r="B2337" t="s">
        <v>2163</v>
      </c>
      <c r="C2337" t="s">
        <v>2170</v>
      </c>
      <c r="D2337" s="28">
        <v>7612200038840</v>
      </c>
      <c r="E2337" s="29" t="s">
        <v>371</v>
      </c>
      <c r="F2337" s="29" t="s">
        <v>372</v>
      </c>
      <c r="G2337">
        <v>12</v>
      </c>
      <c r="H2337" t="s">
        <v>323</v>
      </c>
      <c r="I2337" t="s">
        <v>98</v>
      </c>
      <c r="J2337" t="s">
        <v>2165</v>
      </c>
      <c r="K2337" t="s">
        <v>285</v>
      </c>
      <c r="L2337" t="s">
        <v>327</v>
      </c>
    </row>
    <row r="2338" spans="1:12">
      <c r="A2338" t="s">
        <v>318</v>
      </c>
      <c r="B2338" t="s">
        <v>2163</v>
      </c>
      <c r="C2338" t="s">
        <v>2171</v>
      </c>
      <c r="D2338" s="28">
        <v>7612200038860</v>
      </c>
      <c r="E2338" s="29" t="s">
        <v>371</v>
      </c>
      <c r="F2338" s="29" t="s">
        <v>372</v>
      </c>
      <c r="G2338">
        <v>11</v>
      </c>
      <c r="H2338" t="s">
        <v>323</v>
      </c>
      <c r="I2338" t="s">
        <v>98</v>
      </c>
      <c r="J2338" t="s">
        <v>2165</v>
      </c>
      <c r="K2338" t="s">
        <v>285</v>
      </c>
      <c r="L2338" t="s">
        <v>327</v>
      </c>
    </row>
    <row r="2339" spans="1:12">
      <c r="A2339" t="s">
        <v>318</v>
      </c>
      <c r="B2339" t="s">
        <v>2163</v>
      </c>
      <c r="C2339" t="s">
        <v>2172</v>
      </c>
      <c r="D2339" s="28">
        <v>7612200038882</v>
      </c>
      <c r="E2339" s="29" t="s">
        <v>371</v>
      </c>
      <c r="F2339" s="29" t="s">
        <v>372</v>
      </c>
      <c r="G2339">
        <v>10</v>
      </c>
      <c r="H2339" t="s">
        <v>323</v>
      </c>
      <c r="I2339" t="s">
        <v>98</v>
      </c>
      <c r="J2339" t="s">
        <v>2165</v>
      </c>
      <c r="K2339" t="s">
        <v>285</v>
      </c>
      <c r="L2339" t="s">
        <v>327</v>
      </c>
    </row>
    <row r="2340" spans="1:12">
      <c r="A2340" t="s">
        <v>318</v>
      </c>
      <c r="B2340" t="s">
        <v>2163</v>
      </c>
      <c r="C2340" t="s">
        <v>2173</v>
      </c>
      <c r="D2340" s="28">
        <v>7612200038938</v>
      </c>
      <c r="E2340" s="29" t="s">
        <v>371</v>
      </c>
      <c r="F2340" s="29" t="s">
        <v>372</v>
      </c>
      <c r="G2340">
        <v>10</v>
      </c>
      <c r="H2340" t="s">
        <v>323</v>
      </c>
      <c r="I2340" t="s">
        <v>98</v>
      </c>
      <c r="J2340" t="s">
        <v>2165</v>
      </c>
      <c r="K2340" t="s">
        <v>285</v>
      </c>
      <c r="L2340" t="s">
        <v>327</v>
      </c>
    </row>
    <row r="2341" spans="1:12">
      <c r="A2341" t="s">
        <v>318</v>
      </c>
      <c r="B2341" t="s">
        <v>2163</v>
      </c>
      <c r="C2341" t="s">
        <v>1658</v>
      </c>
      <c r="D2341" s="28">
        <v>7612200039017</v>
      </c>
      <c r="E2341" s="29" t="s">
        <v>371</v>
      </c>
      <c r="F2341" s="29" t="s">
        <v>372</v>
      </c>
      <c r="G2341">
        <v>9</v>
      </c>
      <c r="H2341" t="s">
        <v>323</v>
      </c>
      <c r="I2341" t="s">
        <v>98</v>
      </c>
      <c r="J2341" t="s">
        <v>2165</v>
      </c>
      <c r="K2341" t="s">
        <v>285</v>
      </c>
      <c r="L2341" t="s">
        <v>327</v>
      </c>
    </row>
    <row r="2342" spans="1:12">
      <c r="A2342" t="s">
        <v>318</v>
      </c>
      <c r="B2342" t="s">
        <v>2163</v>
      </c>
      <c r="C2342" t="s">
        <v>2174</v>
      </c>
      <c r="D2342" s="28">
        <v>7612200039090</v>
      </c>
      <c r="E2342" s="29" t="s">
        <v>1045</v>
      </c>
      <c r="F2342" s="29" t="s">
        <v>372</v>
      </c>
      <c r="G2342">
        <v>15</v>
      </c>
      <c r="H2342" t="s">
        <v>323</v>
      </c>
      <c r="I2342" t="s">
        <v>45</v>
      </c>
      <c r="J2342" t="s">
        <v>2165</v>
      </c>
      <c r="K2342" t="s">
        <v>285</v>
      </c>
      <c r="L2342" t="s">
        <v>327</v>
      </c>
    </row>
    <row r="2343" spans="1:12">
      <c r="A2343" t="s">
        <v>318</v>
      </c>
      <c r="B2343" t="s">
        <v>2163</v>
      </c>
      <c r="C2343" t="s">
        <v>507</v>
      </c>
      <c r="D2343" s="28">
        <v>7612200039124</v>
      </c>
      <c r="E2343" s="29" t="s">
        <v>371</v>
      </c>
      <c r="F2343" s="29" t="s">
        <v>372</v>
      </c>
      <c r="G2343">
        <v>10</v>
      </c>
      <c r="H2343" t="s">
        <v>323</v>
      </c>
      <c r="I2343" t="s">
        <v>45</v>
      </c>
      <c r="J2343" t="s">
        <v>2165</v>
      </c>
      <c r="K2343" t="s">
        <v>285</v>
      </c>
      <c r="L2343" t="s">
        <v>327</v>
      </c>
    </row>
    <row r="2344" spans="1:12">
      <c r="A2344" t="s">
        <v>318</v>
      </c>
      <c r="B2344" t="s">
        <v>2163</v>
      </c>
      <c r="C2344" t="s">
        <v>2175</v>
      </c>
      <c r="D2344" s="28">
        <v>7612200039177</v>
      </c>
      <c r="E2344" s="29" t="s">
        <v>371</v>
      </c>
      <c r="F2344" s="29" t="s">
        <v>372</v>
      </c>
      <c r="G2344">
        <v>10</v>
      </c>
      <c r="H2344" t="s">
        <v>323</v>
      </c>
      <c r="I2344" t="s">
        <v>45</v>
      </c>
      <c r="J2344" t="s">
        <v>2165</v>
      </c>
      <c r="K2344" t="s">
        <v>285</v>
      </c>
      <c r="L2344" t="s">
        <v>327</v>
      </c>
    </row>
    <row r="2345" spans="1:12">
      <c r="A2345" t="s">
        <v>318</v>
      </c>
      <c r="B2345" t="s">
        <v>2163</v>
      </c>
      <c r="C2345" t="s">
        <v>2176</v>
      </c>
      <c r="D2345" s="28">
        <v>7612200039240</v>
      </c>
      <c r="E2345" s="29" t="s">
        <v>371</v>
      </c>
      <c r="F2345" s="29" t="s">
        <v>372</v>
      </c>
      <c r="G2345">
        <v>11</v>
      </c>
      <c r="H2345" t="s">
        <v>323</v>
      </c>
      <c r="I2345" t="s">
        <v>98</v>
      </c>
      <c r="J2345" t="s">
        <v>2165</v>
      </c>
      <c r="K2345" t="s">
        <v>285</v>
      </c>
      <c r="L2345" t="s">
        <v>327</v>
      </c>
    </row>
    <row r="2346" spans="1:12">
      <c r="A2346" t="s">
        <v>318</v>
      </c>
      <c r="B2346" t="s">
        <v>2163</v>
      </c>
      <c r="C2346" t="s">
        <v>713</v>
      </c>
      <c r="D2346" s="28">
        <v>7612200039324</v>
      </c>
      <c r="E2346" s="29" t="s">
        <v>371</v>
      </c>
      <c r="F2346" s="29" t="s">
        <v>372</v>
      </c>
      <c r="G2346">
        <v>10</v>
      </c>
      <c r="H2346" t="s">
        <v>323</v>
      </c>
      <c r="I2346" t="s">
        <v>98</v>
      </c>
      <c r="J2346" t="s">
        <v>2165</v>
      </c>
      <c r="K2346" t="s">
        <v>285</v>
      </c>
      <c r="L2346" t="s">
        <v>327</v>
      </c>
    </row>
    <row r="2347" spans="1:12">
      <c r="A2347" t="s">
        <v>318</v>
      </c>
      <c r="B2347" t="s">
        <v>2163</v>
      </c>
      <c r="C2347" t="s">
        <v>2177</v>
      </c>
      <c r="D2347" s="28">
        <v>7612200039431</v>
      </c>
      <c r="E2347" s="29" t="s">
        <v>371</v>
      </c>
      <c r="F2347" s="29" t="s">
        <v>372</v>
      </c>
      <c r="G2347">
        <v>8</v>
      </c>
      <c r="H2347" t="s">
        <v>323</v>
      </c>
      <c r="I2347" t="s">
        <v>98</v>
      </c>
      <c r="J2347" t="s">
        <v>68</v>
      </c>
      <c r="K2347" t="s">
        <v>285</v>
      </c>
      <c r="L2347" t="s">
        <v>327</v>
      </c>
    </row>
    <row r="2348" spans="1:12">
      <c r="A2348" t="s">
        <v>318</v>
      </c>
      <c r="B2348" t="s">
        <v>2163</v>
      </c>
      <c r="C2348" t="s">
        <v>2178</v>
      </c>
      <c r="D2348" s="28">
        <v>7612200039454</v>
      </c>
      <c r="E2348" s="29" t="s">
        <v>371</v>
      </c>
      <c r="F2348" s="29" t="s">
        <v>372</v>
      </c>
      <c r="G2348">
        <v>13</v>
      </c>
      <c r="H2348" t="s">
        <v>323</v>
      </c>
      <c r="I2348" t="s">
        <v>98</v>
      </c>
      <c r="J2348" t="s">
        <v>68</v>
      </c>
      <c r="K2348" t="s">
        <v>285</v>
      </c>
      <c r="L2348" t="s">
        <v>327</v>
      </c>
    </row>
    <row r="2349" spans="1:12">
      <c r="A2349" t="s">
        <v>318</v>
      </c>
      <c r="B2349" t="s">
        <v>2163</v>
      </c>
      <c r="C2349" t="s">
        <v>2179</v>
      </c>
      <c r="D2349" s="28">
        <v>7612200039514</v>
      </c>
      <c r="E2349" s="29" t="s">
        <v>371</v>
      </c>
      <c r="F2349" s="29" t="s">
        <v>372</v>
      </c>
      <c r="G2349">
        <v>11</v>
      </c>
      <c r="H2349" t="s">
        <v>323</v>
      </c>
      <c r="I2349" t="s">
        <v>98</v>
      </c>
      <c r="J2349" t="s">
        <v>68</v>
      </c>
      <c r="K2349" t="s">
        <v>285</v>
      </c>
      <c r="L2349" t="s">
        <v>327</v>
      </c>
    </row>
    <row r="2350" spans="1:12">
      <c r="A2350" t="s">
        <v>318</v>
      </c>
      <c r="B2350" t="s">
        <v>2163</v>
      </c>
      <c r="C2350" t="s">
        <v>816</v>
      </c>
      <c r="D2350" s="28">
        <v>7612200039592</v>
      </c>
      <c r="E2350" s="29" t="s">
        <v>371</v>
      </c>
      <c r="F2350" s="29" t="s">
        <v>372</v>
      </c>
      <c r="G2350">
        <v>11</v>
      </c>
      <c r="H2350" t="s">
        <v>323</v>
      </c>
      <c r="I2350" t="s">
        <v>98</v>
      </c>
      <c r="J2350" t="s">
        <v>68</v>
      </c>
      <c r="K2350" t="s">
        <v>285</v>
      </c>
      <c r="L2350" t="s">
        <v>327</v>
      </c>
    </row>
    <row r="2351" spans="1:12">
      <c r="A2351" t="s">
        <v>318</v>
      </c>
      <c r="B2351" t="s">
        <v>2163</v>
      </c>
      <c r="C2351" t="s">
        <v>2180</v>
      </c>
      <c r="D2351" s="28">
        <v>7612200039667</v>
      </c>
      <c r="E2351" s="29" t="s">
        <v>371</v>
      </c>
      <c r="F2351" s="29" t="s">
        <v>372</v>
      </c>
      <c r="G2351">
        <v>11</v>
      </c>
      <c r="H2351" t="s">
        <v>323</v>
      </c>
      <c r="I2351" t="s">
        <v>98</v>
      </c>
      <c r="J2351" t="s">
        <v>68</v>
      </c>
      <c r="K2351" t="s">
        <v>285</v>
      </c>
      <c r="L2351" t="s">
        <v>327</v>
      </c>
    </row>
    <row r="2352" spans="1:12">
      <c r="A2352" t="s">
        <v>318</v>
      </c>
      <c r="B2352" t="s">
        <v>2163</v>
      </c>
      <c r="C2352" t="s">
        <v>2181</v>
      </c>
      <c r="D2352" s="28">
        <v>7612200041330</v>
      </c>
      <c r="E2352" s="29" t="s">
        <v>371</v>
      </c>
      <c r="F2352" s="29" t="s">
        <v>372</v>
      </c>
      <c r="G2352">
        <v>12</v>
      </c>
      <c r="H2352" t="s">
        <v>323</v>
      </c>
      <c r="I2352" t="s">
        <v>98</v>
      </c>
      <c r="J2352" t="s">
        <v>2165</v>
      </c>
      <c r="K2352" t="s">
        <v>285</v>
      </c>
      <c r="L2352" t="s">
        <v>327</v>
      </c>
    </row>
    <row r="2353" spans="1:12">
      <c r="A2353" t="s">
        <v>318</v>
      </c>
      <c r="B2353" t="s">
        <v>2163</v>
      </c>
      <c r="C2353" t="s">
        <v>866</v>
      </c>
      <c r="D2353" s="28">
        <v>7612200041344</v>
      </c>
      <c r="E2353" s="29" t="s">
        <v>371</v>
      </c>
      <c r="F2353" s="29" t="s">
        <v>372</v>
      </c>
      <c r="G2353">
        <v>10</v>
      </c>
      <c r="H2353" t="s">
        <v>323</v>
      </c>
      <c r="I2353" t="s">
        <v>98</v>
      </c>
      <c r="J2353" t="s">
        <v>2165</v>
      </c>
      <c r="K2353" t="s">
        <v>285</v>
      </c>
      <c r="L2353" t="s">
        <v>327</v>
      </c>
    </row>
    <row r="2354" spans="1:12">
      <c r="A2354" t="s">
        <v>318</v>
      </c>
      <c r="B2354" t="s">
        <v>2163</v>
      </c>
      <c r="C2354" t="s">
        <v>2182</v>
      </c>
      <c r="D2354" s="28">
        <v>761221122549</v>
      </c>
      <c r="E2354" s="29" t="s">
        <v>371</v>
      </c>
      <c r="F2354" s="29" t="s">
        <v>372</v>
      </c>
      <c r="G2354">
        <v>12</v>
      </c>
      <c r="H2354" t="s">
        <v>323</v>
      </c>
      <c r="I2354" t="s">
        <v>98</v>
      </c>
      <c r="J2354" t="s">
        <v>2165</v>
      </c>
      <c r="K2354" t="s">
        <v>285</v>
      </c>
      <c r="L2354" t="s">
        <v>327</v>
      </c>
    </row>
    <row r="2355" spans="1:12">
      <c r="A2355" t="s">
        <v>318</v>
      </c>
      <c r="B2355" t="s">
        <v>2163</v>
      </c>
      <c r="C2355" t="s">
        <v>2183</v>
      </c>
      <c r="D2355" s="28">
        <v>7673600035909</v>
      </c>
      <c r="E2355" s="29" t="s">
        <v>1045</v>
      </c>
      <c r="F2355" s="29" t="s">
        <v>372</v>
      </c>
      <c r="G2355">
        <v>8</v>
      </c>
      <c r="H2355" t="s">
        <v>323</v>
      </c>
      <c r="I2355" t="s">
        <v>98</v>
      </c>
      <c r="J2355" t="s">
        <v>68</v>
      </c>
      <c r="K2355" t="s">
        <v>285</v>
      </c>
      <c r="L2355" t="s">
        <v>327</v>
      </c>
    </row>
    <row r="2356" spans="1:12">
      <c r="A2356" t="s">
        <v>318</v>
      </c>
      <c r="B2356" t="s">
        <v>2163</v>
      </c>
      <c r="C2356" t="s">
        <v>1971</v>
      </c>
      <c r="D2356" s="28">
        <v>7673600035914</v>
      </c>
      <c r="E2356" s="29" t="s">
        <v>371</v>
      </c>
      <c r="F2356" s="29" t="s">
        <v>372</v>
      </c>
      <c r="G2356">
        <v>11</v>
      </c>
      <c r="H2356" t="s">
        <v>323</v>
      </c>
      <c r="I2356" t="s">
        <v>45</v>
      </c>
      <c r="J2356" t="s">
        <v>68</v>
      </c>
      <c r="K2356" t="s">
        <v>285</v>
      </c>
      <c r="L2356" t="s">
        <v>327</v>
      </c>
    </row>
    <row r="2357" spans="1:12">
      <c r="A2357" t="s">
        <v>318</v>
      </c>
      <c r="B2357" t="s">
        <v>2163</v>
      </c>
      <c r="C2357" t="s">
        <v>2184</v>
      </c>
      <c r="D2357" s="28">
        <v>7673600035929</v>
      </c>
      <c r="E2357" s="29" t="s">
        <v>371</v>
      </c>
      <c r="F2357" s="29" t="s">
        <v>372</v>
      </c>
      <c r="G2357">
        <v>10</v>
      </c>
      <c r="H2357" t="s">
        <v>323</v>
      </c>
      <c r="I2357" t="s">
        <v>98</v>
      </c>
      <c r="J2357" t="s">
        <v>68</v>
      </c>
      <c r="K2357" t="s">
        <v>285</v>
      </c>
      <c r="L2357" t="s">
        <v>327</v>
      </c>
    </row>
    <row r="2358" spans="1:12">
      <c r="A2358" t="s">
        <v>318</v>
      </c>
      <c r="B2358" t="s">
        <v>2163</v>
      </c>
      <c r="C2358" t="s">
        <v>2185</v>
      </c>
      <c r="D2358" s="28">
        <v>7673600035933</v>
      </c>
      <c r="E2358" s="29" t="s">
        <v>371</v>
      </c>
      <c r="F2358" s="29" t="s">
        <v>372</v>
      </c>
      <c r="G2358">
        <v>7</v>
      </c>
      <c r="H2358" t="s">
        <v>323</v>
      </c>
      <c r="I2358" t="s">
        <v>98</v>
      </c>
      <c r="J2358" t="s">
        <v>68</v>
      </c>
      <c r="K2358" t="s">
        <v>989</v>
      </c>
      <c r="L2358" t="s">
        <v>327</v>
      </c>
    </row>
    <row r="2359" spans="1:12">
      <c r="A2359" t="s">
        <v>318</v>
      </c>
      <c r="B2359" t="s">
        <v>2163</v>
      </c>
      <c r="C2359" t="s">
        <v>389</v>
      </c>
      <c r="D2359" s="28">
        <v>7673600035967</v>
      </c>
      <c r="E2359" s="29" t="s">
        <v>371</v>
      </c>
      <c r="F2359" s="29" t="s">
        <v>372</v>
      </c>
      <c r="G2359">
        <v>9</v>
      </c>
      <c r="H2359" t="s">
        <v>323</v>
      </c>
      <c r="I2359" t="s">
        <v>98</v>
      </c>
      <c r="J2359" t="s">
        <v>68</v>
      </c>
      <c r="K2359" t="s">
        <v>285</v>
      </c>
      <c r="L2359" t="s">
        <v>327</v>
      </c>
    </row>
    <row r="2360" spans="1:12">
      <c r="A2360" t="s">
        <v>318</v>
      </c>
      <c r="B2360" t="s">
        <v>2163</v>
      </c>
      <c r="C2360" t="s">
        <v>2186</v>
      </c>
      <c r="D2360" s="28">
        <v>7673600040338</v>
      </c>
      <c r="E2360" s="29" t="s">
        <v>371</v>
      </c>
      <c r="F2360" s="29" t="s">
        <v>372</v>
      </c>
      <c r="G2360">
        <v>8</v>
      </c>
      <c r="H2360" t="s">
        <v>323</v>
      </c>
      <c r="I2360" t="s">
        <v>98</v>
      </c>
      <c r="J2360" t="s">
        <v>68</v>
      </c>
      <c r="K2360" t="s">
        <v>285</v>
      </c>
      <c r="L2360" t="s">
        <v>327</v>
      </c>
    </row>
    <row r="2361" spans="1:12">
      <c r="A2361" t="s">
        <v>318</v>
      </c>
      <c r="B2361" t="s">
        <v>2163</v>
      </c>
      <c r="C2361" t="s">
        <v>2187</v>
      </c>
      <c r="D2361" s="28">
        <v>7673600040357</v>
      </c>
      <c r="E2361" s="29" t="s">
        <v>371</v>
      </c>
      <c r="F2361" s="29" t="s">
        <v>372</v>
      </c>
      <c r="G2361">
        <v>10</v>
      </c>
      <c r="H2361" t="s">
        <v>323</v>
      </c>
      <c r="I2361" t="s">
        <v>45</v>
      </c>
      <c r="J2361" t="s">
        <v>68</v>
      </c>
      <c r="K2361" t="s">
        <v>285</v>
      </c>
      <c r="L2361" t="s">
        <v>327</v>
      </c>
    </row>
    <row r="2362" spans="1:12">
      <c r="A2362" t="s">
        <v>318</v>
      </c>
      <c r="B2362" t="s">
        <v>2163</v>
      </c>
      <c r="C2362" t="s">
        <v>377</v>
      </c>
      <c r="D2362" s="28">
        <v>7673600040391</v>
      </c>
      <c r="E2362" s="29" t="s">
        <v>371</v>
      </c>
      <c r="F2362" s="29" t="s">
        <v>372</v>
      </c>
      <c r="G2362">
        <v>10</v>
      </c>
      <c r="H2362" t="s">
        <v>323</v>
      </c>
      <c r="I2362" t="s">
        <v>98</v>
      </c>
      <c r="J2362" t="s">
        <v>68</v>
      </c>
      <c r="K2362" t="s">
        <v>285</v>
      </c>
      <c r="L2362" t="s">
        <v>327</v>
      </c>
    </row>
    <row r="2363" spans="1:12">
      <c r="A2363" t="s">
        <v>318</v>
      </c>
      <c r="B2363" t="s">
        <v>2163</v>
      </c>
      <c r="C2363" t="s">
        <v>598</v>
      </c>
      <c r="D2363" s="28">
        <v>7673600040393</v>
      </c>
      <c r="E2363" s="29" t="s">
        <v>371</v>
      </c>
      <c r="F2363" s="29" t="s">
        <v>372</v>
      </c>
      <c r="G2363">
        <v>10</v>
      </c>
      <c r="H2363" t="s">
        <v>323</v>
      </c>
      <c r="I2363" t="s">
        <v>45</v>
      </c>
      <c r="J2363" t="s">
        <v>68</v>
      </c>
      <c r="K2363" t="s">
        <v>285</v>
      </c>
      <c r="L2363" t="s">
        <v>327</v>
      </c>
    </row>
    <row r="2364" spans="1:12">
      <c r="A2364" t="s">
        <v>318</v>
      </c>
      <c r="B2364" t="s">
        <v>2163</v>
      </c>
      <c r="C2364" t="s">
        <v>2188</v>
      </c>
      <c r="D2364" s="28">
        <v>7673600040401</v>
      </c>
      <c r="E2364" s="29" t="s">
        <v>371</v>
      </c>
      <c r="F2364" s="29" t="s">
        <v>372</v>
      </c>
      <c r="G2364">
        <v>12</v>
      </c>
      <c r="H2364" t="s">
        <v>323</v>
      </c>
      <c r="I2364" t="s">
        <v>98</v>
      </c>
      <c r="J2364" t="s">
        <v>68</v>
      </c>
      <c r="K2364" t="s">
        <v>285</v>
      </c>
      <c r="L2364" t="s">
        <v>327</v>
      </c>
    </row>
    <row r="2365" spans="1:12">
      <c r="A2365" t="s">
        <v>318</v>
      </c>
      <c r="B2365" t="s">
        <v>2163</v>
      </c>
      <c r="C2365" t="s">
        <v>2189</v>
      </c>
      <c r="D2365" s="28">
        <v>7673600040966</v>
      </c>
      <c r="E2365" s="29" t="s">
        <v>1045</v>
      </c>
      <c r="F2365" s="29" t="s">
        <v>372</v>
      </c>
      <c r="G2365">
        <v>15</v>
      </c>
      <c r="H2365" t="s">
        <v>323</v>
      </c>
      <c r="I2365" t="s">
        <v>98</v>
      </c>
      <c r="J2365" t="s">
        <v>68</v>
      </c>
      <c r="K2365" t="s">
        <v>285</v>
      </c>
      <c r="L2365" t="s">
        <v>327</v>
      </c>
    </row>
    <row r="2366" spans="1:12">
      <c r="A2366" t="s">
        <v>318</v>
      </c>
      <c r="B2366" t="s">
        <v>2163</v>
      </c>
      <c r="C2366" t="s">
        <v>2190</v>
      </c>
      <c r="D2366" s="28">
        <v>7673600040986</v>
      </c>
      <c r="E2366" s="29" t="s">
        <v>371</v>
      </c>
      <c r="F2366" s="29" t="s">
        <v>372</v>
      </c>
      <c r="G2366">
        <v>12</v>
      </c>
      <c r="H2366" t="s">
        <v>323</v>
      </c>
      <c r="I2366" t="s">
        <v>98</v>
      </c>
      <c r="J2366" t="s">
        <v>68</v>
      </c>
      <c r="K2366" t="s">
        <v>285</v>
      </c>
      <c r="L2366" t="s">
        <v>327</v>
      </c>
    </row>
    <row r="2367" spans="1:12">
      <c r="A2367" t="s">
        <v>318</v>
      </c>
      <c r="B2367" t="s">
        <v>2163</v>
      </c>
      <c r="C2367" t="s">
        <v>2191</v>
      </c>
      <c r="D2367" s="28">
        <v>7673600040999</v>
      </c>
      <c r="E2367" s="29" t="s">
        <v>1045</v>
      </c>
      <c r="F2367" s="29" t="s">
        <v>372</v>
      </c>
      <c r="G2367">
        <v>11</v>
      </c>
      <c r="H2367" t="s">
        <v>323</v>
      </c>
      <c r="I2367" t="s">
        <v>45</v>
      </c>
      <c r="J2367" t="s">
        <v>68</v>
      </c>
      <c r="K2367" t="s">
        <v>285</v>
      </c>
      <c r="L2367" t="s">
        <v>327</v>
      </c>
    </row>
    <row r="2368" spans="1:12">
      <c r="A2368" t="s">
        <v>318</v>
      </c>
      <c r="B2368" t="s">
        <v>2163</v>
      </c>
      <c r="C2368" t="s">
        <v>2192</v>
      </c>
      <c r="D2368" s="28">
        <v>7673600041013</v>
      </c>
      <c r="E2368" s="29" t="s">
        <v>371</v>
      </c>
      <c r="F2368" s="29" t="s">
        <v>372</v>
      </c>
      <c r="G2368">
        <v>13</v>
      </c>
      <c r="H2368" t="s">
        <v>323</v>
      </c>
      <c r="I2368" t="s">
        <v>98</v>
      </c>
      <c r="J2368" t="s">
        <v>68</v>
      </c>
      <c r="K2368" t="s">
        <v>285</v>
      </c>
      <c r="L2368" t="s">
        <v>327</v>
      </c>
    </row>
    <row r="2369" spans="1:12">
      <c r="A2369" t="s">
        <v>318</v>
      </c>
      <c r="B2369" t="s">
        <v>2163</v>
      </c>
      <c r="C2369" t="s">
        <v>2193</v>
      </c>
      <c r="D2369" s="28">
        <v>7673600041053</v>
      </c>
      <c r="E2369" s="29" t="s">
        <v>371</v>
      </c>
      <c r="F2369" s="29" t="s">
        <v>372</v>
      </c>
      <c r="G2369">
        <v>12</v>
      </c>
      <c r="H2369" t="s">
        <v>323</v>
      </c>
      <c r="I2369" t="s">
        <v>98</v>
      </c>
      <c r="J2369" t="s">
        <v>68</v>
      </c>
      <c r="K2369" t="s">
        <v>285</v>
      </c>
      <c r="L2369" t="s">
        <v>327</v>
      </c>
    </row>
    <row r="2370" spans="1:12">
      <c r="A2370" t="s">
        <v>318</v>
      </c>
      <c r="B2370" t="s">
        <v>2163</v>
      </c>
      <c r="C2370" t="s">
        <v>1230</v>
      </c>
      <c r="D2370" s="28">
        <v>7673600041087</v>
      </c>
      <c r="E2370" s="29" t="s">
        <v>371</v>
      </c>
      <c r="F2370" s="29" t="s">
        <v>372</v>
      </c>
      <c r="G2370">
        <v>9</v>
      </c>
      <c r="H2370" t="s">
        <v>323</v>
      </c>
      <c r="I2370" t="s">
        <v>98</v>
      </c>
      <c r="J2370" t="s">
        <v>68</v>
      </c>
      <c r="K2370" t="s">
        <v>285</v>
      </c>
      <c r="L2370" t="s">
        <v>327</v>
      </c>
    </row>
    <row r="2371" spans="1:12">
      <c r="A2371" t="s">
        <v>318</v>
      </c>
      <c r="B2371" t="s">
        <v>2163</v>
      </c>
      <c r="C2371" t="s">
        <v>2194</v>
      </c>
      <c r="D2371" s="28">
        <v>7673600041158</v>
      </c>
      <c r="E2371" s="29" t="s">
        <v>1045</v>
      </c>
      <c r="F2371" s="29" t="s">
        <v>372</v>
      </c>
      <c r="G2371">
        <v>10</v>
      </c>
      <c r="H2371" t="s">
        <v>323</v>
      </c>
      <c r="I2371" t="s">
        <v>98</v>
      </c>
      <c r="J2371" t="s">
        <v>68</v>
      </c>
      <c r="K2371" t="s">
        <v>285</v>
      </c>
      <c r="L2371" t="s">
        <v>327</v>
      </c>
    </row>
    <row r="2372" spans="1:12">
      <c r="A2372" t="s">
        <v>318</v>
      </c>
      <c r="B2372" t="s">
        <v>2163</v>
      </c>
      <c r="C2372" t="s">
        <v>2195</v>
      </c>
      <c r="D2372" s="28">
        <v>7673600041188</v>
      </c>
      <c r="E2372" s="29" t="s">
        <v>371</v>
      </c>
      <c r="F2372" s="29" t="s">
        <v>372</v>
      </c>
      <c r="G2372">
        <v>9</v>
      </c>
      <c r="H2372" t="s">
        <v>323</v>
      </c>
      <c r="I2372" t="s">
        <v>98</v>
      </c>
      <c r="J2372" t="s">
        <v>68</v>
      </c>
      <c r="K2372" t="s">
        <v>285</v>
      </c>
      <c r="L2372" t="s">
        <v>327</v>
      </c>
    </row>
    <row r="2373" spans="1:12">
      <c r="A2373" t="s">
        <v>318</v>
      </c>
      <c r="B2373" t="s">
        <v>2163</v>
      </c>
      <c r="C2373" t="s">
        <v>2196</v>
      </c>
      <c r="D2373" s="28">
        <v>7673600041211</v>
      </c>
      <c r="E2373" s="29" t="s">
        <v>371</v>
      </c>
      <c r="F2373" s="29" t="s">
        <v>372</v>
      </c>
      <c r="G2373">
        <v>13</v>
      </c>
      <c r="H2373" t="s">
        <v>323</v>
      </c>
      <c r="I2373" t="s">
        <v>45</v>
      </c>
      <c r="J2373" t="s">
        <v>68</v>
      </c>
      <c r="K2373" t="s">
        <v>285</v>
      </c>
      <c r="L2373" t="s">
        <v>327</v>
      </c>
    </row>
    <row r="2374" spans="1:12">
      <c r="A2374" t="s">
        <v>318</v>
      </c>
      <c r="B2374" t="s">
        <v>2163</v>
      </c>
      <c r="C2374" t="s">
        <v>2071</v>
      </c>
      <c r="D2374" s="28">
        <v>7673600041292</v>
      </c>
      <c r="E2374" s="29" t="s">
        <v>371</v>
      </c>
      <c r="F2374" s="29" t="s">
        <v>372</v>
      </c>
      <c r="G2374">
        <v>8</v>
      </c>
      <c r="H2374" t="s">
        <v>323</v>
      </c>
      <c r="I2374" t="s">
        <v>98</v>
      </c>
      <c r="J2374" t="s">
        <v>68</v>
      </c>
      <c r="K2374" t="s">
        <v>285</v>
      </c>
      <c r="L2374" t="s">
        <v>327</v>
      </c>
    </row>
    <row r="2375" spans="1:12">
      <c r="A2375" t="s">
        <v>318</v>
      </c>
      <c r="B2375" t="s">
        <v>2163</v>
      </c>
      <c r="C2375" t="s">
        <v>1227</v>
      </c>
      <c r="D2375" s="28">
        <v>7673600110159</v>
      </c>
      <c r="E2375" s="29" t="s">
        <v>371</v>
      </c>
      <c r="F2375" s="29" t="s">
        <v>372</v>
      </c>
      <c r="G2375">
        <v>13</v>
      </c>
      <c r="H2375" t="s">
        <v>323</v>
      </c>
      <c r="I2375" t="s">
        <v>98</v>
      </c>
      <c r="J2375" t="s">
        <v>68</v>
      </c>
      <c r="K2375" t="s">
        <v>285</v>
      </c>
      <c r="L2375" t="s">
        <v>327</v>
      </c>
    </row>
    <row r="2376" spans="1:12">
      <c r="A2376" t="s">
        <v>318</v>
      </c>
      <c r="B2376" t="s">
        <v>2163</v>
      </c>
      <c r="C2376" t="s">
        <v>2197</v>
      </c>
      <c r="D2376" s="28">
        <v>7673600121637</v>
      </c>
      <c r="E2376" s="29" t="s">
        <v>1045</v>
      </c>
      <c r="F2376" s="29" t="s">
        <v>372</v>
      </c>
      <c r="G2376">
        <v>11</v>
      </c>
      <c r="H2376" t="s">
        <v>323</v>
      </c>
      <c r="I2376" t="s">
        <v>98</v>
      </c>
      <c r="J2376" t="s">
        <v>68</v>
      </c>
      <c r="K2376" t="s">
        <v>285</v>
      </c>
      <c r="L2376" t="s">
        <v>327</v>
      </c>
    </row>
    <row r="2377" spans="1:12">
      <c r="A2377" t="s">
        <v>318</v>
      </c>
      <c r="B2377" t="s">
        <v>2163</v>
      </c>
      <c r="C2377" t="s">
        <v>2198</v>
      </c>
      <c r="D2377" s="28">
        <v>7673600121638</v>
      </c>
      <c r="E2377" s="29" t="s">
        <v>1045</v>
      </c>
      <c r="F2377" s="29" t="s">
        <v>372</v>
      </c>
      <c r="G2377">
        <v>14</v>
      </c>
      <c r="H2377" t="s">
        <v>323</v>
      </c>
      <c r="I2377" t="s">
        <v>98</v>
      </c>
      <c r="J2377" t="s">
        <v>68</v>
      </c>
      <c r="K2377" t="s">
        <v>285</v>
      </c>
      <c r="L2377" t="s">
        <v>327</v>
      </c>
    </row>
    <row r="2378" spans="1:12">
      <c r="A2378" t="s">
        <v>318</v>
      </c>
      <c r="B2378" t="s">
        <v>2163</v>
      </c>
      <c r="C2378" t="s">
        <v>2199</v>
      </c>
      <c r="D2378" s="28">
        <v>7612200138760</v>
      </c>
      <c r="E2378" s="29" t="s">
        <v>393</v>
      </c>
      <c r="F2378" s="29" t="s">
        <v>372</v>
      </c>
      <c r="G2378">
        <v>16</v>
      </c>
      <c r="H2378" t="s">
        <v>323</v>
      </c>
      <c r="I2378" t="s">
        <v>98</v>
      </c>
      <c r="J2378" t="s">
        <v>2165</v>
      </c>
      <c r="K2378" t="s">
        <v>394</v>
      </c>
      <c r="L2378" t="s">
        <v>327</v>
      </c>
    </row>
    <row r="2379" spans="1:12">
      <c r="A2379" t="s">
        <v>318</v>
      </c>
      <c r="B2379" t="s">
        <v>2163</v>
      </c>
      <c r="C2379" t="s">
        <v>2200</v>
      </c>
      <c r="D2379" s="28">
        <v>7612200138768</v>
      </c>
      <c r="E2379" s="29" t="s">
        <v>393</v>
      </c>
      <c r="F2379" s="29" t="s">
        <v>372</v>
      </c>
      <c r="G2379">
        <v>12</v>
      </c>
      <c r="H2379" t="s">
        <v>323</v>
      </c>
      <c r="I2379" t="s">
        <v>45</v>
      </c>
      <c r="J2379" t="s">
        <v>2165</v>
      </c>
      <c r="K2379" t="s">
        <v>394</v>
      </c>
      <c r="L2379" t="s">
        <v>327</v>
      </c>
    </row>
    <row r="2380" spans="1:12">
      <c r="A2380" t="s">
        <v>318</v>
      </c>
      <c r="B2380" t="s">
        <v>2163</v>
      </c>
      <c r="C2380" t="s">
        <v>2201</v>
      </c>
      <c r="D2380" s="28">
        <v>7612200138790</v>
      </c>
      <c r="E2380" s="29" t="s">
        <v>393</v>
      </c>
      <c r="F2380" s="29" t="s">
        <v>372</v>
      </c>
      <c r="G2380">
        <v>6</v>
      </c>
      <c r="H2380" t="s">
        <v>323</v>
      </c>
      <c r="I2380" t="s">
        <v>45</v>
      </c>
      <c r="J2380" t="s">
        <v>2165</v>
      </c>
      <c r="K2380" t="s">
        <v>394</v>
      </c>
      <c r="L2380" t="s">
        <v>327</v>
      </c>
    </row>
    <row r="2381" spans="1:12">
      <c r="A2381" t="s">
        <v>318</v>
      </c>
      <c r="B2381" t="s">
        <v>2163</v>
      </c>
      <c r="C2381" t="s">
        <v>2202</v>
      </c>
      <c r="D2381" s="28">
        <v>7612200138805</v>
      </c>
      <c r="E2381" s="29" t="s">
        <v>393</v>
      </c>
      <c r="F2381" s="29" t="s">
        <v>372</v>
      </c>
      <c r="G2381">
        <v>19</v>
      </c>
      <c r="H2381" t="s">
        <v>323</v>
      </c>
      <c r="I2381" t="s">
        <v>45</v>
      </c>
      <c r="J2381" t="s">
        <v>2165</v>
      </c>
      <c r="K2381" t="s">
        <v>394</v>
      </c>
      <c r="L2381" t="s">
        <v>327</v>
      </c>
    </row>
    <row r="2382" spans="1:12">
      <c r="A2382" t="s">
        <v>318</v>
      </c>
      <c r="B2382" t="s">
        <v>2163</v>
      </c>
      <c r="C2382" t="s">
        <v>1658</v>
      </c>
      <c r="D2382" s="28">
        <v>7612200138810</v>
      </c>
      <c r="E2382" s="29" t="s">
        <v>393</v>
      </c>
      <c r="F2382" s="29" t="s">
        <v>372</v>
      </c>
      <c r="G2382">
        <v>19</v>
      </c>
      <c r="H2382" t="s">
        <v>323</v>
      </c>
      <c r="I2382" t="s">
        <v>45</v>
      </c>
      <c r="J2382" t="s">
        <v>2165</v>
      </c>
      <c r="K2382" t="s">
        <v>394</v>
      </c>
      <c r="L2382" t="s">
        <v>327</v>
      </c>
    </row>
    <row r="2383" spans="1:12">
      <c r="A2383" t="s">
        <v>318</v>
      </c>
      <c r="B2383" t="s">
        <v>2163</v>
      </c>
      <c r="C2383" t="s">
        <v>2203</v>
      </c>
      <c r="D2383" s="28">
        <v>761221129235</v>
      </c>
      <c r="E2383" s="29" t="s">
        <v>393</v>
      </c>
      <c r="F2383" s="29" t="s">
        <v>372</v>
      </c>
      <c r="G2383">
        <v>12</v>
      </c>
      <c r="H2383" t="s">
        <v>323</v>
      </c>
      <c r="I2383" t="s">
        <v>45</v>
      </c>
      <c r="J2383" t="s">
        <v>2165</v>
      </c>
      <c r="K2383" t="s">
        <v>394</v>
      </c>
      <c r="L2383" t="s">
        <v>327</v>
      </c>
    </row>
    <row r="2384" spans="1:12">
      <c r="A2384" t="s">
        <v>318</v>
      </c>
      <c r="B2384" t="s">
        <v>2163</v>
      </c>
      <c r="C2384" t="s">
        <v>2204</v>
      </c>
      <c r="D2384" s="28">
        <v>761221129237</v>
      </c>
      <c r="E2384" s="29" t="s">
        <v>393</v>
      </c>
      <c r="F2384" s="29" t="s">
        <v>372</v>
      </c>
      <c r="G2384">
        <v>11</v>
      </c>
      <c r="H2384" t="s">
        <v>323</v>
      </c>
      <c r="I2384" t="s">
        <v>45</v>
      </c>
      <c r="J2384" t="s">
        <v>2165</v>
      </c>
      <c r="K2384" t="s">
        <v>394</v>
      </c>
      <c r="L2384" t="s">
        <v>327</v>
      </c>
    </row>
    <row r="2385" spans="1:12">
      <c r="A2385" t="s">
        <v>318</v>
      </c>
      <c r="B2385" t="s">
        <v>2163</v>
      </c>
      <c r="C2385" t="s">
        <v>2205</v>
      </c>
      <c r="D2385" s="28">
        <v>761221129239</v>
      </c>
      <c r="E2385" s="29" t="s">
        <v>393</v>
      </c>
      <c r="F2385" s="29" t="s">
        <v>372</v>
      </c>
      <c r="G2385">
        <v>9</v>
      </c>
      <c r="H2385" t="s">
        <v>323</v>
      </c>
      <c r="I2385" t="s">
        <v>45</v>
      </c>
      <c r="J2385" t="s">
        <v>2165</v>
      </c>
      <c r="K2385" t="s">
        <v>394</v>
      </c>
      <c r="L2385" t="s">
        <v>327</v>
      </c>
    </row>
    <row r="2386" spans="1:12">
      <c r="A2386" t="s">
        <v>318</v>
      </c>
      <c r="B2386" t="s">
        <v>2163</v>
      </c>
      <c r="C2386" t="s">
        <v>2206</v>
      </c>
      <c r="D2386" s="28">
        <v>761221129243</v>
      </c>
      <c r="E2386" s="29" t="s">
        <v>393</v>
      </c>
      <c r="F2386" s="29" t="s">
        <v>372</v>
      </c>
      <c r="G2386">
        <v>19</v>
      </c>
      <c r="H2386" t="s">
        <v>323</v>
      </c>
      <c r="I2386" t="s">
        <v>45</v>
      </c>
      <c r="J2386" t="s">
        <v>2165</v>
      </c>
      <c r="K2386" t="s">
        <v>394</v>
      </c>
      <c r="L2386" t="s">
        <v>327</v>
      </c>
    </row>
    <row r="2387" spans="1:12">
      <c r="A2387" t="s">
        <v>318</v>
      </c>
      <c r="B2387" t="s">
        <v>2163</v>
      </c>
      <c r="C2387" t="s">
        <v>2207</v>
      </c>
      <c r="D2387" s="28">
        <v>761221129247</v>
      </c>
      <c r="E2387" s="29" t="s">
        <v>393</v>
      </c>
      <c r="F2387" s="29" t="s">
        <v>372</v>
      </c>
      <c r="G2387">
        <v>5</v>
      </c>
      <c r="H2387" t="s">
        <v>323</v>
      </c>
      <c r="I2387" t="s">
        <v>45</v>
      </c>
      <c r="J2387" t="s">
        <v>2165</v>
      </c>
      <c r="K2387" t="s">
        <v>394</v>
      </c>
      <c r="L2387" t="s">
        <v>327</v>
      </c>
    </row>
    <row r="2388" spans="1:12">
      <c r="A2388" t="s">
        <v>318</v>
      </c>
      <c r="B2388" t="s">
        <v>2163</v>
      </c>
      <c r="C2388" t="s">
        <v>2208</v>
      </c>
      <c r="D2388" s="28">
        <v>761221129249</v>
      </c>
      <c r="E2388" s="29" t="s">
        <v>393</v>
      </c>
      <c r="F2388" s="29" t="s">
        <v>372</v>
      </c>
      <c r="G2388">
        <v>16</v>
      </c>
      <c r="H2388" t="s">
        <v>323</v>
      </c>
      <c r="I2388" t="s">
        <v>98</v>
      </c>
      <c r="J2388" t="s">
        <v>2165</v>
      </c>
      <c r="K2388" t="s">
        <v>394</v>
      </c>
      <c r="L2388" t="s">
        <v>327</v>
      </c>
    </row>
    <row r="2389" spans="1:12">
      <c r="A2389" t="s">
        <v>318</v>
      </c>
      <c r="B2389" t="s">
        <v>2163</v>
      </c>
      <c r="C2389" t="s">
        <v>2209</v>
      </c>
      <c r="D2389" s="28">
        <v>761221129262</v>
      </c>
      <c r="E2389" s="29" t="s">
        <v>393</v>
      </c>
      <c r="F2389" s="29" t="s">
        <v>372</v>
      </c>
      <c r="G2389">
        <v>18</v>
      </c>
      <c r="H2389" t="s">
        <v>323</v>
      </c>
      <c r="I2389" t="s">
        <v>98</v>
      </c>
      <c r="J2389" t="s">
        <v>2165</v>
      </c>
      <c r="K2389" t="s">
        <v>394</v>
      </c>
      <c r="L2389" t="s">
        <v>327</v>
      </c>
    </row>
    <row r="2390" spans="1:12">
      <c r="A2390" t="s">
        <v>318</v>
      </c>
      <c r="B2390" t="s">
        <v>2163</v>
      </c>
      <c r="C2390" t="s">
        <v>2210</v>
      </c>
      <c r="D2390" s="28">
        <v>761221143489</v>
      </c>
      <c r="E2390" s="29" t="s">
        <v>393</v>
      </c>
      <c r="F2390" s="29" t="s">
        <v>372</v>
      </c>
      <c r="G2390">
        <v>16</v>
      </c>
      <c r="H2390" t="s">
        <v>323</v>
      </c>
      <c r="I2390" t="s">
        <v>98</v>
      </c>
      <c r="J2390" t="s">
        <v>2165</v>
      </c>
      <c r="K2390" t="s">
        <v>394</v>
      </c>
      <c r="L2390" t="s">
        <v>327</v>
      </c>
    </row>
    <row r="2391" spans="1:12">
      <c r="A2391" t="s">
        <v>318</v>
      </c>
      <c r="B2391" t="s">
        <v>2163</v>
      </c>
      <c r="C2391" t="s">
        <v>2211</v>
      </c>
      <c r="D2391" s="28">
        <v>761221143492</v>
      </c>
      <c r="E2391" s="29" t="s">
        <v>393</v>
      </c>
      <c r="F2391" s="29" t="s">
        <v>372</v>
      </c>
      <c r="G2391">
        <v>20</v>
      </c>
      <c r="H2391" t="s">
        <v>323</v>
      </c>
      <c r="I2391" t="s">
        <v>45</v>
      </c>
      <c r="J2391" t="s">
        <v>2165</v>
      </c>
      <c r="K2391" t="s">
        <v>394</v>
      </c>
      <c r="L2391" t="s">
        <v>327</v>
      </c>
    </row>
    <row r="2392" spans="1:12">
      <c r="A2392" t="s">
        <v>318</v>
      </c>
      <c r="B2392" t="s">
        <v>2163</v>
      </c>
      <c r="C2392" t="s">
        <v>2212</v>
      </c>
      <c r="D2392" s="28">
        <v>7673600138597</v>
      </c>
      <c r="E2392" s="29" t="s">
        <v>393</v>
      </c>
      <c r="F2392" s="29" t="s">
        <v>372</v>
      </c>
      <c r="G2392">
        <v>13</v>
      </c>
      <c r="H2392" t="s">
        <v>323</v>
      </c>
      <c r="I2392" t="s">
        <v>98</v>
      </c>
      <c r="J2392" t="s">
        <v>68</v>
      </c>
      <c r="K2392" t="s">
        <v>394</v>
      </c>
      <c r="L2392" t="s">
        <v>327</v>
      </c>
    </row>
    <row r="2393" spans="1:12">
      <c r="A2393" t="s">
        <v>318</v>
      </c>
      <c r="B2393" t="s">
        <v>2163</v>
      </c>
      <c r="C2393" t="s">
        <v>2213</v>
      </c>
      <c r="D2393" s="28">
        <v>7673600138601</v>
      </c>
      <c r="E2393" s="29" t="s">
        <v>393</v>
      </c>
      <c r="F2393" s="29" t="s">
        <v>372</v>
      </c>
      <c r="G2393">
        <v>7</v>
      </c>
      <c r="H2393" t="s">
        <v>323</v>
      </c>
      <c r="I2393" t="s">
        <v>45</v>
      </c>
      <c r="J2393" t="s">
        <v>68</v>
      </c>
      <c r="K2393" t="s">
        <v>394</v>
      </c>
      <c r="L2393" t="s">
        <v>327</v>
      </c>
    </row>
    <row r="2394" spans="1:12">
      <c r="A2394" t="s">
        <v>318</v>
      </c>
      <c r="B2394" t="s">
        <v>2163</v>
      </c>
      <c r="C2394" t="s">
        <v>2214</v>
      </c>
      <c r="D2394" s="28">
        <v>7673600138708</v>
      </c>
      <c r="E2394" s="29" t="s">
        <v>393</v>
      </c>
      <c r="F2394" s="29" t="s">
        <v>372</v>
      </c>
      <c r="G2394">
        <v>36</v>
      </c>
      <c r="H2394" t="s">
        <v>323</v>
      </c>
      <c r="I2394" t="s">
        <v>45</v>
      </c>
      <c r="J2394" t="s">
        <v>68</v>
      </c>
      <c r="K2394" t="s">
        <v>394</v>
      </c>
      <c r="L2394" t="s">
        <v>327</v>
      </c>
    </row>
    <row r="2395" spans="1:12">
      <c r="A2395" t="s">
        <v>318</v>
      </c>
      <c r="B2395" t="s">
        <v>2163</v>
      </c>
      <c r="C2395" t="s">
        <v>2215</v>
      </c>
      <c r="D2395" s="28">
        <v>767361111883</v>
      </c>
      <c r="E2395" s="29" t="s">
        <v>393</v>
      </c>
      <c r="F2395" s="29" t="s">
        <v>372</v>
      </c>
      <c r="G2395">
        <v>10</v>
      </c>
      <c r="H2395" t="s">
        <v>323</v>
      </c>
      <c r="I2395" t="s">
        <v>45</v>
      </c>
      <c r="J2395" t="s">
        <v>68</v>
      </c>
      <c r="K2395" t="s">
        <v>394</v>
      </c>
      <c r="L2395" t="s">
        <v>327</v>
      </c>
    </row>
    <row r="2396" spans="1:12">
      <c r="A2396" t="s">
        <v>318</v>
      </c>
      <c r="B2396" t="s">
        <v>2163</v>
      </c>
      <c r="C2396" t="s">
        <v>2216</v>
      </c>
      <c r="D2396" s="28">
        <v>767361111889</v>
      </c>
      <c r="E2396" s="29" t="s">
        <v>393</v>
      </c>
      <c r="F2396" s="29" t="s">
        <v>372</v>
      </c>
      <c r="G2396">
        <v>6</v>
      </c>
      <c r="H2396" t="s">
        <v>323</v>
      </c>
      <c r="I2396" t="s">
        <v>45</v>
      </c>
      <c r="J2396" t="s">
        <v>68</v>
      </c>
      <c r="K2396" t="s">
        <v>394</v>
      </c>
      <c r="L2396" t="s">
        <v>327</v>
      </c>
    </row>
    <row r="2397" spans="1:12">
      <c r="A2397" t="s">
        <v>318</v>
      </c>
      <c r="B2397" t="s">
        <v>2163</v>
      </c>
      <c r="C2397" t="s">
        <v>527</v>
      </c>
      <c r="D2397" s="28">
        <v>767361114009</v>
      </c>
      <c r="E2397" s="29" t="s">
        <v>393</v>
      </c>
      <c r="F2397" s="29" t="s">
        <v>372</v>
      </c>
      <c r="G2397">
        <v>36</v>
      </c>
      <c r="H2397" t="s">
        <v>323</v>
      </c>
      <c r="I2397" t="s">
        <v>98</v>
      </c>
      <c r="J2397" t="s">
        <v>68</v>
      </c>
      <c r="K2397" t="s">
        <v>394</v>
      </c>
      <c r="L2397" t="s">
        <v>327</v>
      </c>
    </row>
    <row r="2398" spans="1:12">
      <c r="A2398" t="s">
        <v>318</v>
      </c>
      <c r="B2398" t="s">
        <v>2163</v>
      </c>
      <c r="C2398" t="s">
        <v>2217</v>
      </c>
      <c r="D2398" s="28">
        <v>767361114012</v>
      </c>
      <c r="E2398" s="29" t="s">
        <v>393</v>
      </c>
      <c r="F2398" s="29" t="s">
        <v>372</v>
      </c>
      <c r="G2398">
        <v>36</v>
      </c>
      <c r="H2398" t="s">
        <v>323</v>
      </c>
      <c r="I2398" t="s">
        <v>98</v>
      </c>
      <c r="J2398" t="s">
        <v>68</v>
      </c>
      <c r="K2398" t="s">
        <v>394</v>
      </c>
      <c r="L2398" t="s">
        <v>327</v>
      </c>
    </row>
    <row r="2399" spans="1:12">
      <c r="A2399" t="s">
        <v>318</v>
      </c>
      <c r="B2399" t="s">
        <v>2163</v>
      </c>
      <c r="C2399" t="s">
        <v>2218</v>
      </c>
      <c r="D2399" s="28">
        <v>767361128476</v>
      </c>
      <c r="E2399" s="29" t="s">
        <v>393</v>
      </c>
      <c r="F2399" s="29" t="s">
        <v>372</v>
      </c>
      <c r="G2399">
        <v>8</v>
      </c>
      <c r="H2399" t="s">
        <v>323</v>
      </c>
      <c r="I2399" t="s">
        <v>98</v>
      </c>
      <c r="J2399" t="s">
        <v>68</v>
      </c>
      <c r="K2399" t="s">
        <v>365</v>
      </c>
      <c r="L2399" t="s">
        <v>327</v>
      </c>
    </row>
    <row r="2400" spans="1:12">
      <c r="A2400" t="s">
        <v>318</v>
      </c>
      <c r="B2400" t="s">
        <v>2163</v>
      </c>
      <c r="C2400" t="s">
        <v>2219</v>
      </c>
      <c r="D2400" s="28">
        <v>767361128481</v>
      </c>
      <c r="E2400" s="29" t="s">
        <v>393</v>
      </c>
      <c r="F2400" s="29" t="s">
        <v>372</v>
      </c>
      <c r="G2400">
        <v>8</v>
      </c>
      <c r="H2400" t="s">
        <v>323</v>
      </c>
      <c r="I2400" t="s">
        <v>98</v>
      </c>
      <c r="J2400" t="s">
        <v>68</v>
      </c>
      <c r="K2400" t="s">
        <v>394</v>
      </c>
      <c r="L2400" t="s">
        <v>327</v>
      </c>
    </row>
    <row r="2401" spans="1:12">
      <c r="A2401" t="s">
        <v>318</v>
      </c>
      <c r="B2401" t="s">
        <v>2163</v>
      </c>
      <c r="C2401" t="s">
        <v>2220</v>
      </c>
      <c r="D2401" s="28">
        <v>767361128483</v>
      </c>
      <c r="E2401" s="29" t="s">
        <v>393</v>
      </c>
      <c r="F2401" s="29" t="s">
        <v>372</v>
      </c>
      <c r="G2401">
        <v>8</v>
      </c>
      <c r="H2401" t="s">
        <v>323</v>
      </c>
      <c r="I2401" t="s">
        <v>45</v>
      </c>
      <c r="J2401" t="s">
        <v>68</v>
      </c>
      <c r="K2401" t="s">
        <v>394</v>
      </c>
      <c r="L2401" t="s">
        <v>327</v>
      </c>
    </row>
    <row r="2402" spans="1:12">
      <c r="A2402" t="s">
        <v>318</v>
      </c>
      <c r="B2402" t="s">
        <v>2163</v>
      </c>
      <c r="C2402" t="s">
        <v>2221</v>
      </c>
      <c r="D2402" s="28">
        <v>767361128490</v>
      </c>
      <c r="E2402" s="29" t="s">
        <v>393</v>
      </c>
      <c r="F2402" s="29" t="s">
        <v>372</v>
      </c>
      <c r="G2402">
        <v>15</v>
      </c>
      <c r="H2402" t="s">
        <v>323</v>
      </c>
      <c r="I2402" t="s">
        <v>98</v>
      </c>
      <c r="J2402" t="s">
        <v>68</v>
      </c>
      <c r="K2402" t="s">
        <v>394</v>
      </c>
      <c r="L2402" t="s">
        <v>327</v>
      </c>
    </row>
    <row r="2403" spans="1:12">
      <c r="A2403" t="s">
        <v>318</v>
      </c>
      <c r="B2403" t="s">
        <v>2163</v>
      </c>
      <c r="C2403" t="s">
        <v>2222</v>
      </c>
      <c r="D2403" s="28">
        <v>767361128493</v>
      </c>
      <c r="E2403" s="29" t="s">
        <v>393</v>
      </c>
      <c r="F2403" s="29" t="s">
        <v>372</v>
      </c>
      <c r="G2403">
        <v>10</v>
      </c>
      <c r="H2403" t="s">
        <v>323</v>
      </c>
      <c r="I2403" t="s">
        <v>45</v>
      </c>
      <c r="J2403" t="s">
        <v>68</v>
      </c>
      <c r="K2403" t="s">
        <v>394</v>
      </c>
      <c r="L2403" t="s">
        <v>327</v>
      </c>
    </row>
    <row r="2404" spans="1:12">
      <c r="A2404" t="s">
        <v>318</v>
      </c>
      <c r="B2404" t="s">
        <v>2163</v>
      </c>
      <c r="C2404" t="s">
        <v>2223</v>
      </c>
      <c r="D2404" s="28">
        <v>767361128495</v>
      </c>
      <c r="E2404" s="29" t="s">
        <v>393</v>
      </c>
      <c r="F2404" s="29" t="s">
        <v>372</v>
      </c>
      <c r="G2404">
        <v>11</v>
      </c>
      <c r="H2404" t="s">
        <v>323</v>
      </c>
      <c r="I2404" t="s">
        <v>45</v>
      </c>
      <c r="J2404" t="s">
        <v>68</v>
      </c>
      <c r="K2404" t="s">
        <v>394</v>
      </c>
      <c r="L2404" t="s">
        <v>327</v>
      </c>
    </row>
    <row r="2405" spans="1:12">
      <c r="A2405" t="s">
        <v>318</v>
      </c>
      <c r="B2405" t="s">
        <v>2163</v>
      </c>
      <c r="C2405" t="s">
        <v>2224</v>
      </c>
      <c r="D2405" s="28">
        <v>767361128546</v>
      </c>
      <c r="E2405" s="29" t="s">
        <v>393</v>
      </c>
      <c r="F2405" s="29" t="s">
        <v>372</v>
      </c>
      <c r="G2405">
        <v>35</v>
      </c>
      <c r="H2405" t="s">
        <v>323</v>
      </c>
      <c r="I2405" t="s">
        <v>98</v>
      </c>
      <c r="J2405" t="s">
        <v>68</v>
      </c>
      <c r="K2405" t="s">
        <v>394</v>
      </c>
      <c r="L2405" t="s">
        <v>327</v>
      </c>
    </row>
    <row r="2406" spans="1:12">
      <c r="A2406" t="s">
        <v>318</v>
      </c>
      <c r="B2406" t="s">
        <v>2163</v>
      </c>
      <c r="C2406" t="s">
        <v>2225</v>
      </c>
      <c r="D2406" s="28">
        <v>767361128557</v>
      </c>
      <c r="E2406" s="29" t="s">
        <v>393</v>
      </c>
      <c r="F2406" s="29" t="s">
        <v>372</v>
      </c>
      <c r="G2406">
        <v>32</v>
      </c>
      <c r="H2406" t="s">
        <v>323</v>
      </c>
      <c r="I2406" t="s">
        <v>98</v>
      </c>
      <c r="J2406" t="s">
        <v>68</v>
      </c>
      <c r="K2406" t="s">
        <v>394</v>
      </c>
      <c r="L2406" t="s">
        <v>327</v>
      </c>
    </row>
    <row r="2407" spans="1:12">
      <c r="A2407" t="s">
        <v>318</v>
      </c>
      <c r="B2407" t="s">
        <v>2163</v>
      </c>
      <c r="C2407" t="s">
        <v>2226</v>
      </c>
      <c r="D2407" s="28">
        <v>7673600020041</v>
      </c>
      <c r="E2407" s="29" t="s">
        <v>987</v>
      </c>
      <c r="F2407" s="29" t="s">
        <v>364</v>
      </c>
      <c r="G2407">
        <v>265</v>
      </c>
      <c r="H2407" t="s">
        <v>323</v>
      </c>
      <c r="I2407" t="s">
        <v>45</v>
      </c>
      <c r="J2407" t="s">
        <v>68</v>
      </c>
      <c r="K2407" t="s">
        <v>337</v>
      </c>
      <c r="L2407" t="s">
        <v>1090</v>
      </c>
    </row>
    <row r="2408" spans="1:12">
      <c r="A2408" t="s">
        <v>318</v>
      </c>
      <c r="B2408" t="s">
        <v>2163</v>
      </c>
      <c r="C2408" t="s">
        <v>2227</v>
      </c>
      <c r="D2408" s="28">
        <v>7612200027931</v>
      </c>
      <c r="E2408" s="29" t="s">
        <v>987</v>
      </c>
      <c r="F2408" s="29" t="s">
        <v>364</v>
      </c>
      <c r="G2408">
        <v>145</v>
      </c>
      <c r="H2408" t="s">
        <v>323</v>
      </c>
      <c r="I2408" t="s">
        <v>45</v>
      </c>
      <c r="J2408" t="s">
        <v>2165</v>
      </c>
      <c r="K2408" t="s">
        <v>989</v>
      </c>
      <c r="L2408" t="s">
        <v>327</v>
      </c>
    </row>
    <row r="2409" spans="1:12">
      <c r="A2409" t="s">
        <v>318</v>
      </c>
      <c r="B2409" t="s">
        <v>2228</v>
      </c>
      <c r="C2409" t="s">
        <v>2229</v>
      </c>
      <c r="D2409" s="28">
        <v>7600100057479</v>
      </c>
      <c r="E2409" s="29" t="s">
        <v>371</v>
      </c>
      <c r="F2409" s="29" t="s">
        <v>372</v>
      </c>
      <c r="G2409">
        <v>13</v>
      </c>
      <c r="H2409" t="s">
        <v>323</v>
      </c>
      <c r="I2409" t="s">
        <v>98</v>
      </c>
      <c r="J2409" t="s">
        <v>185</v>
      </c>
      <c r="K2409" t="s">
        <v>1226</v>
      </c>
    </row>
    <row r="2410" spans="1:12">
      <c r="A2410" t="s">
        <v>318</v>
      </c>
      <c r="B2410" t="s">
        <v>2228</v>
      </c>
      <c r="C2410" t="s">
        <v>2230</v>
      </c>
      <c r="D2410" s="28">
        <v>7600100057483</v>
      </c>
      <c r="E2410" s="29" t="s">
        <v>371</v>
      </c>
      <c r="F2410" s="29" t="s">
        <v>372</v>
      </c>
      <c r="G2410">
        <v>23</v>
      </c>
      <c r="H2410" t="s">
        <v>1051</v>
      </c>
      <c r="I2410" t="s">
        <v>98</v>
      </c>
      <c r="J2410" t="s">
        <v>185</v>
      </c>
      <c r="K2410" t="s">
        <v>1226</v>
      </c>
    </row>
    <row r="2411" spans="1:12">
      <c r="A2411" t="s">
        <v>318</v>
      </c>
      <c r="B2411" t="s">
        <v>2228</v>
      </c>
      <c r="C2411" t="s">
        <v>2231</v>
      </c>
      <c r="D2411" s="28">
        <v>7600100057484</v>
      </c>
      <c r="E2411" s="29" t="s">
        <v>1045</v>
      </c>
      <c r="F2411" s="29" t="s">
        <v>372</v>
      </c>
      <c r="G2411">
        <v>12</v>
      </c>
      <c r="H2411" t="s">
        <v>1051</v>
      </c>
      <c r="I2411" t="s">
        <v>98</v>
      </c>
      <c r="J2411" t="s">
        <v>185</v>
      </c>
      <c r="K2411" t="s">
        <v>1226</v>
      </c>
    </row>
    <row r="2412" spans="1:12">
      <c r="A2412" t="s">
        <v>318</v>
      </c>
      <c r="B2412" t="s">
        <v>2228</v>
      </c>
      <c r="C2412" t="s">
        <v>1976</v>
      </c>
      <c r="D2412" s="28">
        <v>7600100057488</v>
      </c>
      <c r="E2412" s="29" t="s">
        <v>371</v>
      </c>
      <c r="F2412" s="29" t="s">
        <v>372</v>
      </c>
      <c r="G2412">
        <v>10</v>
      </c>
      <c r="H2412" t="s">
        <v>1051</v>
      </c>
      <c r="I2412" t="s">
        <v>98</v>
      </c>
      <c r="J2412" t="s">
        <v>185</v>
      </c>
      <c r="K2412" t="s">
        <v>1226</v>
      </c>
    </row>
    <row r="2413" spans="1:12">
      <c r="A2413" t="s">
        <v>318</v>
      </c>
      <c r="B2413" t="s">
        <v>2228</v>
      </c>
      <c r="C2413" t="s">
        <v>2232</v>
      </c>
      <c r="D2413" s="28">
        <v>7600100057489</v>
      </c>
      <c r="E2413" s="29" t="s">
        <v>371</v>
      </c>
      <c r="F2413" s="29" t="s">
        <v>372</v>
      </c>
      <c r="G2413">
        <v>13</v>
      </c>
      <c r="H2413" t="s">
        <v>323</v>
      </c>
      <c r="I2413" t="s">
        <v>98</v>
      </c>
      <c r="J2413" t="s">
        <v>185</v>
      </c>
      <c r="K2413" t="s">
        <v>1226</v>
      </c>
    </row>
    <row r="2414" spans="1:12">
      <c r="A2414" t="s">
        <v>318</v>
      </c>
      <c r="B2414" t="s">
        <v>2228</v>
      </c>
      <c r="C2414" t="s">
        <v>2233</v>
      </c>
      <c r="D2414" s="28">
        <v>7600100057490</v>
      </c>
      <c r="E2414" s="29" t="s">
        <v>371</v>
      </c>
      <c r="F2414" s="29" t="s">
        <v>372</v>
      </c>
      <c r="G2414">
        <v>13</v>
      </c>
      <c r="H2414" t="s">
        <v>323</v>
      </c>
      <c r="I2414" t="s">
        <v>98</v>
      </c>
      <c r="J2414" t="s">
        <v>185</v>
      </c>
      <c r="K2414" t="s">
        <v>1226</v>
      </c>
    </row>
    <row r="2415" spans="1:12">
      <c r="A2415" t="s">
        <v>318</v>
      </c>
      <c r="B2415" t="s">
        <v>2228</v>
      </c>
      <c r="C2415" t="s">
        <v>2234</v>
      </c>
      <c r="D2415" s="28">
        <v>7600100057494</v>
      </c>
      <c r="E2415" s="29" t="s">
        <v>371</v>
      </c>
      <c r="F2415" s="29" t="s">
        <v>372</v>
      </c>
      <c r="G2415">
        <v>13</v>
      </c>
      <c r="H2415" t="s">
        <v>323</v>
      </c>
      <c r="I2415" t="s">
        <v>98</v>
      </c>
      <c r="J2415" t="s">
        <v>185</v>
      </c>
      <c r="K2415" t="s">
        <v>1226</v>
      </c>
    </row>
    <row r="2416" spans="1:12">
      <c r="A2416" t="s">
        <v>318</v>
      </c>
      <c r="B2416" t="s">
        <v>2228</v>
      </c>
      <c r="C2416" t="s">
        <v>348</v>
      </c>
      <c r="D2416" s="28">
        <v>7600100057503</v>
      </c>
      <c r="E2416" s="29" t="s">
        <v>371</v>
      </c>
      <c r="F2416" s="29" t="s">
        <v>372</v>
      </c>
      <c r="G2416">
        <v>13</v>
      </c>
      <c r="H2416" t="s">
        <v>323</v>
      </c>
      <c r="I2416" t="s">
        <v>98</v>
      </c>
      <c r="J2416" t="s">
        <v>185</v>
      </c>
      <c r="K2416" t="s">
        <v>1226</v>
      </c>
    </row>
    <row r="2417" spans="1:12">
      <c r="A2417" t="s">
        <v>318</v>
      </c>
      <c r="B2417" t="s">
        <v>2228</v>
      </c>
      <c r="C2417" t="s">
        <v>2235</v>
      </c>
      <c r="D2417" s="28">
        <v>7600100057505</v>
      </c>
      <c r="E2417" s="29" t="s">
        <v>371</v>
      </c>
      <c r="F2417" s="29" t="s">
        <v>372</v>
      </c>
      <c r="G2417">
        <v>9</v>
      </c>
      <c r="H2417" t="s">
        <v>1051</v>
      </c>
      <c r="I2417" t="s">
        <v>98</v>
      </c>
      <c r="J2417" t="s">
        <v>185</v>
      </c>
      <c r="K2417" t="s">
        <v>1226</v>
      </c>
    </row>
    <row r="2418" spans="1:12">
      <c r="A2418" t="s">
        <v>318</v>
      </c>
      <c r="B2418" t="s">
        <v>2228</v>
      </c>
      <c r="C2418" t="s">
        <v>2236</v>
      </c>
      <c r="D2418" s="28">
        <v>7600100057508</v>
      </c>
      <c r="E2418" s="29" t="s">
        <v>371</v>
      </c>
      <c r="F2418" s="29" t="s">
        <v>372</v>
      </c>
      <c r="G2418">
        <v>13</v>
      </c>
      <c r="H2418" t="s">
        <v>323</v>
      </c>
      <c r="I2418" t="s">
        <v>98</v>
      </c>
      <c r="J2418" t="s">
        <v>185</v>
      </c>
      <c r="K2418" t="s">
        <v>1226</v>
      </c>
    </row>
    <row r="2419" spans="1:12">
      <c r="A2419" t="s">
        <v>318</v>
      </c>
      <c r="B2419" t="s">
        <v>2228</v>
      </c>
      <c r="C2419" t="s">
        <v>2237</v>
      </c>
      <c r="D2419" s="28">
        <v>7600100057513</v>
      </c>
      <c r="E2419" s="29" t="s">
        <v>371</v>
      </c>
      <c r="F2419" s="29" t="s">
        <v>372</v>
      </c>
      <c r="G2419">
        <v>13</v>
      </c>
      <c r="H2419" t="s">
        <v>323</v>
      </c>
      <c r="I2419" t="s">
        <v>98</v>
      </c>
      <c r="J2419" t="s">
        <v>185</v>
      </c>
      <c r="K2419" t="s">
        <v>1226</v>
      </c>
    </row>
    <row r="2420" spans="1:12">
      <c r="A2420" t="s">
        <v>318</v>
      </c>
      <c r="B2420" t="s">
        <v>2228</v>
      </c>
      <c r="C2420" t="s">
        <v>2238</v>
      </c>
      <c r="D2420" s="28">
        <v>7600100057515</v>
      </c>
      <c r="E2420" s="29" t="s">
        <v>371</v>
      </c>
      <c r="F2420" s="29" t="s">
        <v>372</v>
      </c>
      <c r="G2420">
        <v>13</v>
      </c>
      <c r="H2420" t="s">
        <v>323</v>
      </c>
      <c r="I2420" t="s">
        <v>98</v>
      </c>
      <c r="J2420" t="s">
        <v>185</v>
      </c>
      <c r="K2420" t="s">
        <v>1226</v>
      </c>
    </row>
    <row r="2421" spans="1:12">
      <c r="A2421" t="s">
        <v>318</v>
      </c>
      <c r="B2421" t="s">
        <v>2228</v>
      </c>
      <c r="C2421" t="s">
        <v>2239</v>
      </c>
      <c r="D2421" s="28">
        <v>7600100057519</v>
      </c>
      <c r="E2421" s="29" t="s">
        <v>371</v>
      </c>
      <c r="F2421" s="29" t="s">
        <v>372</v>
      </c>
      <c r="G2421">
        <v>13</v>
      </c>
      <c r="H2421" t="s">
        <v>323</v>
      </c>
      <c r="I2421" t="s">
        <v>98</v>
      </c>
      <c r="J2421" t="s">
        <v>185</v>
      </c>
      <c r="K2421" t="s">
        <v>1226</v>
      </c>
    </row>
    <row r="2422" spans="1:12">
      <c r="A2422" t="s">
        <v>318</v>
      </c>
      <c r="B2422" t="s">
        <v>2228</v>
      </c>
      <c r="C2422" t="s">
        <v>488</v>
      </c>
      <c r="D2422" s="28">
        <v>7600100057523</v>
      </c>
      <c r="E2422" s="29" t="s">
        <v>371</v>
      </c>
      <c r="F2422" s="29" t="s">
        <v>372</v>
      </c>
      <c r="G2422">
        <v>13</v>
      </c>
      <c r="H2422" t="s">
        <v>323</v>
      </c>
      <c r="I2422" t="s">
        <v>98</v>
      </c>
      <c r="J2422" t="s">
        <v>185</v>
      </c>
      <c r="K2422" t="s">
        <v>1226</v>
      </c>
    </row>
    <row r="2423" spans="1:12">
      <c r="A2423" t="s">
        <v>318</v>
      </c>
      <c r="B2423" t="s">
        <v>2228</v>
      </c>
      <c r="C2423" t="s">
        <v>2240</v>
      </c>
      <c r="D2423" s="28">
        <v>7600100057536</v>
      </c>
      <c r="E2423" s="29" t="s">
        <v>371</v>
      </c>
      <c r="F2423" s="29" t="s">
        <v>372</v>
      </c>
      <c r="G2423">
        <v>13</v>
      </c>
      <c r="H2423" t="s">
        <v>323</v>
      </c>
      <c r="I2423" t="s">
        <v>98</v>
      </c>
      <c r="J2423" t="s">
        <v>185</v>
      </c>
      <c r="K2423" t="s">
        <v>1226</v>
      </c>
    </row>
    <row r="2424" spans="1:12">
      <c r="A2424" t="s">
        <v>318</v>
      </c>
      <c r="B2424" t="s">
        <v>2228</v>
      </c>
      <c r="C2424" t="s">
        <v>1958</v>
      </c>
      <c r="D2424" s="28">
        <v>7600100057538</v>
      </c>
      <c r="E2424" s="29" t="s">
        <v>371</v>
      </c>
      <c r="F2424" s="29" t="s">
        <v>372</v>
      </c>
      <c r="G2424">
        <v>13</v>
      </c>
      <c r="H2424" t="s">
        <v>323</v>
      </c>
      <c r="I2424" t="s">
        <v>98</v>
      </c>
      <c r="J2424" t="s">
        <v>185</v>
      </c>
      <c r="K2424" t="s">
        <v>1226</v>
      </c>
    </row>
    <row r="2425" spans="1:12">
      <c r="A2425" t="s">
        <v>318</v>
      </c>
      <c r="B2425" t="s">
        <v>2228</v>
      </c>
      <c r="C2425" t="s">
        <v>2241</v>
      </c>
      <c r="D2425" s="28">
        <v>7600100057540</v>
      </c>
      <c r="E2425" s="29" t="s">
        <v>371</v>
      </c>
      <c r="F2425" s="29" t="s">
        <v>372</v>
      </c>
      <c r="G2425">
        <v>13</v>
      </c>
      <c r="H2425" t="s">
        <v>323</v>
      </c>
      <c r="I2425" t="s">
        <v>45</v>
      </c>
      <c r="J2425" t="s">
        <v>185</v>
      </c>
      <c r="K2425" t="s">
        <v>1226</v>
      </c>
      <c r="L2425" t="s">
        <v>327</v>
      </c>
    </row>
    <row r="2426" spans="1:12">
      <c r="A2426" t="s">
        <v>318</v>
      </c>
      <c r="B2426" t="s">
        <v>2228</v>
      </c>
      <c r="C2426" t="s">
        <v>2242</v>
      </c>
      <c r="D2426" s="28">
        <v>7600100057545</v>
      </c>
      <c r="E2426" s="29" t="s">
        <v>371</v>
      </c>
      <c r="F2426" s="29" t="s">
        <v>372</v>
      </c>
      <c r="G2426">
        <v>13</v>
      </c>
      <c r="H2426" t="s">
        <v>323</v>
      </c>
      <c r="I2426" t="s">
        <v>98</v>
      </c>
      <c r="J2426" t="s">
        <v>185</v>
      </c>
      <c r="K2426" t="s">
        <v>1226</v>
      </c>
    </row>
    <row r="2427" spans="1:12">
      <c r="A2427" t="s">
        <v>318</v>
      </c>
      <c r="B2427" t="s">
        <v>2228</v>
      </c>
      <c r="C2427" t="s">
        <v>2243</v>
      </c>
      <c r="D2427" s="28">
        <v>7600100057547</v>
      </c>
      <c r="E2427" s="29" t="s">
        <v>371</v>
      </c>
      <c r="F2427" s="29" t="s">
        <v>372</v>
      </c>
      <c r="G2427">
        <v>13</v>
      </c>
      <c r="H2427" t="s">
        <v>323</v>
      </c>
      <c r="I2427" t="s">
        <v>98</v>
      </c>
      <c r="J2427" t="s">
        <v>185</v>
      </c>
      <c r="K2427" t="s">
        <v>1226</v>
      </c>
    </row>
    <row r="2428" spans="1:12">
      <c r="A2428" t="s">
        <v>318</v>
      </c>
      <c r="B2428" t="s">
        <v>2228</v>
      </c>
      <c r="C2428" t="s">
        <v>1429</v>
      </c>
      <c r="D2428" s="28">
        <v>7600100057550</v>
      </c>
      <c r="E2428" s="29" t="s">
        <v>371</v>
      </c>
      <c r="F2428" s="29" t="s">
        <v>372</v>
      </c>
      <c r="G2428">
        <v>11</v>
      </c>
      <c r="H2428" t="s">
        <v>1051</v>
      </c>
      <c r="I2428" t="s">
        <v>98</v>
      </c>
      <c r="J2428" t="s">
        <v>185</v>
      </c>
      <c r="K2428" t="s">
        <v>1226</v>
      </c>
    </row>
    <row r="2429" spans="1:12">
      <c r="A2429" t="s">
        <v>318</v>
      </c>
      <c r="B2429" t="s">
        <v>2228</v>
      </c>
      <c r="C2429" t="s">
        <v>2244</v>
      </c>
      <c r="D2429" s="28">
        <v>7600100057551</v>
      </c>
      <c r="E2429" s="29" t="s">
        <v>371</v>
      </c>
      <c r="F2429" s="29" t="s">
        <v>372</v>
      </c>
      <c r="G2429">
        <v>13</v>
      </c>
      <c r="H2429" t="s">
        <v>323</v>
      </c>
      <c r="I2429" t="s">
        <v>45</v>
      </c>
      <c r="J2429" t="s">
        <v>185</v>
      </c>
      <c r="K2429" t="s">
        <v>1226</v>
      </c>
    </row>
    <row r="2430" spans="1:12">
      <c r="A2430" t="s">
        <v>318</v>
      </c>
      <c r="B2430" t="s">
        <v>2228</v>
      </c>
      <c r="C2430" t="s">
        <v>2245</v>
      </c>
      <c r="D2430" s="28">
        <v>7600100057553</v>
      </c>
      <c r="E2430" s="29" t="s">
        <v>1045</v>
      </c>
      <c r="F2430" s="29" t="s">
        <v>372</v>
      </c>
      <c r="G2430">
        <v>12</v>
      </c>
      <c r="H2430" t="s">
        <v>1051</v>
      </c>
      <c r="I2430" t="s">
        <v>98</v>
      </c>
      <c r="J2430" t="s">
        <v>185</v>
      </c>
      <c r="K2430" t="s">
        <v>1226</v>
      </c>
    </row>
    <row r="2431" spans="1:12">
      <c r="A2431" t="s">
        <v>318</v>
      </c>
      <c r="B2431" t="s">
        <v>2228</v>
      </c>
      <c r="C2431" t="s">
        <v>2246</v>
      </c>
      <c r="D2431" s="28">
        <v>7600100057554</v>
      </c>
      <c r="E2431" s="29" t="s">
        <v>371</v>
      </c>
      <c r="F2431" s="29" t="s">
        <v>372</v>
      </c>
      <c r="G2431">
        <v>12</v>
      </c>
      <c r="H2431" t="s">
        <v>1051</v>
      </c>
      <c r="I2431" t="s">
        <v>45</v>
      </c>
      <c r="J2431" t="s">
        <v>185</v>
      </c>
      <c r="K2431" t="s">
        <v>1226</v>
      </c>
      <c r="L2431" t="s">
        <v>327</v>
      </c>
    </row>
    <row r="2432" spans="1:12">
      <c r="A2432" t="s">
        <v>318</v>
      </c>
      <c r="B2432" t="s">
        <v>2228</v>
      </c>
      <c r="C2432" t="s">
        <v>2247</v>
      </c>
      <c r="D2432" s="28">
        <v>7600100057556</v>
      </c>
      <c r="E2432" s="29" t="s">
        <v>371</v>
      </c>
      <c r="F2432" s="29" t="s">
        <v>372</v>
      </c>
      <c r="G2432">
        <v>13</v>
      </c>
      <c r="H2432" t="s">
        <v>323</v>
      </c>
      <c r="I2432" t="s">
        <v>98</v>
      </c>
      <c r="J2432" t="s">
        <v>185</v>
      </c>
      <c r="K2432" t="s">
        <v>1226</v>
      </c>
    </row>
    <row r="2433" spans="1:11">
      <c r="A2433" t="s">
        <v>318</v>
      </c>
      <c r="B2433" t="s">
        <v>2228</v>
      </c>
      <c r="C2433" t="s">
        <v>955</v>
      </c>
      <c r="D2433" s="28">
        <v>7600100057557</v>
      </c>
      <c r="E2433" s="29" t="s">
        <v>371</v>
      </c>
      <c r="F2433" s="29" t="s">
        <v>372</v>
      </c>
      <c r="G2433">
        <v>10</v>
      </c>
      <c r="H2433" t="s">
        <v>1051</v>
      </c>
      <c r="I2433" t="s">
        <v>98</v>
      </c>
      <c r="J2433" t="s">
        <v>185</v>
      </c>
      <c r="K2433" t="s">
        <v>1226</v>
      </c>
    </row>
    <row r="2434" spans="1:11">
      <c r="A2434" t="s">
        <v>318</v>
      </c>
      <c r="B2434" t="s">
        <v>2228</v>
      </c>
      <c r="C2434" t="s">
        <v>2248</v>
      </c>
      <c r="D2434" s="28">
        <v>7600100057560</v>
      </c>
      <c r="E2434" s="29" t="s">
        <v>1045</v>
      </c>
      <c r="F2434" s="29" t="s">
        <v>372</v>
      </c>
      <c r="G2434">
        <v>13</v>
      </c>
      <c r="H2434" t="s">
        <v>1051</v>
      </c>
      <c r="I2434" t="s">
        <v>98</v>
      </c>
      <c r="J2434" t="s">
        <v>185</v>
      </c>
      <c r="K2434" t="s">
        <v>1226</v>
      </c>
    </row>
    <row r="2435" spans="1:11">
      <c r="A2435" t="s">
        <v>318</v>
      </c>
      <c r="B2435" t="s">
        <v>2228</v>
      </c>
      <c r="C2435" t="s">
        <v>2249</v>
      </c>
      <c r="D2435" s="28">
        <v>7600100057564</v>
      </c>
      <c r="E2435" s="29" t="s">
        <v>371</v>
      </c>
      <c r="F2435" s="29" t="s">
        <v>372</v>
      </c>
      <c r="G2435">
        <v>13</v>
      </c>
      <c r="H2435" t="s">
        <v>1051</v>
      </c>
      <c r="I2435" t="s">
        <v>98</v>
      </c>
      <c r="J2435" t="s">
        <v>185</v>
      </c>
      <c r="K2435" t="s">
        <v>1226</v>
      </c>
    </row>
    <row r="2436" spans="1:11">
      <c r="A2436" t="s">
        <v>318</v>
      </c>
      <c r="B2436" t="s">
        <v>2228</v>
      </c>
      <c r="C2436" t="s">
        <v>2250</v>
      </c>
      <c r="D2436" s="28">
        <v>7600100057567</v>
      </c>
      <c r="E2436" s="29" t="s">
        <v>1045</v>
      </c>
      <c r="F2436" s="29" t="s">
        <v>372</v>
      </c>
      <c r="G2436">
        <v>12</v>
      </c>
      <c r="H2436" t="s">
        <v>1051</v>
      </c>
      <c r="I2436" t="s">
        <v>98</v>
      </c>
      <c r="J2436" t="s">
        <v>185</v>
      </c>
      <c r="K2436" t="s">
        <v>1226</v>
      </c>
    </row>
    <row r="2437" spans="1:11">
      <c r="A2437" t="s">
        <v>318</v>
      </c>
      <c r="B2437" t="s">
        <v>2228</v>
      </c>
      <c r="C2437" t="s">
        <v>1635</v>
      </c>
      <c r="D2437" s="28">
        <v>7600100057568</v>
      </c>
      <c r="E2437" s="29" t="s">
        <v>371</v>
      </c>
      <c r="F2437" s="29" t="s">
        <v>372</v>
      </c>
      <c r="G2437">
        <v>13</v>
      </c>
      <c r="H2437" t="s">
        <v>323</v>
      </c>
      <c r="I2437" t="s">
        <v>98</v>
      </c>
      <c r="J2437" t="s">
        <v>185</v>
      </c>
      <c r="K2437" t="s">
        <v>1226</v>
      </c>
    </row>
    <row r="2438" spans="1:11">
      <c r="A2438" t="s">
        <v>318</v>
      </c>
      <c r="B2438" t="s">
        <v>2228</v>
      </c>
      <c r="C2438" t="s">
        <v>442</v>
      </c>
      <c r="D2438" s="28">
        <v>7600100057569</v>
      </c>
      <c r="E2438" s="29" t="s">
        <v>1045</v>
      </c>
      <c r="F2438" s="29" t="s">
        <v>372</v>
      </c>
      <c r="G2438">
        <v>10</v>
      </c>
      <c r="H2438" t="s">
        <v>1051</v>
      </c>
      <c r="I2438" t="s">
        <v>98</v>
      </c>
      <c r="J2438" t="s">
        <v>185</v>
      </c>
      <c r="K2438" t="s">
        <v>1226</v>
      </c>
    </row>
    <row r="2439" spans="1:11">
      <c r="A2439" t="s">
        <v>318</v>
      </c>
      <c r="B2439" t="s">
        <v>2228</v>
      </c>
      <c r="C2439" t="s">
        <v>1409</v>
      </c>
      <c r="D2439" s="28">
        <v>7600100057574</v>
      </c>
      <c r="E2439" s="29" t="s">
        <v>371</v>
      </c>
      <c r="F2439" s="29" t="s">
        <v>372</v>
      </c>
      <c r="G2439">
        <v>13</v>
      </c>
      <c r="H2439" t="s">
        <v>323</v>
      </c>
      <c r="I2439" t="s">
        <v>98</v>
      </c>
      <c r="J2439" t="s">
        <v>185</v>
      </c>
      <c r="K2439" t="s">
        <v>1226</v>
      </c>
    </row>
    <row r="2440" spans="1:11">
      <c r="A2440" t="s">
        <v>318</v>
      </c>
      <c r="B2440" t="s">
        <v>2228</v>
      </c>
      <c r="C2440" t="s">
        <v>2251</v>
      </c>
      <c r="D2440" s="28">
        <v>7600100057578</v>
      </c>
      <c r="E2440" s="29" t="s">
        <v>1045</v>
      </c>
      <c r="F2440" s="29" t="s">
        <v>372</v>
      </c>
      <c r="G2440">
        <v>12</v>
      </c>
      <c r="H2440" t="s">
        <v>1051</v>
      </c>
      <c r="I2440" t="s">
        <v>98</v>
      </c>
      <c r="J2440" t="s">
        <v>185</v>
      </c>
      <c r="K2440" t="s">
        <v>1226</v>
      </c>
    </row>
    <row r="2441" spans="1:11">
      <c r="A2441" t="s">
        <v>318</v>
      </c>
      <c r="B2441" t="s">
        <v>2228</v>
      </c>
      <c r="C2441" t="s">
        <v>1316</v>
      </c>
      <c r="D2441" s="28">
        <v>7600100057580</v>
      </c>
      <c r="E2441" s="29" t="s">
        <v>371</v>
      </c>
      <c r="F2441" s="29" t="s">
        <v>372</v>
      </c>
      <c r="G2441">
        <v>12</v>
      </c>
      <c r="H2441" t="s">
        <v>1051</v>
      </c>
      <c r="I2441" t="s">
        <v>98</v>
      </c>
      <c r="J2441" t="s">
        <v>185</v>
      </c>
      <c r="K2441" t="s">
        <v>1226</v>
      </c>
    </row>
    <row r="2442" spans="1:11">
      <c r="A2442" t="s">
        <v>318</v>
      </c>
      <c r="B2442" t="s">
        <v>2228</v>
      </c>
      <c r="C2442" t="s">
        <v>2252</v>
      </c>
      <c r="D2442" s="28">
        <v>7600100057582</v>
      </c>
      <c r="E2442" s="29" t="s">
        <v>1045</v>
      </c>
      <c r="F2442" s="29" t="s">
        <v>372</v>
      </c>
      <c r="G2442">
        <v>13</v>
      </c>
      <c r="H2442" t="s">
        <v>1051</v>
      </c>
      <c r="I2442" t="s">
        <v>98</v>
      </c>
      <c r="J2442" t="s">
        <v>185</v>
      </c>
      <c r="K2442" t="s">
        <v>285</v>
      </c>
    </row>
    <row r="2443" spans="1:11">
      <c r="A2443" t="s">
        <v>318</v>
      </c>
      <c r="B2443" t="s">
        <v>2228</v>
      </c>
      <c r="C2443" t="s">
        <v>2253</v>
      </c>
      <c r="D2443" s="28">
        <v>7600100057588</v>
      </c>
      <c r="E2443" s="29" t="s">
        <v>1045</v>
      </c>
      <c r="F2443" s="29" t="s">
        <v>372</v>
      </c>
      <c r="G2443">
        <v>13</v>
      </c>
      <c r="H2443" t="s">
        <v>1051</v>
      </c>
      <c r="I2443" t="s">
        <v>98</v>
      </c>
      <c r="J2443" t="s">
        <v>185</v>
      </c>
      <c r="K2443" t="s">
        <v>1226</v>
      </c>
    </row>
    <row r="2444" spans="1:11">
      <c r="A2444" t="s">
        <v>318</v>
      </c>
      <c r="B2444" t="s">
        <v>2228</v>
      </c>
      <c r="C2444" t="s">
        <v>2254</v>
      </c>
      <c r="D2444" s="28">
        <v>7600100058177</v>
      </c>
      <c r="E2444" s="29" t="s">
        <v>371</v>
      </c>
      <c r="F2444" s="29" t="s">
        <v>372</v>
      </c>
      <c r="G2444">
        <v>13</v>
      </c>
      <c r="H2444" t="s">
        <v>1051</v>
      </c>
      <c r="I2444" t="s">
        <v>98</v>
      </c>
      <c r="J2444" t="s">
        <v>185</v>
      </c>
      <c r="K2444" t="s">
        <v>1226</v>
      </c>
    </row>
    <row r="2445" spans="1:11">
      <c r="A2445" t="s">
        <v>318</v>
      </c>
      <c r="B2445" t="s">
        <v>2228</v>
      </c>
      <c r="C2445" t="s">
        <v>2255</v>
      </c>
      <c r="D2445" s="28">
        <v>7600100058182</v>
      </c>
      <c r="E2445" s="29" t="s">
        <v>371</v>
      </c>
      <c r="F2445" s="29" t="s">
        <v>372</v>
      </c>
      <c r="G2445">
        <v>13</v>
      </c>
      <c r="H2445" t="s">
        <v>1051</v>
      </c>
      <c r="I2445" t="s">
        <v>98</v>
      </c>
      <c r="J2445" t="s">
        <v>185</v>
      </c>
      <c r="K2445" t="s">
        <v>285</v>
      </c>
    </row>
    <row r="2446" spans="1:11">
      <c r="A2446" t="s">
        <v>318</v>
      </c>
      <c r="B2446" t="s">
        <v>2228</v>
      </c>
      <c r="C2446" t="s">
        <v>388</v>
      </c>
      <c r="D2446" s="28">
        <v>7600100058183</v>
      </c>
      <c r="E2446" s="29" t="s">
        <v>371</v>
      </c>
      <c r="F2446" s="29" t="s">
        <v>372</v>
      </c>
      <c r="G2446">
        <v>13</v>
      </c>
      <c r="H2446" t="s">
        <v>323</v>
      </c>
      <c r="I2446" t="s">
        <v>98</v>
      </c>
      <c r="J2446" t="s">
        <v>185</v>
      </c>
      <c r="K2446" t="s">
        <v>1226</v>
      </c>
    </row>
    <row r="2447" spans="1:11">
      <c r="A2447" t="s">
        <v>318</v>
      </c>
      <c r="B2447" t="s">
        <v>2228</v>
      </c>
      <c r="C2447" t="s">
        <v>1028</v>
      </c>
      <c r="D2447" s="28">
        <v>7600100058205</v>
      </c>
      <c r="E2447" s="29" t="s">
        <v>371</v>
      </c>
      <c r="F2447" s="29" t="s">
        <v>372</v>
      </c>
      <c r="G2447">
        <v>12</v>
      </c>
      <c r="H2447" t="s">
        <v>1051</v>
      </c>
      <c r="I2447" t="s">
        <v>98</v>
      </c>
      <c r="J2447" t="s">
        <v>185</v>
      </c>
      <c r="K2447" t="s">
        <v>1226</v>
      </c>
    </row>
    <row r="2448" spans="1:11">
      <c r="A2448" t="s">
        <v>318</v>
      </c>
      <c r="B2448" t="s">
        <v>2228</v>
      </c>
      <c r="C2448" t="s">
        <v>521</v>
      </c>
      <c r="D2448" s="28">
        <v>7600100058212</v>
      </c>
      <c r="E2448" s="29" t="s">
        <v>371</v>
      </c>
      <c r="F2448" s="29" t="s">
        <v>372</v>
      </c>
      <c r="G2448">
        <v>13</v>
      </c>
      <c r="H2448" t="s">
        <v>323</v>
      </c>
      <c r="I2448" t="s">
        <v>98</v>
      </c>
      <c r="J2448" t="s">
        <v>185</v>
      </c>
      <c r="K2448" t="s">
        <v>285</v>
      </c>
    </row>
    <row r="2449" spans="1:11">
      <c r="A2449" t="s">
        <v>318</v>
      </c>
      <c r="B2449" t="s">
        <v>2228</v>
      </c>
      <c r="C2449" t="s">
        <v>2256</v>
      </c>
      <c r="D2449" s="28">
        <v>7600100058221</v>
      </c>
      <c r="E2449" s="29" t="s">
        <v>371</v>
      </c>
      <c r="F2449" s="29" t="s">
        <v>372</v>
      </c>
      <c r="G2449">
        <v>13</v>
      </c>
      <c r="H2449" t="s">
        <v>323</v>
      </c>
      <c r="I2449" t="s">
        <v>98</v>
      </c>
      <c r="J2449" t="s">
        <v>185</v>
      </c>
      <c r="K2449" t="s">
        <v>285</v>
      </c>
    </row>
    <row r="2450" spans="1:11">
      <c r="A2450" t="s">
        <v>318</v>
      </c>
      <c r="B2450" t="s">
        <v>2228</v>
      </c>
      <c r="C2450" t="s">
        <v>1623</v>
      </c>
      <c r="D2450" s="28">
        <v>7600100058224</v>
      </c>
      <c r="E2450" s="29" t="s">
        <v>371</v>
      </c>
      <c r="F2450" s="29" t="s">
        <v>372</v>
      </c>
      <c r="G2450">
        <v>10</v>
      </c>
      <c r="H2450" t="s">
        <v>1051</v>
      </c>
      <c r="I2450" t="s">
        <v>98</v>
      </c>
      <c r="J2450" t="s">
        <v>185</v>
      </c>
      <c r="K2450" t="s">
        <v>1226</v>
      </c>
    </row>
    <row r="2451" spans="1:11">
      <c r="A2451" t="s">
        <v>318</v>
      </c>
      <c r="B2451" t="s">
        <v>2228</v>
      </c>
      <c r="C2451" t="s">
        <v>1738</v>
      </c>
      <c r="D2451" s="28">
        <v>7600100058353</v>
      </c>
      <c r="E2451" s="29" t="s">
        <v>371</v>
      </c>
      <c r="F2451" s="29" t="s">
        <v>372</v>
      </c>
      <c r="G2451">
        <v>10</v>
      </c>
      <c r="H2451" t="s">
        <v>1051</v>
      </c>
      <c r="I2451" t="s">
        <v>98</v>
      </c>
      <c r="J2451" t="s">
        <v>185</v>
      </c>
      <c r="K2451" t="s">
        <v>285</v>
      </c>
    </row>
    <row r="2452" spans="1:11">
      <c r="A2452" t="s">
        <v>318</v>
      </c>
      <c r="B2452" t="s">
        <v>2228</v>
      </c>
      <c r="C2452" t="s">
        <v>493</v>
      </c>
      <c r="D2452" s="28">
        <v>7600100058481</v>
      </c>
      <c r="E2452" s="29" t="s">
        <v>371</v>
      </c>
      <c r="F2452" s="29" t="s">
        <v>372</v>
      </c>
      <c r="G2452">
        <v>13</v>
      </c>
      <c r="H2452" t="s">
        <v>323</v>
      </c>
      <c r="I2452" t="s">
        <v>98</v>
      </c>
      <c r="J2452" t="s">
        <v>185</v>
      </c>
      <c r="K2452" t="s">
        <v>1226</v>
      </c>
    </row>
    <row r="2453" spans="1:11">
      <c r="A2453" t="s">
        <v>318</v>
      </c>
      <c r="B2453" t="s">
        <v>2228</v>
      </c>
      <c r="C2453" t="s">
        <v>2257</v>
      </c>
      <c r="D2453" s="28">
        <v>7600100058492</v>
      </c>
      <c r="E2453" s="29" t="s">
        <v>371</v>
      </c>
      <c r="F2453" s="29" t="s">
        <v>372</v>
      </c>
      <c r="G2453">
        <v>13</v>
      </c>
      <c r="H2453" t="s">
        <v>323</v>
      </c>
      <c r="I2453" t="s">
        <v>98</v>
      </c>
      <c r="J2453" t="s">
        <v>185</v>
      </c>
      <c r="K2453" t="s">
        <v>1226</v>
      </c>
    </row>
    <row r="2454" spans="1:11">
      <c r="A2454" t="s">
        <v>318</v>
      </c>
      <c r="B2454" t="s">
        <v>2228</v>
      </c>
      <c r="C2454" t="s">
        <v>2258</v>
      </c>
      <c r="D2454" s="28">
        <v>7600100058498</v>
      </c>
      <c r="E2454" s="29" t="s">
        <v>371</v>
      </c>
      <c r="F2454" s="29" t="s">
        <v>372</v>
      </c>
      <c r="G2454">
        <v>12</v>
      </c>
      <c r="H2454" t="s">
        <v>1051</v>
      </c>
      <c r="I2454" t="s">
        <v>98</v>
      </c>
      <c r="J2454" t="s">
        <v>185</v>
      </c>
      <c r="K2454" t="s">
        <v>285</v>
      </c>
    </row>
    <row r="2455" spans="1:11">
      <c r="A2455" t="s">
        <v>318</v>
      </c>
      <c r="B2455" t="s">
        <v>2228</v>
      </c>
      <c r="C2455" t="s">
        <v>2259</v>
      </c>
      <c r="D2455" s="28">
        <v>7600100058523</v>
      </c>
      <c r="E2455" s="29" t="s">
        <v>371</v>
      </c>
      <c r="F2455" s="29" t="s">
        <v>372</v>
      </c>
      <c r="G2455">
        <v>13</v>
      </c>
      <c r="H2455" t="s">
        <v>323</v>
      </c>
      <c r="I2455" t="s">
        <v>98</v>
      </c>
      <c r="J2455" t="s">
        <v>185</v>
      </c>
      <c r="K2455" t="s">
        <v>1226</v>
      </c>
    </row>
    <row r="2456" spans="1:11">
      <c r="A2456" t="s">
        <v>318</v>
      </c>
      <c r="B2456" t="s">
        <v>2228</v>
      </c>
      <c r="C2456" t="s">
        <v>1163</v>
      </c>
      <c r="D2456" s="28">
        <v>7600100058979</v>
      </c>
      <c r="E2456" s="29" t="s">
        <v>371</v>
      </c>
      <c r="F2456" s="29" t="s">
        <v>372</v>
      </c>
      <c r="G2456">
        <v>13</v>
      </c>
      <c r="H2456" t="s">
        <v>323</v>
      </c>
      <c r="I2456" t="s">
        <v>98</v>
      </c>
      <c r="J2456" t="s">
        <v>185</v>
      </c>
      <c r="K2456" t="s">
        <v>1226</v>
      </c>
    </row>
    <row r="2457" spans="1:11">
      <c r="A2457" t="s">
        <v>318</v>
      </c>
      <c r="B2457" t="s">
        <v>2228</v>
      </c>
      <c r="C2457" t="s">
        <v>2115</v>
      </c>
      <c r="D2457" s="28">
        <v>7600100058985</v>
      </c>
      <c r="E2457" s="29" t="s">
        <v>371</v>
      </c>
      <c r="F2457" s="29" t="s">
        <v>372</v>
      </c>
      <c r="G2457">
        <v>13</v>
      </c>
      <c r="H2457" t="s">
        <v>323</v>
      </c>
      <c r="I2457" t="s">
        <v>98</v>
      </c>
      <c r="J2457" t="s">
        <v>185</v>
      </c>
      <c r="K2457" t="s">
        <v>1226</v>
      </c>
    </row>
    <row r="2458" spans="1:11">
      <c r="A2458" t="s">
        <v>318</v>
      </c>
      <c r="B2458" t="s">
        <v>2228</v>
      </c>
      <c r="C2458" t="s">
        <v>2260</v>
      </c>
      <c r="D2458" s="28">
        <v>7600100058988</v>
      </c>
      <c r="E2458" s="29" t="s">
        <v>371</v>
      </c>
      <c r="F2458" s="29" t="s">
        <v>372</v>
      </c>
      <c r="G2458">
        <v>13</v>
      </c>
      <c r="H2458" t="s">
        <v>323</v>
      </c>
      <c r="I2458" t="s">
        <v>98</v>
      </c>
      <c r="J2458" t="s">
        <v>185</v>
      </c>
      <c r="K2458" t="s">
        <v>285</v>
      </c>
    </row>
    <row r="2459" spans="1:11">
      <c r="A2459" t="s">
        <v>318</v>
      </c>
      <c r="B2459" t="s">
        <v>2228</v>
      </c>
      <c r="C2459" t="s">
        <v>534</v>
      </c>
      <c r="D2459" s="28">
        <v>7600100058997</v>
      </c>
      <c r="E2459" s="29" t="s">
        <v>1045</v>
      </c>
      <c r="F2459" s="29" t="s">
        <v>372</v>
      </c>
      <c r="G2459">
        <v>10</v>
      </c>
      <c r="H2459" t="s">
        <v>1051</v>
      </c>
      <c r="I2459" t="s">
        <v>98</v>
      </c>
      <c r="J2459" t="s">
        <v>185</v>
      </c>
      <c r="K2459" t="s">
        <v>285</v>
      </c>
    </row>
    <row r="2460" spans="1:11">
      <c r="A2460" t="s">
        <v>318</v>
      </c>
      <c r="B2460" t="s">
        <v>2228</v>
      </c>
      <c r="C2460" t="s">
        <v>2261</v>
      </c>
      <c r="D2460" s="28">
        <v>7600100058999</v>
      </c>
      <c r="E2460" s="29" t="s">
        <v>1045</v>
      </c>
      <c r="F2460" s="29" t="s">
        <v>372</v>
      </c>
      <c r="G2460">
        <v>10</v>
      </c>
      <c r="H2460" t="s">
        <v>1051</v>
      </c>
      <c r="I2460" t="s">
        <v>98</v>
      </c>
      <c r="J2460" t="s">
        <v>185</v>
      </c>
      <c r="K2460" t="s">
        <v>1226</v>
      </c>
    </row>
    <row r="2461" spans="1:11">
      <c r="A2461" t="s">
        <v>318</v>
      </c>
      <c r="B2461" t="s">
        <v>2228</v>
      </c>
      <c r="C2461" t="s">
        <v>2262</v>
      </c>
      <c r="D2461" s="28">
        <v>7600100059078</v>
      </c>
      <c r="E2461" s="29" t="s">
        <v>371</v>
      </c>
      <c r="F2461" s="29" t="s">
        <v>372</v>
      </c>
      <c r="G2461">
        <v>13</v>
      </c>
      <c r="H2461" t="s">
        <v>323</v>
      </c>
      <c r="I2461" t="s">
        <v>98</v>
      </c>
      <c r="J2461" t="s">
        <v>185</v>
      </c>
      <c r="K2461" t="s">
        <v>285</v>
      </c>
    </row>
    <row r="2462" spans="1:11">
      <c r="A2462" t="s">
        <v>318</v>
      </c>
      <c r="B2462" t="s">
        <v>2228</v>
      </c>
      <c r="C2462" t="s">
        <v>2263</v>
      </c>
      <c r="D2462" s="28">
        <v>7600100059783</v>
      </c>
      <c r="E2462" s="29" t="s">
        <v>371</v>
      </c>
      <c r="F2462" s="29" t="s">
        <v>372</v>
      </c>
      <c r="G2462">
        <v>13</v>
      </c>
      <c r="H2462" t="s">
        <v>323</v>
      </c>
      <c r="I2462" t="s">
        <v>98</v>
      </c>
      <c r="J2462" t="s">
        <v>185</v>
      </c>
      <c r="K2462" t="s">
        <v>1226</v>
      </c>
    </row>
    <row r="2463" spans="1:11">
      <c r="A2463" t="s">
        <v>318</v>
      </c>
      <c r="B2463" t="s">
        <v>2228</v>
      </c>
      <c r="C2463" t="s">
        <v>2264</v>
      </c>
      <c r="D2463" s="28">
        <v>7600100059787</v>
      </c>
      <c r="E2463" s="29" t="s">
        <v>371</v>
      </c>
      <c r="F2463" s="29" t="s">
        <v>372</v>
      </c>
      <c r="G2463">
        <v>13</v>
      </c>
      <c r="H2463" t="s">
        <v>323</v>
      </c>
      <c r="I2463" t="s">
        <v>98</v>
      </c>
      <c r="J2463" t="s">
        <v>185</v>
      </c>
      <c r="K2463" t="s">
        <v>1226</v>
      </c>
    </row>
    <row r="2464" spans="1:11">
      <c r="A2464" t="s">
        <v>318</v>
      </c>
      <c r="B2464" t="s">
        <v>2228</v>
      </c>
      <c r="C2464" t="s">
        <v>2265</v>
      </c>
      <c r="D2464" s="28">
        <v>7600100059790</v>
      </c>
      <c r="E2464" s="29" t="s">
        <v>371</v>
      </c>
      <c r="F2464" s="29" t="s">
        <v>372</v>
      </c>
      <c r="G2464">
        <v>13</v>
      </c>
      <c r="H2464" t="s">
        <v>323</v>
      </c>
      <c r="I2464" t="s">
        <v>98</v>
      </c>
      <c r="J2464" t="s">
        <v>185</v>
      </c>
      <c r="K2464" t="s">
        <v>285</v>
      </c>
    </row>
    <row r="2465" spans="1:12">
      <c r="A2465" t="s">
        <v>318</v>
      </c>
      <c r="B2465" t="s">
        <v>2228</v>
      </c>
      <c r="C2465" t="s">
        <v>2266</v>
      </c>
      <c r="D2465" s="28">
        <v>7600100059795</v>
      </c>
      <c r="E2465" s="29" t="s">
        <v>371</v>
      </c>
      <c r="F2465" s="29" t="s">
        <v>372</v>
      </c>
      <c r="G2465">
        <v>13</v>
      </c>
      <c r="H2465" t="s">
        <v>323</v>
      </c>
      <c r="I2465" t="s">
        <v>98</v>
      </c>
      <c r="J2465" t="s">
        <v>185</v>
      </c>
      <c r="K2465" t="s">
        <v>1226</v>
      </c>
    </row>
    <row r="2466" spans="1:12">
      <c r="A2466" t="s">
        <v>318</v>
      </c>
      <c r="B2466" t="s">
        <v>2228</v>
      </c>
      <c r="C2466" t="s">
        <v>2267</v>
      </c>
      <c r="D2466" s="28">
        <v>7600100059799</v>
      </c>
      <c r="E2466" s="29" t="s">
        <v>371</v>
      </c>
      <c r="F2466" s="29" t="s">
        <v>372</v>
      </c>
      <c r="G2466">
        <v>13</v>
      </c>
      <c r="H2466" t="s">
        <v>323</v>
      </c>
      <c r="I2466" t="s">
        <v>98</v>
      </c>
      <c r="J2466" t="s">
        <v>185</v>
      </c>
      <c r="K2466" t="s">
        <v>1226</v>
      </c>
    </row>
    <row r="2467" spans="1:12">
      <c r="A2467" t="s">
        <v>318</v>
      </c>
      <c r="B2467" t="s">
        <v>2228</v>
      </c>
      <c r="C2467" t="s">
        <v>2268</v>
      </c>
      <c r="D2467" s="28">
        <v>7600100043809</v>
      </c>
      <c r="E2467" s="29" t="s">
        <v>363</v>
      </c>
      <c r="F2467" s="29" t="s">
        <v>364</v>
      </c>
      <c r="G2467">
        <v>145</v>
      </c>
      <c r="H2467" t="s">
        <v>323</v>
      </c>
      <c r="I2467" t="s">
        <v>45</v>
      </c>
      <c r="J2467" t="s">
        <v>185</v>
      </c>
      <c r="K2467" t="s">
        <v>365</v>
      </c>
      <c r="L2467" t="s">
        <v>327</v>
      </c>
    </row>
    <row r="2468" spans="1:12">
      <c r="A2468" t="s">
        <v>318</v>
      </c>
      <c r="B2468" t="s">
        <v>2228</v>
      </c>
      <c r="C2468" t="s">
        <v>2269</v>
      </c>
      <c r="D2468" s="28">
        <v>7600100105516</v>
      </c>
      <c r="E2468" s="29" t="s">
        <v>363</v>
      </c>
      <c r="F2468" s="29" t="s">
        <v>364</v>
      </c>
      <c r="G2468">
        <v>122</v>
      </c>
      <c r="H2468" t="s">
        <v>323</v>
      </c>
      <c r="I2468" t="s">
        <v>45</v>
      </c>
      <c r="J2468" t="s">
        <v>185</v>
      </c>
      <c r="K2468" t="s">
        <v>365</v>
      </c>
      <c r="L2468" t="s">
        <v>327</v>
      </c>
    </row>
    <row r="2469" spans="1:12">
      <c r="A2469" t="s">
        <v>318</v>
      </c>
      <c r="B2469" t="s">
        <v>2228</v>
      </c>
      <c r="C2469" t="s">
        <v>2270</v>
      </c>
      <c r="D2469" s="28">
        <v>7600100105517</v>
      </c>
      <c r="E2469" s="29" t="s">
        <v>363</v>
      </c>
      <c r="F2469" s="29" t="s">
        <v>364</v>
      </c>
      <c r="G2469">
        <v>126</v>
      </c>
      <c r="H2469" t="s">
        <v>323</v>
      </c>
      <c r="I2469" t="s">
        <v>45</v>
      </c>
      <c r="J2469" t="s">
        <v>185</v>
      </c>
      <c r="K2469" t="s">
        <v>365</v>
      </c>
      <c r="L2469" t="s">
        <v>327</v>
      </c>
    </row>
    <row r="2470" spans="1:12">
      <c r="A2470" t="s">
        <v>318</v>
      </c>
      <c r="B2470" t="s">
        <v>2228</v>
      </c>
      <c r="C2470" t="s">
        <v>2271</v>
      </c>
      <c r="D2470" s="28">
        <v>7600100017090</v>
      </c>
      <c r="E2470" s="29" t="s">
        <v>371</v>
      </c>
      <c r="F2470" s="29" t="s">
        <v>372</v>
      </c>
      <c r="G2470">
        <v>13</v>
      </c>
      <c r="H2470" t="s">
        <v>1051</v>
      </c>
      <c r="I2470" t="s">
        <v>98</v>
      </c>
      <c r="J2470" t="s">
        <v>185</v>
      </c>
      <c r="K2470" t="s">
        <v>285</v>
      </c>
    </row>
    <row r="2471" spans="1:12">
      <c r="A2471" t="s">
        <v>318</v>
      </c>
      <c r="B2471" t="s">
        <v>2228</v>
      </c>
      <c r="C2471" t="s">
        <v>642</v>
      </c>
      <c r="D2471" s="28">
        <v>7600100017134</v>
      </c>
      <c r="E2471" s="29" t="s">
        <v>371</v>
      </c>
      <c r="F2471" s="29" t="s">
        <v>372</v>
      </c>
      <c r="G2471">
        <v>13</v>
      </c>
      <c r="H2471" t="s">
        <v>1051</v>
      </c>
      <c r="I2471" t="s">
        <v>98</v>
      </c>
      <c r="J2471" t="s">
        <v>185</v>
      </c>
      <c r="K2471" t="s">
        <v>1226</v>
      </c>
    </row>
    <row r="2472" spans="1:12">
      <c r="A2472" t="s">
        <v>318</v>
      </c>
      <c r="B2472" t="s">
        <v>2228</v>
      </c>
      <c r="C2472" t="s">
        <v>2272</v>
      </c>
      <c r="D2472" s="28">
        <v>7600100017164</v>
      </c>
      <c r="E2472" s="29" t="s">
        <v>371</v>
      </c>
      <c r="F2472" s="29" t="s">
        <v>372</v>
      </c>
      <c r="G2472">
        <v>13</v>
      </c>
      <c r="H2472" t="s">
        <v>1051</v>
      </c>
      <c r="I2472" t="s">
        <v>98</v>
      </c>
      <c r="J2472" t="s">
        <v>185</v>
      </c>
      <c r="K2472" t="s">
        <v>285</v>
      </c>
    </row>
    <row r="2473" spans="1:12">
      <c r="A2473" t="s">
        <v>318</v>
      </c>
      <c r="B2473" t="s">
        <v>2228</v>
      </c>
      <c r="C2473" t="s">
        <v>2273</v>
      </c>
      <c r="D2473" s="28">
        <v>7600100017170</v>
      </c>
      <c r="E2473" s="29" t="s">
        <v>371</v>
      </c>
      <c r="F2473" s="29" t="s">
        <v>372</v>
      </c>
      <c r="G2473">
        <v>13</v>
      </c>
      <c r="H2473" t="s">
        <v>1051</v>
      </c>
      <c r="I2473" t="s">
        <v>98</v>
      </c>
      <c r="J2473" t="s">
        <v>185</v>
      </c>
      <c r="K2473" t="s">
        <v>1226</v>
      </c>
    </row>
    <row r="2474" spans="1:12">
      <c r="A2474" t="s">
        <v>318</v>
      </c>
      <c r="B2474" t="s">
        <v>2228</v>
      </c>
      <c r="C2474" t="s">
        <v>2274</v>
      </c>
      <c r="D2474" s="28">
        <v>7600100017202</v>
      </c>
      <c r="E2474" s="29" t="s">
        <v>371</v>
      </c>
      <c r="F2474" s="29" t="s">
        <v>372</v>
      </c>
      <c r="G2474">
        <v>13</v>
      </c>
      <c r="H2474" t="s">
        <v>1051</v>
      </c>
      <c r="I2474" t="s">
        <v>98</v>
      </c>
      <c r="J2474" t="s">
        <v>185</v>
      </c>
      <c r="K2474" t="s">
        <v>1226</v>
      </c>
    </row>
    <row r="2475" spans="1:12">
      <c r="A2475" t="s">
        <v>318</v>
      </c>
      <c r="B2475" t="s">
        <v>2228</v>
      </c>
      <c r="C2475" t="s">
        <v>2275</v>
      </c>
      <c r="D2475" s="28">
        <v>7600100018375</v>
      </c>
      <c r="E2475" s="29" t="s">
        <v>371</v>
      </c>
      <c r="F2475" s="29" t="s">
        <v>372</v>
      </c>
      <c r="G2475">
        <v>13</v>
      </c>
      <c r="H2475" t="s">
        <v>1051</v>
      </c>
      <c r="I2475" t="s">
        <v>98</v>
      </c>
      <c r="J2475" t="s">
        <v>185</v>
      </c>
      <c r="K2475" t="s">
        <v>285</v>
      </c>
    </row>
    <row r="2476" spans="1:12">
      <c r="A2476" t="s">
        <v>318</v>
      </c>
      <c r="B2476" t="s">
        <v>2228</v>
      </c>
      <c r="C2476" t="s">
        <v>2276</v>
      </c>
      <c r="D2476" s="28">
        <v>7600100018382</v>
      </c>
      <c r="E2476" s="29" t="s">
        <v>371</v>
      </c>
      <c r="F2476" s="29" t="s">
        <v>372</v>
      </c>
      <c r="G2476">
        <v>13</v>
      </c>
      <c r="H2476" t="s">
        <v>323</v>
      </c>
      <c r="I2476" t="s">
        <v>45</v>
      </c>
      <c r="J2476" t="s">
        <v>185</v>
      </c>
      <c r="K2476" t="s">
        <v>285</v>
      </c>
      <c r="L2476" t="s">
        <v>327</v>
      </c>
    </row>
    <row r="2477" spans="1:12">
      <c r="A2477" t="s">
        <v>318</v>
      </c>
      <c r="B2477" t="s">
        <v>2228</v>
      </c>
      <c r="C2477" t="s">
        <v>2277</v>
      </c>
      <c r="D2477" s="28">
        <v>7600100018409</v>
      </c>
      <c r="E2477" s="29" t="s">
        <v>371</v>
      </c>
      <c r="F2477" s="29" t="s">
        <v>372</v>
      </c>
      <c r="G2477">
        <v>13</v>
      </c>
      <c r="H2477" t="s">
        <v>1051</v>
      </c>
      <c r="I2477" t="s">
        <v>98</v>
      </c>
      <c r="J2477" t="s">
        <v>185</v>
      </c>
      <c r="K2477" t="s">
        <v>285</v>
      </c>
    </row>
    <row r="2478" spans="1:12">
      <c r="A2478" t="s">
        <v>318</v>
      </c>
      <c r="B2478" t="s">
        <v>2228</v>
      </c>
      <c r="C2478" t="s">
        <v>391</v>
      </c>
      <c r="D2478" s="28">
        <v>7600100018855</v>
      </c>
      <c r="E2478" s="29" t="s">
        <v>371</v>
      </c>
      <c r="F2478" s="29" t="s">
        <v>372</v>
      </c>
      <c r="G2478">
        <v>13</v>
      </c>
      <c r="H2478" t="s">
        <v>1051</v>
      </c>
      <c r="I2478" t="s">
        <v>98</v>
      </c>
      <c r="J2478" t="s">
        <v>185</v>
      </c>
      <c r="K2478" t="s">
        <v>285</v>
      </c>
    </row>
    <row r="2479" spans="1:12">
      <c r="A2479" t="s">
        <v>318</v>
      </c>
      <c r="B2479" t="s">
        <v>2228</v>
      </c>
      <c r="C2479" t="s">
        <v>1552</v>
      </c>
      <c r="D2479" s="28">
        <v>7600100018902</v>
      </c>
      <c r="E2479" s="29" t="s">
        <v>371</v>
      </c>
      <c r="F2479" s="29" t="s">
        <v>372</v>
      </c>
      <c r="G2479">
        <v>13</v>
      </c>
      <c r="H2479" t="s">
        <v>1051</v>
      </c>
      <c r="I2479" t="s">
        <v>98</v>
      </c>
      <c r="J2479" t="s">
        <v>185</v>
      </c>
      <c r="K2479" t="s">
        <v>285</v>
      </c>
    </row>
    <row r="2480" spans="1:12">
      <c r="A2480" t="s">
        <v>318</v>
      </c>
      <c r="B2480" t="s">
        <v>2228</v>
      </c>
      <c r="C2480" t="s">
        <v>2278</v>
      </c>
      <c r="D2480" s="28">
        <v>7600100018918</v>
      </c>
      <c r="E2480" s="29" t="s">
        <v>371</v>
      </c>
      <c r="F2480" s="29" t="s">
        <v>372</v>
      </c>
      <c r="G2480">
        <v>13</v>
      </c>
      <c r="H2480" t="s">
        <v>1051</v>
      </c>
      <c r="I2480" t="s">
        <v>98</v>
      </c>
      <c r="J2480" t="s">
        <v>185</v>
      </c>
      <c r="K2480" t="s">
        <v>285</v>
      </c>
    </row>
    <row r="2481" spans="1:11">
      <c r="A2481" t="s">
        <v>318</v>
      </c>
      <c r="B2481" t="s">
        <v>2228</v>
      </c>
      <c r="C2481" t="s">
        <v>2279</v>
      </c>
      <c r="D2481" s="28">
        <v>7600100018944</v>
      </c>
      <c r="E2481" s="29" t="s">
        <v>371</v>
      </c>
      <c r="F2481" s="29" t="s">
        <v>372</v>
      </c>
      <c r="G2481">
        <v>13</v>
      </c>
      <c r="H2481" t="s">
        <v>1051</v>
      </c>
      <c r="I2481" t="s">
        <v>98</v>
      </c>
      <c r="J2481" t="s">
        <v>185</v>
      </c>
      <c r="K2481" t="s">
        <v>285</v>
      </c>
    </row>
    <row r="2482" spans="1:11">
      <c r="A2482" t="s">
        <v>318</v>
      </c>
      <c r="B2482" t="s">
        <v>2228</v>
      </c>
      <c r="C2482" t="s">
        <v>2280</v>
      </c>
      <c r="D2482" s="28">
        <v>7600100018979</v>
      </c>
      <c r="E2482" s="29" t="s">
        <v>371</v>
      </c>
      <c r="F2482" s="29" t="s">
        <v>372</v>
      </c>
      <c r="G2482">
        <v>13</v>
      </c>
      <c r="H2482" t="s">
        <v>1051</v>
      </c>
      <c r="I2482" t="s">
        <v>98</v>
      </c>
      <c r="J2482" t="s">
        <v>185</v>
      </c>
      <c r="K2482" t="s">
        <v>285</v>
      </c>
    </row>
    <row r="2483" spans="1:11">
      <c r="A2483" t="s">
        <v>318</v>
      </c>
      <c r="B2483" t="s">
        <v>2228</v>
      </c>
      <c r="C2483" t="s">
        <v>2281</v>
      </c>
      <c r="D2483" s="28">
        <v>7600100019015</v>
      </c>
      <c r="E2483" s="29" t="s">
        <v>1045</v>
      </c>
      <c r="F2483" s="29" t="s">
        <v>372</v>
      </c>
      <c r="G2483">
        <v>13</v>
      </c>
      <c r="H2483" t="s">
        <v>1051</v>
      </c>
      <c r="I2483" t="s">
        <v>98</v>
      </c>
      <c r="J2483" t="s">
        <v>185</v>
      </c>
      <c r="K2483" t="s">
        <v>1226</v>
      </c>
    </row>
    <row r="2484" spans="1:11">
      <c r="A2484" t="s">
        <v>318</v>
      </c>
      <c r="B2484" t="s">
        <v>2228</v>
      </c>
      <c r="C2484" t="s">
        <v>914</v>
      </c>
      <c r="D2484" s="28">
        <v>7600100019023</v>
      </c>
      <c r="E2484" s="29" t="s">
        <v>1045</v>
      </c>
      <c r="F2484" s="29" t="s">
        <v>372</v>
      </c>
      <c r="G2484">
        <v>13</v>
      </c>
      <c r="H2484" t="s">
        <v>1051</v>
      </c>
      <c r="I2484" t="s">
        <v>98</v>
      </c>
      <c r="J2484" t="s">
        <v>185</v>
      </c>
      <c r="K2484" t="s">
        <v>1226</v>
      </c>
    </row>
    <row r="2485" spans="1:11">
      <c r="A2485" t="s">
        <v>318</v>
      </c>
      <c r="B2485" t="s">
        <v>2228</v>
      </c>
      <c r="C2485" t="s">
        <v>2282</v>
      </c>
      <c r="D2485" s="28">
        <v>7600100047160</v>
      </c>
      <c r="E2485" s="29" t="s">
        <v>371</v>
      </c>
      <c r="F2485" s="29" t="s">
        <v>372</v>
      </c>
      <c r="G2485">
        <v>13</v>
      </c>
      <c r="H2485" t="s">
        <v>1051</v>
      </c>
      <c r="I2485" t="s">
        <v>98</v>
      </c>
      <c r="J2485" t="s">
        <v>185</v>
      </c>
      <c r="K2485" t="s">
        <v>1226</v>
      </c>
    </row>
    <row r="2486" spans="1:11">
      <c r="A2486" t="s">
        <v>318</v>
      </c>
      <c r="B2486" t="s">
        <v>2228</v>
      </c>
      <c r="C2486" t="s">
        <v>1392</v>
      </c>
      <c r="D2486" s="28">
        <v>7600100047172</v>
      </c>
      <c r="E2486" s="29" t="s">
        <v>371</v>
      </c>
      <c r="F2486" s="29" t="s">
        <v>372</v>
      </c>
      <c r="G2486">
        <v>13</v>
      </c>
      <c r="H2486" t="s">
        <v>1051</v>
      </c>
      <c r="I2486" t="s">
        <v>98</v>
      </c>
      <c r="J2486" t="s">
        <v>185</v>
      </c>
      <c r="K2486" t="s">
        <v>1226</v>
      </c>
    </row>
    <row r="2487" spans="1:11">
      <c r="A2487" t="s">
        <v>318</v>
      </c>
      <c r="B2487" t="s">
        <v>2228</v>
      </c>
      <c r="C2487" t="s">
        <v>504</v>
      </c>
      <c r="D2487" s="28">
        <v>7600100047182</v>
      </c>
      <c r="E2487" s="29" t="s">
        <v>371</v>
      </c>
      <c r="F2487" s="29" t="s">
        <v>372</v>
      </c>
      <c r="G2487">
        <v>13</v>
      </c>
      <c r="H2487" t="s">
        <v>1051</v>
      </c>
      <c r="I2487" t="s">
        <v>98</v>
      </c>
      <c r="J2487" t="s">
        <v>185</v>
      </c>
      <c r="K2487" t="s">
        <v>1226</v>
      </c>
    </row>
    <row r="2488" spans="1:11">
      <c r="A2488" t="s">
        <v>318</v>
      </c>
      <c r="B2488" t="s">
        <v>2228</v>
      </c>
      <c r="C2488" t="s">
        <v>2283</v>
      </c>
      <c r="D2488" s="28">
        <v>7600100047187</v>
      </c>
      <c r="E2488" s="29" t="s">
        <v>371</v>
      </c>
      <c r="F2488" s="29" t="s">
        <v>372</v>
      </c>
      <c r="G2488">
        <v>13</v>
      </c>
      <c r="H2488" t="s">
        <v>1051</v>
      </c>
      <c r="I2488" t="s">
        <v>98</v>
      </c>
      <c r="J2488" t="s">
        <v>185</v>
      </c>
      <c r="K2488" t="s">
        <v>1226</v>
      </c>
    </row>
    <row r="2489" spans="1:11">
      <c r="A2489" t="s">
        <v>318</v>
      </c>
      <c r="B2489" t="s">
        <v>2228</v>
      </c>
      <c r="C2489" t="s">
        <v>2284</v>
      </c>
      <c r="D2489" s="28">
        <v>7600100047215</v>
      </c>
      <c r="E2489" s="29" t="s">
        <v>371</v>
      </c>
      <c r="F2489" s="29" t="s">
        <v>372</v>
      </c>
      <c r="G2489">
        <v>13</v>
      </c>
      <c r="H2489" t="s">
        <v>1051</v>
      </c>
      <c r="I2489" t="s">
        <v>98</v>
      </c>
      <c r="J2489" t="s">
        <v>185</v>
      </c>
      <c r="K2489" t="s">
        <v>1226</v>
      </c>
    </row>
    <row r="2490" spans="1:11">
      <c r="A2490" t="s">
        <v>318</v>
      </c>
      <c r="B2490" t="s">
        <v>2228</v>
      </c>
      <c r="C2490" t="s">
        <v>2285</v>
      </c>
      <c r="D2490" s="28">
        <v>7600100047219</v>
      </c>
      <c r="E2490" s="29" t="s">
        <v>371</v>
      </c>
      <c r="F2490" s="29" t="s">
        <v>372</v>
      </c>
      <c r="G2490">
        <v>13</v>
      </c>
      <c r="H2490" t="s">
        <v>1051</v>
      </c>
      <c r="I2490" t="s">
        <v>98</v>
      </c>
      <c r="J2490" t="s">
        <v>185</v>
      </c>
      <c r="K2490" t="s">
        <v>1226</v>
      </c>
    </row>
    <row r="2491" spans="1:11">
      <c r="A2491" t="s">
        <v>318</v>
      </c>
      <c r="B2491" t="s">
        <v>2228</v>
      </c>
      <c r="C2491" t="s">
        <v>2286</v>
      </c>
      <c r="D2491" s="28">
        <v>7600100047229</v>
      </c>
      <c r="E2491" s="29" t="s">
        <v>371</v>
      </c>
      <c r="F2491" s="29" t="s">
        <v>372</v>
      </c>
      <c r="G2491">
        <v>13</v>
      </c>
      <c r="H2491" t="s">
        <v>1051</v>
      </c>
      <c r="I2491" t="s">
        <v>98</v>
      </c>
      <c r="J2491" t="s">
        <v>185</v>
      </c>
      <c r="K2491" t="s">
        <v>1226</v>
      </c>
    </row>
    <row r="2492" spans="1:11">
      <c r="A2492" t="s">
        <v>318</v>
      </c>
      <c r="B2492" t="s">
        <v>2228</v>
      </c>
      <c r="C2492" t="s">
        <v>2287</v>
      </c>
      <c r="D2492" s="28">
        <v>7600100056765</v>
      </c>
      <c r="E2492" s="29" t="s">
        <v>371</v>
      </c>
      <c r="F2492" s="29" t="s">
        <v>372</v>
      </c>
      <c r="G2492">
        <v>13</v>
      </c>
      <c r="H2492" t="s">
        <v>1051</v>
      </c>
      <c r="I2492" t="s">
        <v>98</v>
      </c>
      <c r="J2492" t="s">
        <v>185</v>
      </c>
      <c r="K2492" t="s">
        <v>1226</v>
      </c>
    </row>
    <row r="2493" spans="1:11">
      <c r="A2493" t="s">
        <v>318</v>
      </c>
      <c r="B2493" t="s">
        <v>2228</v>
      </c>
      <c r="C2493" t="s">
        <v>699</v>
      </c>
      <c r="D2493" s="28">
        <v>7600100056889</v>
      </c>
      <c r="E2493" s="29" t="s">
        <v>371</v>
      </c>
      <c r="F2493" s="29" t="s">
        <v>372</v>
      </c>
      <c r="G2493">
        <v>13</v>
      </c>
      <c r="H2493" t="s">
        <v>1051</v>
      </c>
      <c r="I2493" t="s">
        <v>98</v>
      </c>
      <c r="J2493" t="s">
        <v>185</v>
      </c>
      <c r="K2493" t="s">
        <v>1226</v>
      </c>
    </row>
    <row r="2494" spans="1:11">
      <c r="A2494" t="s">
        <v>318</v>
      </c>
      <c r="B2494" t="s">
        <v>2228</v>
      </c>
      <c r="C2494" t="s">
        <v>377</v>
      </c>
      <c r="D2494" s="28">
        <v>7600100056901</v>
      </c>
      <c r="E2494" s="29" t="s">
        <v>371</v>
      </c>
      <c r="F2494" s="29" t="s">
        <v>372</v>
      </c>
      <c r="G2494">
        <v>13</v>
      </c>
      <c r="H2494" t="s">
        <v>1051</v>
      </c>
      <c r="I2494" t="s">
        <v>98</v>
      </c>
      <c r="J2494" t="s">
        <v>185</v>
      </c>
      <c r="K2494" t="s">
        <v>285</v>
      </c>
    </row>
    <row r="2495" spans="1:11">
      <c r="A2495" t="s">
        <v>318</v>
      </c>
      <c r="B2495" t="s">
        <v>2228</v>
      </c>
      <c r="C2495" t="s">
        <v>2288</v>
      </c>
      <c r="D2495" s="28">
        <v>7600100057181</v>
      </c>
      <c r="E2495" s="29" t="s">
        <v>371</v>
      </c>
      <c r="F2495" s="29" t="s">
        <v>372</v>
      </c>
      <c r="G2495">
        <v>13</v>
      </c>
      <c r="H2495" t="s">
        <v>1051</v>
      </c>
      <c r="I2495" t="s">
        <v>98</v>
      </c>
      <c r="J2495" t="s">
        <v>185</v>
      </c>
      <c r="K2495" t="s">
        <v>1226</v>
      </c>
    </row>
    <row r="2496" spans="1:11">
      <c r="A2496" t="s">
        <v>318</v>
      </c>
      <c r="B2496" t="s">
        <v>2228</v>
      </c>
      <c r="C2496" t="s">
        <v>2077</v>
      </c>
      <c r="D2496" s="28">
        <v>7600100057186</v>
      </c>
      <c r="E2496" s="29" t="s">
        <v>371</v>
      </c>
      <c r="F2496" s="29" t="s">
        <v>372</v>
      </c>
      <c r="G2496">
        <v>13</v>
      </c>
      <c r="H2496" t="s">
        <v>1051</v>
      </c>
      <c r="I2496" t="s">
        <v>98</v>
      </c>
      <c r="J2496" t="s">
        <v>185</v>
      </c>
      <c r="K2496" t="s">
        <v>1226</v>
      </c>
    </row>
    <row r="2497" spans="1:12">
      <c r="A2497" t="s">
        <v>318</v>
      </c>
      <c r="B2497" t="s">
        <v>2228</v>
      </c>
      <c r="C2497" t="s">
        <v>866</v>
      </c>
      <c r="D2497" s="28">
        <v>7600100057194</v>
      </c>
      <c r="E2497" s="29" t="s">
        <v>371</v>
      </c>
      <c r="F2497" s="29" t="s">
        <v>372</v>
      </c>
      <c r="G2497">
        <v>13</v>
      </c>
      <c r="H2497" t="s">
        <v>323</v>
      </c>
      <c r="I2497" t="s">
        <v>45</v>
      </c>
      <c r="J2497" t="s">
        <v>185</v>
      </c>
      <c r="K2497" t="s">
        <v>1226</v>
      </c>
      <c r="L2497" t="s">
        <v>327</v>
      </c>
    </row>
    <row r="2498" spans="1:12">
      <c r="A2498" t="s">
        <v>318</v>
      </c>
      <c r="B2498" t="s">
        <v>2228</v>
      </c>
      <c r="C2498" t="s">
        <v>2289</v>
      </c>
      <c r="D2498" s="28">
        <v>7600100057199</v>
      </c>
      <c r="E2498" s="29" t="s">
        <v>371</v>
      </c>
      <c r="F2498" s="29" t="s">
        <v>372</v>
      </c>
      <c r="G2498">
        <v>13</v>
      </c>
      <c r="H2498" t="s">
        <v>1051</v>
      </c>
      <c r="I2498" t="s">
        <v>98</v>
      </c>
      <c r="J2498" t="s">
        <v>185</v>
      </c>
      <c r="K2498" t="s">
        <v>1226</v>
      </c>
    </row>
    <row r="2499" spans="1:12">
      <c r="A2499" t="s">
        <v>318</v>
      </c>
      <c r="B2499" t="s">
        <v>2228</v>
      </c>
      <c r="C2499" t="s">
        <v>2290</v>
      </c>
      <c r="D2499" s="28">
        <v>7600100057452</v>
      </c>
      <c r="E2499" s="29" t="s">
        <v>371</v>
      </c>
      <c r="F2499" s="29" t="s">
        <v>372</v>
      </c>
      <c r="G2499">
        <v>13</v>
      </c>
      <c r="H2499" t="s">
        <v>1051</v>
      </c>
      <c r="I2499" t="s">
        <v>98</v>
      </c>
      <c r="J2499" t="s">
        <v>185</v>
      </c>
      <c r="K2499" t="s">
        <v>1226</v>
      </c>
    </row>
    <row r="2500" spans="1:12">
      <c r="A2500" t="s">
        <v>318</v>
      </c>
      <c r="B2500" t="s">
        <v>2228</v>
      </c>
      <c r="C2500" t="s">
        <v>586</v>
      </c>
      <c r="D2500" s="28">
        <v>7600100057454</v>
      </c>
      <c r="E2500" s="29" t="s">
        <v>1045</v>
      </c>
      <c r="F2500" s="29" t="s">
        <v>372</v>
      </c>
      <c r="G2500">
        <v>13</v>
      </c>
      <c r="H2500" t="s">
        <v>1051</v>
      </c>
      <c r="I2500" t="s">
        <v>98</v>
      </c>
      <c r="J2500" t="s">
        <v>185</v>
      </c>
      <c r="K2500" t="s">
        <v>337</v>
      </c>
    </row>
    <row r="2501" spans="1:12">
      <c r="A2501" t="s">
        <v>318</v>
      </c>
      <c r="B2501" t="s">
        <v>2228</v>
      </c>
      <c r="C2501" t="s">
        <v>421</v>
      </c>
      <c r="D2501" s="28">
        <v>7600100057455</v>
      </c>
      <c r="E2501" s="29" t="s">
        <v>371</v>
      </c>
      <c r="F2501" s="29" t="s">
        <v>372</v>
      </c>
      <c r="G2501">
        <v>13</v>
      </c>
      <c r="H2501" t="s">
        <v>1051</v>
      </c>
      <c r="I2501" t="s">
        <v>98</v>
      </c>
      <c r="J2501" t="s">
        <v>185</v>
      </c>
      <c r="K2501" t="s">
        <v>1226</v>
      </c>
    </row>
    <row r="2502" spans="1:12">
      <c r="A2502" t="s">
        <v>318</v>
      </c>
      <c r="B2502" t="s">
        <v>2228</v>
      </c>
      <c r="C2502" t="s">
        <v>1078</v>
      </c>
      <c r="D2502" s="28">
        <v>7600100057463</v>
      </c>
      <c r="E2502" s="29" t="s">
        <v>371</v>
      </c>
      <c r="F2502" s="29" t="s">
        <v>372</v>
      </c>
      <c r="G2502">
        <v>13</v>
      </c>
      <c r="H2502" t="s">
        <v>1051</v>
      </c>
      <c r="I2502" t="s">
        <v>98</v>
      </c>
      <c r="J2502" t="s">
        <v>185</v>
      </c>
      <c r="K2502" t="s">
        <v>1226</v>
      </c>
    </row>
    <row r="2503" spans="1:12">
      <c r="A2503" t="s">
        <v>318</v>
      </c>
      <c r="B2503" t="s">
        <v>2228</v>
      </c>
      <c r="C2503" t="s">
        <v>2291</v>
      </c>
      <c r="D2503" s="28">
        <v>7600100057476</v>
      </c>
      <c r="E2503" s="29" t="s">
        <v>371</v>
      </c>
      <c r="F2503" s="29" t="s">
        <v>372</v>
      </c>
      <c r="G2503">
        <v>13</v>
      </c>
      <c r="H2503" t="s">
        <v>1051</v>
      </c>
      <c r="I2503" t="s">
        <v>98</v>
      </c>
      <c r="J2503" t="s">
        <v>185</v>
      </c>
      <c r="K2503" t="s">
        <v>1226</v>
      </c>
    </row>
    <row r="2504" spans="1:12">
      <c r="A2504" t="s">
        <v>318</v>
      </c>
      <c r="B2504" t="s">
        <v>2228</v>
      </c>
      <c r="C2504" t="s">
        <v>2292</v>
      </c>
      <c r="D2504" s="28">
        <v>760011117736</v>
      </c>
      <c r="E2504" s="29" t="s">
        <v>371</v>
      </c>
      <c r="F2504" s="29" t="s">
        <v>372</v>
      </c>
      <c r="G2504">
        <v>13</v>
      </c>
      <c r="H2504" t="s">
        <v>1051</v>
      </c>
      <c r="I2504" t="s">
        <v>98</v>
      </c>
      <c r="J2504" t="s">
        <v>185</v>
      </c>
      <c r="K2504" t="s">
        <v>1226</v>
      </c>
    </row>
    <row r="2505" spans="1:12">
      <c r="A2505" t="s">
        <v>318</v>
      </c>
      <c r="B2505" t="s">
        <v>2228</v>
      </c>
      <c r="C2505" t="s">
        <v>773</v>
      </c>
      <c r="D2505" s="28">
        <v>760011117790</v>
      </c>
      <c r="E2505" s="29" t="s">
        <v>371</v>
      </c>
      <c r="F2505" s="29" t="s">
        <v>372</v>
      </c>
      <c r="G2505">
        <v>13</v>
      </c>
      <c r="H2505" t="s">
        <v>1051</v>
      </c>
      <c r="I2505" t="s">
        <v>98</v>
      </c>
      <c r="J2505" t="s">
        <v>185</v>
      </c>
      <c r="K2505" t="s">
        <v>1226</v>
      </c>
    </row>
    <row r="2506" spans="1:12">
      <c r="A2506" t="s">
        <v>318</v>
      </c>
      <c r="B2506" t="s">
        <v>2228</v>
      </c>
      <c r="C2506" t="s">
        <v>2293</v>
      </c>
      <c r="D2506" s="28">
        <v>760011117832</v>
      </c>
      <c r="E2506" s="29" t="s">
        <v>371</v>
      </c>
      <c r="F2506" s="29" t="s">
        <v>372</v>
      </c>
      <c r="G2506">
        <v>13</v>
      </c>
      <c r="H2506" t="s">
        <v>1051</v>
      </c>
      <c r="I2506" t="s">
        <v>98</v>
      </c>
      <c r="J2506" t="s">
        <v>185</v>
      </c>
      <c r="K2506" t="s">
        <v>1226</v>
      </c>
    </row>
    <row r="2507" spans="1:12">
      <c r="A2507" t="s">
        <v>318</v>
      </c>
      <c r="B2507" t="s">
        <v>2228</v>
      </c>
      <c r="C2507" t="s">
        <v>2294</v>
      </c>
      <c r="D2507" s="28">
        <v>760011117834</v>
      </c>
      <c r="E2507" s="29" t="s">
        <v>371</v>
      </c>
      <c r="F2507" s="29" t="s">
        <v>372</v>
      </c>
      <c r="G2507">
        <v>13</v>
      </c>
      <c r="H2507" t="s">
        <v>1051</v>
      </c>
      <c r="I2507" t="s">
        <v>98</v>
      </c>
      <c r="J2507" t="s">
        <v>185</v>
      </c>
      <c r="K2507" t="s">
        <v>1226</v>
      </c>
    </row>
    <row r="2508" spans="1:12">
      <c r="A2508" t="s">
        <v>318</v>
      </c>
      <c r="B2508" t="s">
        <v>2228</v>
      </c>
      <c r="C2508" t="s">
        <v>2295</v>
      </c>
      <c r="D2508" s="28">
        <v>760011117835</v>
      </c>
      <c r="E2508" s="29" t="s">
        <v>371</v>
      </c>
      <c r="F2508" s="29" t="s">
        <v>372</v>
      </c>
      <c r="G2508">
        <v>13</v>
      </c>
      <c r="H2508" t="s">
        <v>1051</v>
      </c>
      <c r="I2508" t="s">
        <v>98</v>
      </c>
      <c r="J2508" t="s">
        <v>185</v>
      </c>
      <c r="K2508" t="s">
        <v>1226</v>
      </c>
    </row>
    <row r="2509" spans="1:12">
      <c r="A2509" t="s">
        <v>318</v>
      </c>
      <c r="B2509" t="s">
        <v>2228</v>
      </c>
      <c r="C2509" t="s">
        <v>454</v>
      </c>
      <c r="D2509" s="28">
        <v>760011117836</v>
      </c>
      <c r="E2509" s="29" t="s">
        <v>371</v>
      </c>
      <c r="F2509" s="29" t="s">
        <v>372</v>
      </c>
      <c r="G2509">
        <v>13</v>
      </c>
      <c r="H2509" t="s">
        <v>1051</v>
      </c>
      <c r="I2509" t="s">
        <v>98</v>
      </c>
      <c r="J2509" t="s">
        <v>185</v>
      </c>
      <c r="K2509" t="s">
        <v>1226</v>
      </c>
    </row>
    <row r="2510" spans="1:12">
      <c r="A2510" t="s">
        <v>318</v>
      </c>
      <c r="B2510" t="s">
        <v>2228</v>
      </c>
      <c r="C2510" t="s">
        <v>1392</v>
      </c>
      <c r="D2510" s="28">
        <v>760011117838</v>
      </c>
      <c r="E2510" s="29" t="s">
        <v>371</v>
      </c>
      <c r="F2510" s="29" t="s">
        <v>372</v>
      </c>
      <c r="G2510">
        <v>13</v>
      </c>
      <c r="H2510" t="s">
        <v>1051</v>
      </c>
      <c r="I2510" t="s">
        <v>98</v>
      </c>
      <c r="J2510" t="s">
        <v>185</v>
      </c>
      <c r="K2510" t="s">
        <v>1226</v>
      </c>
    </row>
    <row r="2511" spans="1:12">
      <c r="A2511" t="s">
        <v>318</v>
      </c>
      <c r="B2511" t="s">
        <v>2228</v>
      </c>
      <c r="C2511" t="s">
        <v>2296</v>
      </c>
      <c r="D2511" s="28">
        <v>760011117839</v>
      </c>
      <c r="E2511" s="29" t="s">
        <v>371</v>
      </c>
      <c r="F2511" s="29" t="s">
        <v>372</v>
      </c>
      <c r="G2511">
        <v>13</v>
      </c>
      <c r="H2511" t="s">
        <v>1051</v>
      </c>
      <c r="I2511" t="s">
        <v>98</v>
      </c>
      <c r="J2511" t="s">
        <v>185</v>
      </c>
      <c r="K2511" t="s">
        <v>1226</v>
      </c>
    </row>
    <row r="2512" spans="1:12">
      <c r="A2512" t="s">
        <v>318</v>
      </c>
      <c r="B2512" t="s">
        <v>2228</v>
      </c>
      <c r="C2512" t="s">
        <v>2297</v>
      </c>
      <c r="D2512" s="28">
        <v>760011117840</v>
      </c>
      <c r="E2512" s="29" t="s">
        <v>371</v>
      </c>
      <c r="F2512" s="29" t="s">
        <v>372</v>
      </c>
      <c r="G2512">
        <v>13</v>
      </c>
      <c r="H2512" t="s">
        <v>1051</v>
      </c>
      <c r="I2512" t="s">
        <v>98</v>
      </c>
      <c r="J2512" t="s">
        <v>185</v>
      </c>
      <c r="K2512" t="s">
        <v>1226</v>
      </c>
    </row>
    <row r="2513" spans="1:11">
      <c r="A2513" t="s">
        <v>318</v>
      </c>
      <c r="B2513" t="s">
        <v>2228</v>
      </c>
      <c r="C2513" t="s">
        <v>348</v>
      </c>
      <c r="D2513" s="28">
        <v>760011117841</v>
      </c>
      <c r="E2513" s="29" t="s">
        <v>371</v>
      </c>
      <c r="F2513" s="29" t="s">
        <v>372</v>
      </c>
      <c r="G2513">
        <v>13</v>
      </c>
      <c r="H2513" t="s">
        <v>1051</v>
      </c>
      <c r="I2513" t="s">
        <v>98</v>
      </c>
      <c r="J2513" t="s">
        <v>185</v>
      </c>
      <c r="K2513" t="s">
        <v>1226</v>
      </c>
    </row>
    <row r="2514" spans="1:11">
      <c r="A2514" t="s">
        <v>318</v>
      </c>
      <c r="B2514" t="s">
        <v>2228</v>
      </c>
      <c r="C2514" t="s">
        <v>2298</v>
      </c>
      <c r="D2514" s="28">
        <v>760011117842</v>
      </c>
      <c r="E2514" s="29" t="s">
        <v>371</v>
      </c>
      <c r="F2514" s="29" t="s">
        <v>372</v>
      </c>
      <c r="G2514">
        <v>13</v>
      </c>
      <c r="H2514" t="s">
        <v>1051</v>
      </c>
      <c r="I2514" t="s">
        <v>98</v>
      </c>
      <c r="J2514" t="s">
        <v>185</v>
      </c>
      <c r="K2514" t="s">
        <v>1226</v>
      </c>
    </row>
    <row r="2515" spans="1:11">
      <c r="A2515" t="s">
        <v>318</v>
      </c>
      <c r="B2515" t="s">
        <v>2228</v>
      </c>
      <c r="C2515" t="s">
        <v>813</v>
      </c>
      <c r="D2515" s="28">
        <v>760011117846</v>
      </c>
      <c r="E2515" s="29" t="s">
        <v>371</v>
      </c>
      <c r="F2515" s="29" t="s">
        <v>372</v>
      </c>
      <c r="G2515">
        <v>13</v>
      </c>
      <c r="H2515" t="s">
        <v>1051</v>
      </c>
      <c r="I2515" t="s">
        <v>98</v>
      </c>
      <c r="J2515" t="s">
        <v>185</v>
      </c>
      <c r="K2515" t="s">
        <v>1226</v>
      </c>
    </row>
    <row r="2516" spans="1:11">
      <c r="A2516" t="s">
        <v>318</v>
      </c>
      <c r="B2516" t="s">
        <v>2228</v>
      </c>
      <c r="C2516" t="s">
        <v>2299</v>
      </c>
      <c r="D2516" s="28">
        <v>760011117848</v>
      </c>
      <c r="E2516" s="29" t="s">
        <v>371</v>
      </c>
      <c r="F2516" s="29" t="s">
        <v>372</v>
      </c>
      <c r="G2516">
        <v>13</v>
      </c>
      <c r="H2516" t="s">
        <v>1051</v>
      </c>
      <c r="I2516" t="s">
        <v>98</v>
      </c>
      <c r="J2516" t="s">
        <v>185</v>
      </c>
      <c r="K2516" t="s">
        <v>1226</v>
      </c>
    </row>
    <row r="2517" spans="1:11">
      <c r="A2517" t="s">
        <v>318</v>
      </c>
      <c r="B2517" t="s">
        <v>2228</v>
      </c>
      <c r="C2517" t="s">
        <v>2300</v>
      </c>
      <c r="D2517" s="28">
        <v>760011117849</v>
      </c>
      <c r="E2517" s="29" t="s">
        <v>371</v>
      </c>
      <c r="F2517" s="29" t="s">
        <v>372</v>
      </c>
      <c r="G2517">
        <v>13</v>
      </c>
      <c r="H2517" t="s">
        <v>1051</v>
      </c>
      <c r="I2517" t="s">
        <v>98</v>
      </c>
      <c r="J2517" t="s">
        <v>185</v>
      </c>
      <c r="K2517" t="s">
        <v>1226</v>
      </c>
    </row>
    <row r="2518" spans="1:11">
      <c r="A2518" t="s">
        <v>318</v>
      </c>
      <c r="B2518" t="s">
        <v>2228</v>
      </c>
      <c r="C2518" t="s">
        <v>1288</v>
      </c>
      <c r="D2518" s="28">
        <v>760011117892</v>
      </c>
      <c r="E2518" s="29" t="s">
        <v>371</v>
      </c>
      <c r="F2518" s="29" t="s">
        <v>372</v>
      </c>
      <c r="G2518">
        <v>13</v>
      </c>
      <c r="H2518" t="s">
        <v>1051</v>
      </c>
      <c r="I2518" t="s">
        <v>98</v>
      </c>
      <c r="J2518" t="s">
        <v>185</v>
      </c>
      <c r="K2518" t="s">
        <v>1226</v>
      </c>
    </row>
    <row r="2519" spans="1:11">
      <c r="A2519" t="s">
        <v>318</v>
      </c>
      <c r="B2519" t="s">
        <v>2228</v>
      </c>
      <c r="C2519" t="s">
        <v>2301</v>
      </c>
      <c r="D2519" s="28">
        <v>760011118644</v>
      </c>
      <c r="E2519" s="29" t="s">
        <v>1045</v>
      </c>
      <c r="F2519" s="29" t="s">
        <v>372</v>
      </c>
      <c r="G2519">
        <v>13</v>
      </c>
      <c r="H2519" t="s">
        <v>1051</v>
      </c>
      <c r="I2519" t="s">
        <v>98</v>
      </c>
      <c r="J2519" t="s">
        <v>185</v>
      </c>
      <c r="K2519" t="s">
        <v>285</v>
      </c>
    </row>
    <row r="2520" spans="1:11">
      <c r="A2520" t="s">
        <v>318</v>
      </c>
      <c r="B2520" t="s">
        <v>2228</v>
      </c>
      <c r="C2520" t="s">
        <v>598</v>
      </c>
      <c r="D2520" s="28">
        <v>760011120617</v>
      </c>
      <c r="E2520" s="29" t="s">
        <v>371</v>
      </c>
      <c r="F2520" s="29" t="s">
        <v>372</v>
      </c>
      <c r="G2520">
        <v>13</v>
      </c>
      <c r="H2520" t="s">
        <v>1051</v>
      </c>
      <c r="I2520" t="s">
        <v>98</v>
      </c>
      <c r="J2520" t="s">
        <v>185</v>
      </c>
      <c r="K2520" t="s">
        <v>1226</v>
      </c>
    </row>
    <row r="2521" spans="1:11">
      <c r="A2521" t="s">
        <v>318</v>
      </c>
      <c r="B2521" t="s">
        <v>2228</v>
      </c>
      <c r="C2521" t="s">
        <v>1410</v>
      </c>
      <c r="D2521" s="28">
        <v>760011121172</v>
      </c>
      <c r="E2521" s="29" t="s">
        <v>371</v>
      </c>
      <c r="F2521" s="29" t="s">
        <v>372</v>
      </c>
      <c r="G2521">
        <v>13</v>
      </c>
      <c r="H2521" t="s">
        <v>1051</v>
      </c>
      <c r="I2521" t="s">
        <v>98</v>
      </c>
      <c r="J2521" t="s">
        <v>185</v>
      </c>
      <c r="K2521" t="s">
        <v>1226</v>
      </c>
    </row>
    <row r="2522" spans="1:11">
      <c r="A2522" t="s">
        <v>318</v>
      </c>
      <c r="B2522" t="s">
        <v>2228</v>
      </c>
      <c r="C2522" t="s">
        <v>2302</v>
      </c>
      <c r="D2522" s="28">
        <v>760011121756</v>
      </c>
      <c r="E2522" s="29" t="s">
        <v>371</v>
      </c>
      <c r="F2522" s="29" t="s">
        <v>372</v>
      </c>
      <c r="G2522">
        <v>13</v>
      </c>
      <c r="H2522" t="s">
        <v>1051</v>
      </c>
      <c r="I2522" t="s">
        <v>98</v>
      </c>
      <c r="J2522" t="s">
        <v>185</v>
      </c>
      <c r="K2522" t="s">
        <v>1226</v>
      </c>
    </row>
    <row r="2523" spans="1:11">
      <c r="A2523" t="s">
        <v>318</v>
      </c>
      <c r="B2523" t="s">
        <v>2228</v>
      </c>
      <c r="C2523" t="s">
        <v>575</v>
      </c>
      <c r="D2523" s="28">
        <v>760011121770</v>
      </c>
      <c r="E2523" s="29" t="s">
        <v>371</v>
      </c>
      <c r="F2523" s="29" t="s">
        <v>372</v>
      </c>
      <c r="G2523">
        <v>13</v>
      </c>
      <c r="H2523" t="s">
        <v>1051</v>
      </c>
      <c r="I2523" t="s">
        <v>98</v>
      </c>
      <c r="J2523" t="s">
        <v>185</v>
      </c>
      <c r="K2523" t="s">
        <v>1226</v>
      </c>
    </row>
    <row r="2524" spans="1:11">
      <c r="A2524" t="s">
        <v>318</v>
      </c>
      <c r="B2524" t="s">
        <v>2228</v>
      </c>
      <c r="C2524" t="s">
        <v>2303</v>
      </c>
      <c r="D2524" s="28">
        <v>760011121814</v>
      </c>
      <c r="E2524" s="29" t="s">
        <v>371</v>
      </c>
      <c r="F2524" s="29" t="s">
        <v>372</v>
      </c>
      <c r="G2524">
        <v>13</v>
      </c>
      <c r="H2524" t="s">
        <v>1051</v>
      </c>
      <c r="I2524" t="s">
        <v>98</v>
      </c>
      <c r="J2524" t="s">
        <v>185</v>
      </c>
      <c r="K2524" t="s">
        <v>1226</v>
      </c>
    </row>
    <row r="2525" spans="1:11">
      <c r="A2525" t="s">
        <v>318</v>
      </c>
      <c r="B2525" t="s">
        <v>2228</v>
      </c>
      <c r="C2525" t="s">
        <v>511</v>
      </c>
      <c r="D2525" s="28">
        <v>760011122915</v>
      </c>
      <c r="E2525" s="29" t="s">
        <v>371</v>
      </c>
      <c r="F2525" s="29" t="s">
        <v>372</v>
      </c>
      <c r="G2525">
        <v>13</v>
      </c>
      <c r="H2525" t="s">
        <v>1051</v>
      </c>
      <c r="I2525" t="s">
        <v>98</v>
      </c>
      <c r="J2525" t="s">
        <v>185</v>
      </c>
      <c r="K2525" t="s">
        <v>1226</v>
      </c>
    </row>
    <row r="2526" spans="1:11">
      <c r="A2526" t="s">
        <v>318</v>
      </c>
      <c r="B2526" t="s">
        <v>2228</v>
      </c>
      <c r="C2526" t="s">
        <v>2304</v>
      </c>
      <c r="D2526" s="28">
        <v>760011122919</v>
      </c>
      <c r="E2526" s="29" t="s">
        <v>371</v>
      </c>
      <c r="F2526" s="29" t="s">
        <v>372</v>
      </c>
      <c r="G2526">
        <v>13</v>
      </c>
      <c r="H2526" t="s">
        <v>1051</v>
      </c>
      <c r="I2526" t="s">
        <v>98</v>
      </c>
      <c r="J2526" t="s">
        <v>185</v>
      </c>
      <c r="K2526" t="s">
        <v>1226</v>
      </c>
    </row>
    <row r="2527" spans="1:11">
      <c r="A2527" t="s">
        <v>318</v>
      </c>
      <c r="B2527" t="s">
        <v>2228</v>
      </c>
      <c r="C2527" t="s">
        <v>2305</v>
      </c>
      <c r="D2527" s="28">
        <v>760011122963</v>
      </c>
      <c r="E2527" s="29" t="s">
        <v>371</v>
      </c>
      <c r="F2527" s="29" t="s">
        <v>372</v>
      </c>
      <c r="G2527">
        <v>13</v>
      </c>
      <c r="H2527" t="s">
        <v>1051</v>
      </c>
      <c r="I2527" t="s">
        <v>98</v>
      </c>
      <c r="J2527" t="s">
        <v>185</v>
      </c>
      <c r="K2527" t="s">
        <v>1226</v>
      </c>
    </row>
    <row r="2528" spans="1:11">
      <c r="A2528" t="s">
        <v>318</v>
      </c>
      <c r="B2528" t="s">
        <v>2228</v>
      </c>
      <c r="C2528" t="s">
        <v>2306</v>
      </c>
      <c r="D2528" s="28">
        <v>760011124243</v>
      </c>
      <c r="E2528" s="29" t="s">
        <v>1045</v>
      </c>
      <c r="F2528" s="29" t="s">
        <v>372</v>
      </c>
      <c r="G2528">
        <v>13</v>
      </c>
      <c r="H2528" t="s">
        <v>1051</v>
      </c>
      <c r="I2528" t="s">
        <v>98</v>
      </c>
      <c r="J2528" t="s">
        <v>185</v>
      </c>
      <c r="K2528" t="s">
        <v>1226</v>
      </c>
    </row>
    <row r="2529" spans="1:11">
      <c r="A2529" t="s">
        <v>318</v>
      </c>
      <c r="B2529" t="s">
        <v>2228</v>
      </c>
      <c r="C2529" t="s">
        <v>2185</v>
      </c>
      <c r="D2529" s="28">
        <v>760011124245</v>
      </c>
      <c r="E2529" s="29" t="s">
        <v>1045</v>
      </c>
      <c r="F2529" s="29" t="s">
        <v>372</v>
      </c>
      <c r="G2529">
        <v>13</v>
      </c>
      <c r="H2529" t="s">
        <v>1051</v>
      </c>
      <c r="I2529" t="s">
        <v>98</v>
      </c>
      <c r="J2529" t="s">
        <v>185</v>
      </c>
      <c r="K2529" t="s">
        <v>1226</v>
      </c>
    </row>
    <row r="2530" spans="1:11">
      <c r="A2530" t="s">
        <v>318</v>
      </c>
      <c r="B2530" t="s">
        <v>2228</v>
      </c>
      <c r="C2530" t="s">
        <v>2307</v>
      </c>
      <c r="D2530" s="28">
        <v>760011124388</v>
      </c>
      <c r="E2530" s="29" t="s">
        <v>371</v>
      </c>
      <c r="F2530" s="29" t="s">
        <v>372</v>
      </c>
      <c r="G2530">
        <v>13</v>
      </c>
      <c r="H2530" t="s">
        <v>1051</v>
      </c>
      <c r="I2530" t="s">
        <v>98</v>
      </c>
      <c r="J2530" t="s">
        <v>185</v>
      </c>
      <c r="K2530" t="s">
        <v>1226</v>
      </c>
    </row>
    <row r="2531" spans="1:11">
      <c r="A2531" t="s">
        <v>318</v>
      </c>
      <c r="B2531" t="s">
        <v>2228</v>
      </c>
      <c r="C2531" t="s">
        <v>1003</v>
      </c>
      <c r="D2531" s="28">
        <v>760011124442</v>
      </c>
      <c r="E2531" s="29" t="s">
        <v>1045</v>
      </c>
      <c r="F2531" s="29" t="s">
        <v>372</v>
      </c>
      <c r="G2531">
        <v>13</v>
      </c>
      <c r="H2531" t="s">
        <v>1051</v>
      </c>
      <c r="I2531" t="s">
        <v>98</v>
      </c>
      <c r="J2531" t="s">
        <v>185</v>
      </c>
      <c r="K2531" t="s">
        <v>1226</v>
      </c>
    </row>
    <row r="2532" spans="1:11">
      <c r="A2532" t="s">
        <v>318</v>
      </c>
      <c r="B2532" t="s">
        <v>2228</v>
      </c>
      <c r="C2532" t="s">
        <v>395</v>
      </c>
      <c r="D2532" s="28">
        <v>760011124822</v>
      </c>
      <c r="E2532" s="29" t="s">
        <v>1045</v>
      </c>
      <c r="F2532" s="29" t="s">
        <v>372</v>
      </c>
      <c r="G2532">
        <v>13</v>
      </c>
      <c r="H2532" t="s">
        <v>1051</v>
      </c>
      <c r="I2532" t="s">
        <v>98</v>
      </c>
      <c r="J2532" t="s">
        <v>185</v>
      </c>
      <c r="K2532" t="s">
        <v>1226</v>
      </c>
    </row>
    <row r="2533" spans="1:11">
      <c r="A2533" t="s">
        <v>318</v>
      </c>
      <c r="B2533" t="s">
        <v>2228</v>
      </c>
      <c r="C2533" t="s">
        <v>2308</v>
      </c>
      <c r="D2533" s="28">
        <v>760011124945</v>
      </c>
      <c r="E2533" s="29" t="s">
        <v>1045</v>
      </c>
      <c r="F2533" s="29" t="s">
        <v>372</v>
      </c>
      <c r="G2533">
        <v>13</v>
      </c>
      <c r="H2533" t="s">
        <v>1051</v>
      </c>
      <c r="I2533" t="s">
        <v>98</v>
      </c>
      <c r="J2533" t="s">
        <v>185</v>
      </c>
      <c r="K2533" t="s">
        <v>337</v>
      </c>
    </row>
    <row r="2534" spans="1:11">
      <c r="A2534" t="s">
        <v>318</v>
      </c>
      <c r="B2534" t="s">
        <v>2228</v>
      </c>
      <c r="C2534" t="s">
        <v>1162</v>
      </c>
      <c r="D2534" s="28">
        <v>760011126587</v>
      </c>
      <c r="E2534" s="29" t="s">
        <v>371</v>
      </c>
      <c r="F2534" s="29" t="s">
        <v>372</v>
      </c>
      <c r="G2534">
        <v>13</v>
      </c>
      <c r="H2534" t="s">
        <v>1051</v>
      </c>
      <c r="I2534" t="s">
        <v>98</v>
      </c>
      <c r="J2534" t="s">
        <v>185</v>
      </c>
      <c r="K2534" t="s">
        <v>1226</v>
      </c>
    </row>
    <row r="2535" spans="1:11">
      <c r="A2535" t="s">
        <v>318</v>
      </c>
      <c r="B2535" t="s">
        <v>2228</v>
      </c>
      <c r="C2535" t="s">
        <v>511</v>
      </c>
      <c r="D2535" s="28">
        <v>7600100059804</v>
      </c>
      <c r="E2535" s="29" t="s">
        <v>371</v>
      </c>
      <c r="F2535" s="29" t="s">
        <v>372</v>
      </c>
      <c r="G2535">
        <v>13</v>
      </c>
      <c r="H2535" t="s">
        <v>1051</v>
      </c>
      <c r="I2535" t="s">
        <v>98</v>
      </c>
      <c r="J2535" t="s">
        <v>185</v>
      </c>
      <c r="K2535" t="s">
        <v>1226</v>
      </c>
    </row>
    <row r="2536" spans="1:11">
      <c r="A2536" t="s">
        <v>318</v>
      </c>
      <c r="B2536" t="s">
        <v>2228</v>
      </c>
      <c r="C2536" t="s">
        <v>2309</v>
      </c>
      <c r="D2536" s="28">
        <v>7600100059814</v>
      </c>
      <c r="E2536" s="29" t="s">
        <v>371</v>
      </c>
      <c r="F2536" s="29" t="s">
        <v>372</v>
      </c>
      <c r="G2536">
        <v>13</v>
      </c>
      <c r="H2536" t="s">
        <v>1051</v>
      </c>
      <c r="I2536" t="s">
        <v>98</v>
      </c>
      <c r="J2536" t="s">
        <v>185</v>
      </c>
      <c r="K2536" t="s">
        <v>1226</v>
      </c>
    </row>
    <row r="2537" spans="1:11">
      <c r="A2537" t="s">
        <v>318</v>
      </c>
      <c r="B2537" t="s">
        <v>2228</v>
      </c>
      <c r="C2537" t="s">
        <v>2310</v>
      </c>
      <c r="D2537" s="28">
        <v>7600100059821</v>
      </c>
      <c r="E2537" s="29" t="s">
        <v>371</v>
      </c>
      <c r="F2537" s="29" t="s">
        <v>372</v>
      </c>
      <c r="G2537">
        <v>13</v>
      </c>
      <c r="H2537" t="s">
        <v>1051</v>
      </c>
      <c r="I2537" t="s">
        <v>98</v>
      </c>
      <c r="J2537" t="s">
        <v>185</v>
      </c>
      <c r="K2537" t="s">
        <v>1226</v>
      </c>
    </row>
    <row r="2538" spans="1:11">
      <c r="A2538" t="s">
        <v>318</v>
      </c>
      <c r="B2538" t="s">
        <v>2228</v>
      </c>
      <c r="C2538" t="s">
        <v>2294</v>
      </c>
      <c r="D2538" s="28">
        <v>7600100059824</v>
      </c>
      <c r="E2538" s="29" t="s">
        <v>371</v>
      </c>
      <c r="F2538" s="29" t="s">
        <v>372</v>
      </c>
      <c r="G2538">
        <v>13</v>
      </c>
      <c r="H2538" t="s">
        <v>1051</v>
      </c>
      <c r="I2538" t="s">
        <v>98</v>
      </c>
      <c r="J2538" t="s">
        <v>185</v>
      </c>
      <c r="K2538" t="s">
        <v>1226</v>
      </c>
    </row>
    <row r="2539" spans="1:11">
      <c r="A2539" t="s">
        <v>318</v>
      </c>
      <c r="B2539" t="s">
        <v>2228</v>
      </c>
      <c r="C2539" t="s">
        <v>1017</v>
      </c>
      <c r="D2539" s="28">
        <v>7600100059834</v>
      </c>
      <c r="E2539" s="29" t="s">
        <v>371</v>
      </c>
      <c r="F2539" s="29" t="s">
        <v>372</v>
      </c>
      <c r="G2539">
        <v>13</v>
      </c>
      <c r="H2539" t="s">
        <v>1051</v>
      </c>
      <c r="I2539" t="s">
        <v>98</v>
      </c>
      <c r="J2539" t="s">
        <v>185</v>
      </c>
      <c r="K2539" t="s">
        <v>285</v>
      </c>
    </row>
    <row r="2540" spans="1:11">
      <c r="A2540" t="s">
        <v>318</v>
      </c>
      <c r="B2540" t="s">
        <v>2228</v>
      </c>
      <c r="C2540" t="s">
        <v>377</v>
      </c>
      <c r="D2540" s="28">
        <v>7600100059844</v>
      </c>
      <c r="E2540" s="29" t="s">
        <v>371</v>
      </c>
      <c r="F2540" s="29" t="s">
        <v>372</v>
      </c>
      <c r="G2540">
        <v>13</v>
      </c>
      <c r="H2540" t="s">
        <v>1051</v>
      </c>
      <c r="I2540" t="s">
        <v>98</v>
      </c>
      <c r="J2540" t="s">
        <v>185</v>
      </c>
      <c r="K2540" t="s">
        <v>1226</v>
      </c>
    </row>
    <row r="2541" spans="1:11">
      <c r="A2541" t="s">
        <v>318</v>
      </c>
      <c r="B2541" t="s">
        <v>2228</v>
      </c>
      <c r="C2541" t="s">
        <v>2311</v>
      </c>
      <c r="D2541" s="28">
        <v>7600100059846</v>
      </c>
      <c r="E2541" s="29" t="s">
        <v>371</v>
      </c>
      <c r="F2541" s="29" t="s">
        <v>372</v>
      </c>
      <c r="G2541">
        <v>13</v>
      </c>
      <c r="H2541" t="s">
        <v>1051</v>
      </c>
      <c r="I2541" t="s">
        <v>98</v>
      </c>
      <c r="J2541" t="s">
        <v>185</v>
      </c>
      <c r="K2541" t="s">
        <v>1226</v>
      </c>
    </row>
    <row r="2542" spans="1:11">
      <c r="A2542" t="s">
        <v>318</v>
      </c>
      <c r="B2542" t="s">
        <v>2228</v>
      </c>
      <c r="C2542" t="s">
        <v>2280</v>
      </c>
      <c r="D2542" s="28">
        <v>7600100059860</v>
      </c>
      <c r="E2542" s="29" t="s">
        <v>371</v>
      </c>
      <c r="F2542" s="29" t="s">
        <v>372</v>
      </c>
      <c r="G2542">
        <v>13</v>
      </c>
      <c r="H2542" t="s">
        <v>1051</v>
      </c>
      <c r="I2542" t="s">
        <v>98</v>
      </c>
      <c r="J2542" t="s">
        <v>185</v>
      </c>
      <c r="K2542" t="s">
        <v>1226</v>
      </c>
    </row>
    <row r="2543" spans="1:11">
      <c r="A2543" t="s">
        <v>318</v>
      </c>
      <c r="B2543" t="s">
        <v>2228</v>
      </c>
      <c r="C2543" t="s">
        <v>2312</v>
      </c>
      <c r="D2543" s="28">
        <v>7600100059871</v>
      </c>
      <c r="E2543" s="29" t="s">
        <v>371</v>
      </c>
      <c r="F2543" s="29" t="s">
        <v>372</v>
      </c>
      <c r="G2543">
        <v>13</v>
      </c>
      <c r="H2543" t="s">
        <v>1051</v>
      </c>
      <c r="I2543" t="s">
        <v>98</v>
      </c>
      <c r="J2543" t="s">
        <v>185</v>
      </c>
      <c r="K2543" t="s">
        <v>1226</v>
      </c>
    </row>
    <row r="2544" spans="1:11">
      <c r="A2544" t="s">
        <v>318</v>
      </c>
      <c r="B2544" t="s">
        <v>2228</v>
      </c>
      <c r="C2544" t="s">
        <v>2313</v>
      </c>
      <c r="D2544" s="28">
        <v>7600100059873</v>
      </c>
      <c r="E2544" s="29" t="s">
        <v>371</v>
      </c>
      <c r="F2544" s="29" t="s">
        <v>372</v>
      </c>
      <c r="G2544">
        <v>13</v>
      </c>
      <c r="H2544" t="s">
        <v>1051</v>
      </c>
      <c r="I2544" t="s">
        <v>98</v>
      </c>
      <c r="J2544" t="s">
        <v>185</v>
      </c>
      <c r="K2544" t="s">
        <v>1226</v>
      </c>
    </row>
    <row r="2545" spans="1:11">
      <c r="A2545" t="s">
        <v>318</v>
      </c>
      <c r="B2545" t="s">
        <v>2228</v>
      </c>
      <c r="C2545" t="s">
        <v>2314</v>
      </c>
      <c r="D2545" s="28">
        <v>7600100059875</v>
      </c>
      <c r="E2545" s="29" t="s">
        <v>371</v>
      </c>
      <c r="F2545" s="29" t="s">
        <v>372</v>
      </c>
      <c r="G2545">
        <v>13</v>
      </c>
      <c r="H2545" t="s">
        <v>1051</v>
      </c>
      <c r="I2545" t="s">
        <v>98</v>
      </c>
      <c r="J2545" t="s">
        <v>185</v>
      </c>
      <c r="K2545" t="s">
        <v>1226</v>
      </c>
    </row>
    <row r="2546" spans="1:11">
      <c r="A2546" t="s">
        <v>318</v>
      </c>
      <c r="B2546" t="s">
        <v>2228</v>
      </c>
      <c r="C2546" t="s">
        <v>486</v>
      </c>
      <c r="D2546" s="28">
        <v>7600100059898</v>
      </c>
      <c r="E2546" s="29" t="s">
        <v>1045</v>
      </c>
      <c r="F2546" s="29" t="s">
        <v>372</v>
      </c>
      <c r="G2546">
        <v>13</v>
      </c>
      <c r="H2546" t="s">
        <v>1051</v>
      </c>
      <c r="I2546" t="s">
        <v>98</v>
      </c>
      <c r="J2546" t="s">
        <v>185</v>
      </c>
      <c r="K2546" t="s">
        <v>285</v>
      </c>
    </row>
    <row r="2547" spans="1:11">
      <c r="A2547" t="s">
        <v>318</v>
      </c>
      <c r="B2547" t="s">
        <v>2228</v>
      </c>
      <c r="C2547" t="s">
        <v>2315</v>
      </c>
      <c r="D2547" s="28">
        <v>7600100059908</v>
      </c>
      <c r="E2547" s="29" t="s">
        <v>1045</v>
      </c>
      <c r="F2547" s="29" t="s">
        <v>372</v>
      </c>
      <c r="G2547">
        <v>13</v>
      </c>
      <c r="H2547" t="s">
        <v>1051</v>
      </c>
      <c r="I2547" t="s">
        <v>98</v>
      </c>
      <c r="J2547" t="s">
        <v>185</v>
      </c>
      <c r="K2547" t="s">
        <v>1226</v>
      </c>
    </row>
    <row r="2548" spans="1:11">
      <c r="A2548" t="s">
        <v>318</v>
      </c>
      <c r="B2548" t="s">
        <v>2228</v>
      </c>
      <c r="C2548" t="s">
        <v>1243</v>
      </c>
      <c r="D2548" s="28">
        <v>7600100059913</v>
      </c>
      <c r="E2548" s="29" t="s">
        <v>1045</v>
      </c>
      <c r="F2548" s="29" t="s">
        <v>372</v>
      </c>
      <c r="G2548">
        <v>13</v>
      </c>
      <c r="H2548" t="s">
        <v>1051</v>
      </c>
      <c r="I2548" t="s">
        <v>98</v>
      </c>
      <c r="J2548" t="s">
        <v>185</v>
      </c>
      <c r="K2548" t="s">
        <v>1226</v>
      </c>
    </row>
    <row r="2549" spans="1:11">
      <c r="A2549" t="s">
        <v>318</v>
      </c>
      <c r="B2549" t="s">
        <v>2228</v>
      </c>
      <c r="C2549" t="s">
        <v>411</v>
      </c>
      <c r="D2549" s="28">
        <v>7600100064406</v>
      </c>
      <c r="E2549" s="29" t="s">
        <v>371</v>
      </c>
      <c r="F2549" s="29" t="s">
        <v>372</v>
      </c>
      <c r="G2549">
        <v>13</v>
      </c>
      <c r="H2549" t="s">
        <v>1051</v>
      </c>
      <c r="I2549" t="s">
        <v>98</v>
      </c>
      <c r="J2549" t="s">
        <v>185</v>
      </c>
      <c r="K2549" t="s">
        <v>1226</v>
      </c>
    </row>
    <row r="2550" spans="1:11">
      <c r="A2550" t="s">
        <v>318</v>
      </c>
      <c r="B2550" t="s">
        <v>2228</v>
      </c>
      <c r="C2550" t="s">
        <v>2316</v>
      </c>
      <c r="D2550" s="28">
        <v>7600100064414</v>
      </c>
      <c r="E2550" s="29" t="s">
        <v>371</v>
      </c>
      <c r="F2550" s="29" t="s">
        <v>372</v>
      </c>
      <c r="G2550">
        <v>13</v>
      </c>
      <c r="H2550" t="s">
        <v>1051</v>
      </c>
      <c r="I2550" t="s">
        <v>98</v>
      </c>
      <c r="J2550" t="s">
        <v>185</v>
      </c>
      <c r="K2550" t="s">
        <v>1226</v>
      </c>
    </row>
    <row r="2551" spans="1:11">
      <c r="A2551" t="s">
        <v>318</v>
      </c>
      <c r="B2551" t="s">
        <v>2228</v>
      </c>
      <c r="C2551" t="s">
        <v>2317</v>
      </c>
      <c r="D2551" s="28">
        <v>7600100067090</v>
      </c>
      <c r="E2551" s="29" t="s">
        <v>371</v>
      </c>
      <c r="F2551" s="29" t="s">
        <v>372</v>
      </c>
      <c r="G2551">
        <v>13</v>
      </c>
      <c r="H2551" t="s">
        <v>1051</v>
      </c>
      <c r="I2551" t="s">
        <v>98</v>
      </c>
      <c r="J2551" t="s">
        <v>185</v>
      </c>
      <c r="K2551" t="s">
        <v>1226</v>
      </c>
    </row>
    <row r="2552" spans="1:11">
      <c r="A2552" t="s">
        <v>318</v>
      </c>
      <c r="B2552" t="s">
        <v>2228</v>
      </c>
      <c r="C2552" t="s">
        <v>2318</v>
      </c>
      <c r="D2552" s="28">
        <v>7600100067178</v>
      </c>
      <c r="E2552" s="29" t="s">
        <v>371</v>
      </c>
      <c r="F2552" s="29" t="s">
        <v>372</v>
      </c>
      <c r="G2552">
        <v>13</v>
      </c>
      <c r="H2552" t="s">
        <v>1051</v>
      </c>
      <c r="I2552" t="s">
        <v>98</v>
      </c>
      <c r="J2552" t="s">
        <v>185</v>
      </c>
      <c r="K2552" t="s">
        <v>1226</v>
      </c>
    </row>
    <row r="2553" spans="1:11">
      <c r="A2553" t="s">
        <v>318</v>
      </c>
      <c r="B2553" t="s">
        <v>2228</v>
      </c>
      <c r="C2553" t="s">
        <v>2319</v>
      </c>
      <c r="D2553" s="28">
        <v>7600100067182</v>
      </c>
      <c r="E2553" s="29" t="s">
        <v>371</v>
      </c>
      <c r="F2553" s="29" t="s">
        <v>372</v>
      </c>
      <c r="G2553">
        <v>13</v>
      </c>
      <c r="H2553" t="s">
        <v>1051</v>
      </c>
      <c r="I2553" t="s">
        <v>98</v>
      </c>
      <c r="J2553" t="s">
        <v>185</v>
      </c>
      <c r="K2553" t="s">
        <v>1226</v>
      </c>
    </row>
    <row r="2554" spans="1:11">
      <c r="A2554" t="s">
        <v>318</v>
      </c>
      <c r="B2554" t="s">
        <v>2228</v>
      </c>
      <c r="C2554" t="s">
        <v>383</v>
      </c>
      <c r="D2554" s="28">
        <v>7600100067185</v>
      </c>
      <c r="E2554" s="29" t="s">
        <v>371</v>
      </c>
      <c r="F2554" s="29" t="s">
        <v>372</v>
      </c>
      <c r="G2554">
        <v>13</v>
      </c>
      <c r="H2554" t="s">
        <v>1051</v>
      </c>
      <c r="I2554" t="s">
        <v>98</v>
      </c>
      <c r="J2554" t="s">
        <v>185</v>
      </c>
      <c r="K2554" t="s">
        <v>1226</v>
      </c>
    </row>
    <row r="2555" spans="1:11">
      <c r="A2555" t="s">
        <v>318</v>
      </c>
      <c r="B2555" t="s">
        <v>2228</v>
      </c>
      <c r="C2555" t="s">
        <v>572</v>
      </c>
      <c r="D2555" s="28">
        <v>7600100076918</v>
      </c>
      <c r="E2555" s="29" t="s">
        <v>371</v>
      </c>
      <c r="F2555" s="29" t="s">
        <v>372</v>
      </c>
      <c r="G2555">
        <v>13</v>
      </c>
      <c r="H2555" t="s">
        <v>1051</v>
      </c>
      <c r="I2555" t="s">
        <v>98</v>
      </c>
      <c r="J2555" t="s">
        <v>185</v>
      </c>
      <c r="K2555" t="s">
        <v>1226</v>
      </c>
    </row>
    <row r="2556" spans="1:11">
      <c r="A2556" t="s">
        <v>318</v>
      </c>
      <c r="B2556" t="s">
        <v>2228</v>
      </c>
      <c r="C2556" t="s">
        <v>2320</v>
      </c>
      <c r="D2556" s="28">
        <v>7600100076942</v>
      </c>
      <c r="E2556" s="29" t="s">
        <v>371</v>
      </c>
      <c r="F2556" s="29" t="s">
        <v>372</v>
      </c>
      <c r="G2556">
        <v>13</v>
      </c>
      <c r="H2556" t="s">
        <v>1051</v>
      </c>
      <c r="I2556" t="s">
        <v>98</v>
      </c>
      <c r="J2556" t="s">
        <v>185</v>
      </c>
      <c r="K2556" t="s">
        <v>1226</v>
      </c>
    </row>
    <row r="2557" spans="1:11">
      <c r="A2557" t="s">
        <v>318</v>
      </c>
      <c r="B2557" t="s">
        <v>2228</v>
      </c>
      <c r="C2557" t="s">
        <v>2321</v>
      </c>
      <c r="D2557" s="28">
        <v>7600100076957</v>
      </c>
      <c r="E2557" s="29" t="s">
        <v>1045</v>
      </c>
      <c r="F2557" s="29" t="s">
        <v>372</v>
      </c>
      <c r="G2557">
        <v>13</v>
      </c>
      <c r="H2557" t="s">
        <v>1051</v>
      </c>
      <c r="I2557" t="s">
        <v>98</v>
      </c>
      <c r="J2557" t="s">
        <v>185</v>
      </c>
      <c r="K2557" t="s">
        <v>285</v>
      </c>
    </row>
    <row r="2558" spans="1:11">
      <c r="A2558" t="s">
        <v>318</v>
      </c>
      <c r="B2558" t="s">
        <v>2228</v>
      </c>
      <c r="C2558" t="s">
        <v>2322</v>
      </c>
      <c r="D2558" s="28">
        <v>7600100076979</v>
      </c>
      <c r="E2558" s="29" t="s">
        <v>1045</v>
      </c>
      <c r="F2558" s="29" t="s">
        <v>372</v>
      </c>
      <c r="G2558">
        <v>13</v>
      </c>
      <c r="H2558" t="s">
        <v>1051</v>
      </c>
      <c r="I2558" t="s">
        <v>98</v>
      </c>
      <c r="J2558" t="s">
        <v>185</v>
      </c>
      <c r="K2558" t="s">
        <v>285</v>
      </c>
    </row>
    <row r="2559" spans="1:11">
      <c r="A2559" t="s">
        <v>318</v>
      </c>
      <c r="B2559" t="s">
        <v>2228</v>
      </c>
      <c r="C2559" t="s">
        <v>2323</v>
      </c>
      <c r="D2559" s="28">
        <v>7600100076984</v>
      </c>
      <c r="E2559" s="29" t="s">
        <v>371</v>
      </c>
      <c r="F2559" s="29" t="s">
        <v>372</v>
      </c>
      <c r="G2559">
        <v>13</v>
      </c>
      <c r="H2559" t="s">
        <v>1051</v>
      </c>
      <c r="I2559" t="s">
        <v>98</v>
      </c>
      <c r="J2559" t="s">
        <v>185</v>
      </c>
      <c r="K2559" t="s">
        <v>1226</v>
      </c>
    </row>
    <row r="2560" spans="1:11">
      <c r="A2560" t="s">
        <v>318</v>
      </c>
      <c r="B2560" t="s">
        <v>2228</v>
      </c>
      <c r="C2560" t="s">
        <v>2324</v>
      </c>
      <c r="D2560" s="28">
        <v>7600100076994</v>
      </c>
      <c r="E2560" s="29" t="s">
        <v>371</v>
      </c>
      <c r="F2560" s="29" t="s">
        <v>372</v>
      </c>
      <c r="G2560">
        <v>13</v>
      </c>
      <c r="H2560" t="s">
        <v>1051</v>
      </c>
      <c r="I2560" t="s">
        <v>98</v>
      </c>
      <c r="J2560" t="s">
        <v>185</v>
      </c>
      <c r="K2560" t="s">
        <v>1226</v>
      </c>
    </row>
    <row r="2561" spans="1:11">
      <c r="A2561" t="s">
        <v>318</v>
      </c>
      <c r="B2561" t="s">
        <v>2228</v>
      </c>
      <c r="C2561" t="s">
        <v>2292</v>
      </c>
      <c r="D2561" s="28">
        <v>7600100077008</v>
      </c>
      <c r="E2561" s="29" t="s">
        <v>371</v>
      </c>
      <c r="F2561" s="29" t="s">
        <v>372</v>
      </c>
      <c r="G2561">
        <v>13</v>
      </c>
      <c r="H2561" t="s">
        <v>1051</v>
      </c>
      <c r="I2561" t="s">
        <v>98</v>
      </c>
      <c r="J2561" t="s">
        <v>185</v>
      </c>
      <c r="K2561" t="s">
        <v>285</v>
      </c>
    </row>
    <row r="2562" spans="1:11">
      <c r="A2562" t="s">
        <v>318</v>
      </c>
      <c r="B2562" t="s">
        <v>2228</v>
      </c>
      <c r="C2562" t="s">
        <v>2325</v>
      </c>
      <c r="D2562" s="28">
        <v>7600100077015</v>
      </c>
      <c r="E2562" s="29" t="s">
        <v>371</v>
      </c>
      <c r="F2562" s="29" t="s">
        <v>372</v>
      </c>
      <c r="G2562">
        <v>13</v>
      </c>
      <c r="H2562" t="s">
        <v>1051</v>
      </c>
      <c r="I2562" t="s">
        <v>98</v>
      </c>
      <c r="J2562" t="s">
        <v>185</v>
      </c>
      <c r="K2562" t="s">
        <v>1226</v>
      </c>
    </row>
    <row r="2563" spans="1:11">
      <c r="A2563" t="s">
        <v>318</v>
      </c>
      <c r="B2563" t="s">
        <v>2228</v>
      </c>
      <c r="C2563" t="s">
        <v>2326</v>
      </c>
      <c r="D2563" s="28">
        <v>7600100080081</v>
      </c>
      <c r="E2563" s="29" t="s">
        <v>371</v>
      </c>
      <c r="F2563" s="29" t="s">
        <v>372</v>
      </c>
      <c r="G2563">
        <v>13</v>
      </c>
      <c r="H2563" t="s">
        <v>1051</v>
      </c>
      <c r="I2563" t="s">
        <v>98</v>
      </c>
      <c r="J2563" t="s">
        <v>185</v>
      </c>
      <c r="K2563" t="s">
        <v>1226</v>
      </c>
    </row>
    <row r="2564" spans="1:11">
      <c r="A2564" t="s">
        <v>318</v>
      </c>
      <c r="B2564" t="s">
        <v>2228</v>
      </c>
      <c r="C2564" t="s">
        <v>385</v>
      </c>
      <c r="D2564" s="28">
        <v>7600100080084</v>
      </c>
      <c r="E2564" s="29" t="s">
        <v>371</v>
      </c>
      <c r="F2564" s="29" t="s">
        <v>372</v>
      </c>
      <c r="G2564">
        <v>13</v>
      </c>
      <c r="H2564" t="s">
        <v>1051</v>
      </c>
      <c r="I2564" t="s">
        <v>98</v>
      </c>
      <c r="J2564" t="s">
        <v>185</v>
      </c>
      <c r="K2564" t="s">
        <v>1226</v>
      </c>
    </row>
    <row r="2565" spans="1:11">
      <c r="A2565" t="s">
        <v>318</v>
      </c>
      <c r="B2565" t="s">
        <v>2228</v>
      </c>
      <c r="C2565" t="s">
        <v>527</v>
      </c>
      <c r="D2565" s="28">
        <v>7600100084319</v>
      </c>
      <c r="E2565" s="29" t="s">
        <v>1045</v>
      </c>
      <c r="F2565" s="29" t="s">
        <v>372</v>
      </c>
      <c r="G2565">
        <v>13</v>
      </c>
      <c r="H2565" t="s">
        <v>1051</v>
      </c>
      <c r="I2565" t="s">
        <v>98</v>
      </c>
      <c r="J2565" t="s">
        <v>185</v>
      </c>
      <c r="K2565" t="s">
        <v>1226</v>
      </c>
    </row>
    <row r="2566" spans="1:11">
      <c r="A2566" t="s">
        <v>318</v>
      </c>
      <c r="B2566" t="s">
        <v>2228</v>
      </c>
      <c r="C2566" t="s">
        <v>2327</v>
      </c>
      <c r="D2566" s="28">
        <v>7600100100665</v>
      </c>
      <c r="E2566" s="29" t="s">
        <v>1045</v>
      </c>
      <c r="F2566" s="29" t="s">
        <v>372</v>
      </c>
      <c r="G2566">
        <v>13</v>
      </c>
      <c r="H2566" t="s">
        <v>1051</v>
      </c>
      <c r="I2566" t="s">
        <v>98</v>
      </c>
      <c r="J2566" t="s">
        <v>185</v>
      </c>
      <c r="K2566" t="s">
        <v>1226</v>
      </c>
    </row>
    <row r="2567" spans="1:11">
      <c r="A2567" t="s">
        <v>318</v>
      </c>
      <c r="B2567" t="s">
        <v>2228</v>
      </c>
      <c r="C2567" t="s">
        <v>1580</v>
      </c>
      <c r="D2567" s="28">
        <v>7600100100672</v>
      </c>
      <c r="E2567" s="29" t="s">
        <v>1045</v>
      </c>
      <c r="F2567" s="29" t="s">
        <v>372</v>
      </c>
      <c r="G2567">
        <v>13</v>
      </c>
      <c r="H2567" t="s">
        <v>1051</v>
      </c>
      <c r="I2567" t="s">
        <v>98</v>
      </c>
      <c r="J2567" t="s">
        <v>185</v>
      </c>
      <c r="K2567" t="s">
        <v>285</v>
      </c>
    </row>
    <row r="2568" spans="1:11">
      <c r="A2568" t="s">
        <v>318</v>
      </c>
      <c r="B2568" t="s">
        <v>2228</v>
      </c>
      <c r="C2568" t="s">
        <v>2328</v>
      </c>
      <c r="D2568" s="28">
        <v>7600100101141</v>
      </c>
      <c r="E2568" s="29" t="s">
        <v>1045</v>
      </c>
      <c r="F2568" s="29" t="s">
        <v>372</v>
      </c>
      <c r="G2568">
        <v>13</v>
      </c>
      <c r="H2568" t="s">
        <v>1051</v>
      </c>
      <c r="I2568" t="s">
        <v>98</v>
      </c>
      <c r="J2568" t="s">
        <v>185</v>
      </c>
      <c r="K2568" t="s">
        <v>1226</v>
      </c>
    </row>
    <row r="2569" spans="1:11">
      <c r="A2569" t="s">
        <v>318</v>
      </c>
      <c r="B2569" t="s">
        <v>2228</v>
      </c>
      <c r="C2569" t="s">
        <v>2329</v>
      </c>
      <c r="D2569" s="28">
        <v>7600100104666</v>
      </c>
      <c r="E2569" s="29" t="s">
        <v>1045</v>
      </c>
      <c r="F2569" s="29" t="s">
        <v>372</v>
      </c>
      <c r="G2569">
        <v>13</v>
      </c>
      <c r="H2569" t="s">
        <v>1051</v>
      </c>
      <c r="I2569" t="s">
        <v>98</v>
      </c>
      <c r="J2569" t="s">
        <v>185</v>
      </c>
      <c r="K2569" t="s">
        <v>1226</v>
      </c>
    </row>
    <row r="2570" spans="1:11">
      <c r="A2570" t="s">
        <v>318</v>
      </c>
      <c r="B2570" t="s">
        <v>2228</v>
      </c>
      <c r="C2570" t="s">
        <v>1016</v>
      </c>
      <c r="D2570" s="28">
        <v>7600100110022</v>
      </c>
      <c r="E2570" s="29" t="s">
        <v>371</v>
      </c>
      <c r="F2570" s="29" t="s">
        <v>372</v>
      </c>
      <c r="G2570">
        <v>13</v>
      </c>
      <c r="H2570" t="s">
        <v>1051</v>
      </c>
      <c r="I2570" t="s">
        <v>98</v>
      </c>
      <c r="J2570" t="s">
        <v>185</v>
      </c>
      <c r="K2570" t="s">
        <v>1226</v>
      </c>
    </row>
    <row r="2571" spans="1:11">
      <c r="A2571" t="s">
        <v>318</v>
      </c>
      <c r="B2571" t="s">
        <v>2228</v>
      </c>
      <c r="C2571" t="s">
        <v>2330</v>
      </c>
      <c r="D2571" s="28">
        <v>7600100110027</v>
      </c>
      <c r="E2571" s="29" t="s">
        <v>371</v>
      </c>
      <c r="F2571" s="29" t="s">
        <v>372</v>
      </c>
      <c r="G2571">
        <v>13</v>
      </c>
      <c r="H2571" t="s">
        <v>1051</v>
      </c>
      <c r="I2571" t="s">
        <v>98</v>
      </c>
      <c r="J2571" t="s">
        <v>185</v>
      </c>
      <c r="K2571" t="s">
        <v>1226</v>
      </c>
    </row>
    <row r="2572" spans="1:11">
      <c r="A2572" t="s">
        <v>318</v>
      </c>
      <c r="B2572" t="s">
        <v>2228</v>
      </c>
      <c r="C2572" t="s">
        <v>2331</v>
      </c>
      <c r="D2572" s="28">
        <v>7600100110028</v>
      </c>
      <c r="E2572" s="29" t="s">
        <v>371</v>
      </c>
      <c r="F2572" s="29" t="s">
        <v>372</v>
      </c>
      <c r="G2572">
        <v>13</v>
      </c>
      <c r="H2572" t="s">
        <v>1051</v>
      </c>
      <c r="I2572" t="s">
        <v>98</v>
      </c>
      <c r="J2572" t="s">
        <v>185</v>
      </c>
      <c r="K2572" t="s">
        <v>1226</v>
      </c>
    </row>
    <row r="2573" spans="1:11">
      <c r="A2573" t="s">
        <v>318</v>
      </c>
      <c r="B2573" t="s">
        <v>2228</v>
      </c>
      <c r="C2573" t="s">
        <v>493</v>
      </c>
      <c r="D2573" s="28">
        <v>7600100110029</v>
      </c>
      <c r="E2573" s="29" t="s">
        <v>371</v>
      </c>
      <c r="F2573" s="29" t="s">
        <v>372</v>
      </c>
      <c r="G2573">
        <v>13</v>
      </c>
      <c r="H2573" t="s">
        <v>1051</v>
      </c>
      <c r="I2573" t="s">
        <v>98</v>
      </c>
      <c r="J2573" t="s">
        <v>185</v>
      </c>
      <c r="K2573" t="s">
        <v>1226</v>
      </c>
    </row>
    <row r="2574" spans="1:11">
      <c r="A2574" t="s">
        <v>318</v>
      </c>
      <c r="B2574" t="s">
        <v>2228</v>
      </c>
      <c r="C2574" t="s">
        <v>527</v>
      </c>
      <c r="D2574" s="28">
        <v>7600100110031</v>
      </c>
      <c r="E2574" s="29" t="s">
        <v>371</v>
      </c>
      <c r="F2574" s="29" t="s">
        <v>372</v>
      </c>
      <c r="G2574">
        <v>13</v>
      </c>
      <c r="H2574" t="s">
        <v>1051</v>
      </c>
      <c r="I2574" t="s">
        <v>98</v>
      </c>
      <c r="J2574" t="s">
        <v>185</v>
      </c>
      <c r="K2574" t="s">
        <v>1226</v>
      </c>
    </row>
    <row r="2575" spans="1:11">
      <c r="A2575" t="s">
        <v>318</v>
      </c>
      <c r="B2575" t="s">
        <v>2228</v>
      </c>
      <c r="C2575" t="s">
        <v>481</v>
      </c>
      <c r="D2575" s="28">
        <v>7600100110200</v>
      </c>
      <c r="E2575" s="29" t="s">
        <v>1045</v>
      </c>
      <c r="F2575" s="29" t="s">
        <v>372</v>
      </c>
      <c r="G2575">
        <v>13</v>
      </c>
      <c r="H2575" t="s">
        <v>1051</v>
      </c>
      <c r="I2575" t="s">
        <v>98</v>
      </c>
      <c r="J2575" t="s">
        <v>185</v>
      </c>
      <c r="K2575" t="s">
        <v>1226</v>
      </c>
    </row>
    <row r="2576" spans="1:11">
      <c r="A2576" t="s">
        <v>318</v>
      </c>
      <c r="B2576" t="s">
        <v>2228</v>
      </c>
      <c r="C2576" t="s">
        <v>440</v>
      </c>
      <c r="D2576" s="28">
        <v>7600100111782</v>
      </c>
      <c r="E2576" s="29" t="s">
        <v>371</v>
      </c>
      <c r="F2576" s="29" t="s">
        <v>372</v>
      </c>
      <c r="G2576">
        <v>13</v>
      </c>
      <c r="H2576" t="s">
        <v>1051</v>
      </c>
      <c r="I2576" t="s">
        <v>98</v>
      </c>
      <c r="J2576" t="s">
        <v>185</v>
      </c>
      <c r="K2576" t="s">
        <v>1226</v>
      </c>
    </row>
    <row r="2577" spans="1:12">
      <c r="A2577" t="s">
        <v>318</v>
      </c>
      <c r="B2577" t="s">
        <v>2228</v>
      </c>
      <c r="C2577" t="s">
        <v>2332</v>
      </c>
      <c r="D2577" s="28">
        <v>7600100115263</v>
      </c>
      <c r="E2577" s="29" t="s">
        <v>371</v>
      </c>
      <c r="F2577" s="29" t="s">
        <v>372</v>
      </c>
      <c r="G2577">
        <v>13</v>
      </c>
      <c r="H2577" t="s">
        <v>1051</v>
      </c>
      <c r="I2577" t="s">
        <v>98</v>
      </c>
      <c r="J2577" t="s">
        <v>185</v>
      </c>
      <c r="K2577" t="s">
        <v>285</v>
      </c>
    </row>
    <row r="2578" spans="1:12">
      <c r="A2578" t="s">
        <v>318</v>
      </c>
      <c r="B2578" t="s">
        <v>2228</v>
      </c>
      <c r="C2578" t="s">
        <v>1399</v>
      </c>
      <c r="D2578" s="28">
        <v>7600100115284</v>
      </c>
      <c r="E2578" s="29" t="s">
        <v>371</v>
      </c>
      <c r="F2578" s="29" t="s">
        <v>372</v>
      </c>
      <c r="G2578">
        <v>13</v>
      </c>
      <c r="H2578" t="s">
        <v>1051</v>
      </c>
      <c r="I2578" t="s">
        <v>98</v>
      </c>
      <c r="J2578" t="s">
        <v>185</v>
      </c>
      <c r="K2578" t="s">
        <v>285</v>
      </c>
    </row>
    <row r="2579" spans="1:12">
      <c r="A2579" t="s">
        <v>318</v>
      </c>
      <c r="B2579" t="s">
        <v>2228</v>
      </c>
      <c r="C2579" t="s">
        <v>2333</v>
      </c>
      <c r="D2579" s="28">
        <v>7600100115350</v>
      </c>
      <c r="E2579" s="29" t="s">
        <v>371</v>
      </c>
      <c r="F2579" s="29" t="s">
        <v>372</v>
      </c>
      <c r="G2579">
        <v>13</v>
      </c>
      <c r="H2579" t="s">
        <v>1051</v>
      </c>
      <c r="I2579" t="s">
        <v>98</v>
      </c>
      <c r="J2579" t="s">
        <v>185</v>
      </c>
      <c r="K2579" t="s">
        <v>1226</v>
      </c>
    </row>
    <row r="2580" spans="1:12">
      <c r="A2580" t="s">
        <v>318</v>
      </c>
      <c r="B2580" t="s">
        <v>2228</v>
      </c>
      <c r="C2580" t="s">
        <v>1014</v>
      </c>
      <c r="D2580" s="28">
        <v>7600100115365</v>
      </c>
      <c r="E2580" s="29" t="s">
        <v>371</v>
      </c>
      <c r="F2580" s="29" t="s">
        <v>372</v>
      </c>
      <c r="G2580">
        <v>13</v>
      </c>
      <c r="H2580" t="s">
        <v>1051</v>
      </c>
      <c r="I2580" t="s">
        <v>98</v>
      </c>
      <c r="J2580" t="s">
        <v>185</v>
      </c>
      <c r="K2580" t="s">
        <v>1226</v>
      </c>
    </row>
    <row r="2581" spans="1:12">
      <c r="A2581" t="s">
        <v>318</v>
      </c>
      <c r="B2581" t="s">
        <v>2228</v>
      </c>
      <c r="C2581" t="s">
        <v>2334</v>
      </c>
      <c r="D2581" s="28">
        <v>7600100115366</v>
      </c>
      <c r="E2581" s="29" t="s">
        <v>371</v>
      </c>
      <c r="F2581" s="29" t="s">
        <v>372</v>
      </c>
      <c r="G2581">
        <v>13</v>
      </c>
      <c r="H2581" t="s">
        <v>1051</v>
      </c>
      <c r="I2581" t="s">
        <v>98</v>
      </c>
      <c r="J2581" t="s">
        <v>185</v>
      </c>
      <c r="K2581" t="s">
        <v>1226</v>
      </c>
    </row>
    <row r="2582" spans="1:12">
      <c r="A2582" t="s">
        <v>318</v>
      </c>
      <c r="B2582" t="s">
        <v>2228</v>
      </c>
      <c r="C2582" t="s">
        <v>377</v>
      </c>
      <c r="D2582" s="28">
        <v>7600100115369</v>
      </c>
      <c r="E2582" s="29" t="s">
        <v>371</v>
      </c>
      <c r="F2582" s="29" t="s">
        <v>372</v>
      </c>
      <c r="G2582">
        <v>13</v>
      </c>
      <c r="H2582" t="s">
        <v>1051</v>
      </c>
      <c r="I2582" t="s">
        <v>98</v>
      </c>
      <c r="J2582" t="s">
        <v>185</v>
      </c>
      <c r="K2582" t="s">
        <v>285</v>
      </c>
    </row>
    <row r="2583" spans="1:12">
      <c r="A2583" t="s">
        <v>318</v>
      </c>
      <c r="B2583" t="s">
        <v>2228</v>
      </c>
      <c r="C2583" t="s">
        <v>2335</v>
      </c>
      <c r="D2583" s="28">
        <v>7600100115371</v>
      </c>
      <c r="E2583" s="29" t="s">
        <v>371</v>
      </c>
      <c r="F2583" s="29" t="s">
        <v>372</v>
      </c>
      <c r="G2583">
        <v>13</v>
      </c>
      <c r="H2583" t="s">
        <v>1051</v>
      </c>
      <c r="I2583" t="s">
        <v>98</v>
      </c>
      <c r="J2583" t="s">
        <v>185</v>
      </c>
      <c r="K2583" t="s">
        <v>285</v>
      </c>
    </row>
    <row r="2584" spans="1:12">
      <c r="A2584" t="s">
        <v>318</v>
      </c>
      <c r="B2584" t="s">
        <v>2228</v>
      </c>
      <c r="C2584" t="s">
        <v>1993</v>
      </c>
      <c r="D2584" s="28">
        <v>7600100115395</v>
      </c>
      <c r="E2584" s="29" t="s">
        <v>1045</v>
      </c>
      <c r="F2584" s="29" t="s">
        <v>372</v>
      </c>
      <c r="G2584">
        <v>13</v>
      </c>
      <c r="H2584" t="s">
        <v>1051</v>
      </c>
      <c r="I2584" t="s">
        <v>98</v>
      </c>
      <c r="J2584" t="s">
        <v>185</v>
      </c>
      <c r="K2584" t="s">
        <v>1226</v>
      </c>
    </row>
    <row r="2585" spans="1:12">
      <c r="A2585" t="s">
        <v>318</v>
      </c>
      <c r="B2585" t="s">
        <v>2228</v>
      </c>
      <c r="C2585" t="s">
        <v>435</v>
      </c>
      <c r="D2585" s="28">
        <v>7600100128799</v>
      </c>
      <c r="E2585" s="29" t="s">
        <v>441</v>
      </c>
      <c r="F2585" s="29" t="s">
        <v>372</v>
      </c>
      <c r="G2585">
        <v>65</v>
      </c>
      <c r="H2585" t="s">
        <v>1051</v>
      </c>
      <c r="I2585" t="s">
        <v>98</v>
      </c>
      <c r="J2585" t="s">
        <v>185</v>
      </c>
      <c r="K2585" t="s">
        <v>365</v>
      </c>
    </row>
    <row r="2586" spans="1:12">
      <c r="A2586" t="s">
        <v>318</v>
      </c>
      <c r="B2586" t="s">
        <v>2228</v>
      </c>
      <c r="C2586" t="s">
        <v>2336</v>
      </c>
      <c r="D2586" s="28">
        <v>7600100138403</v>
      </c>
      <c r="E2586" s="29" t="s">
        <v>1045</v>
      </c>
      <c r="F2586" s="29" t="s">
        <v>372</v>
      </c>
      <c r="G2586">
        <v>13</v>
      </c>
      <c r="H2586" t="s">
        <v>1051</v>
      </c>
      <c r="I2586" t="s">
        <v>98</v>
      </c>
      <c r="J2586" t="s">
        <v>185</v>
      </c>
      <c r="K2586" t="s">
        <v>1226</v>
      </c>
    </row>
    <row r="2587" spans="1:12">
      <c r="A2587" t="s">
        <v>318</v>
      </c>
      <c r="B2587" t="s">
        <v>2228</v>
      </c>
      <c r="C2587" t="s">
        <v>2337</v>
      </c>
      <c r="D2587" s="28">
        <v>7600100138662</v>
      </c>
      <c r="E2587" s="29" t="s">
        <v>1045</v>
      </c>
      <c r="F2587" s="29" t="s">
        <v>372</v>
      </c>
      <c r="G2587">
        <v>13</v>
      </c>
      <c r="H2587" t="s">
        <v>1051</v>
      </c>
      <c r="I2587" t="s">
        <v>98</v>
      </c>
      <c r="J2587" t="s">
        <v>185</v>
      </c>
      <c r="K2587" t="s">
        <v>1226</v>
      </c>
    </row>
    <row r="2588" spans="1:12">
      <c r="A2588" t="s">
        <v>318</v>
      </c>
      <c r="B2588" t="s">
        <v>2228</v>
      </c>
      <c r="C2588" t="s">
        <v>2338</v>
      </c>
      <c r="D2588" s="28">
        <v>7600100047930</v>
      </c>
      <c r="E2588" s="29" t="s">
        <v>363</v>
      </c>
      <c r="F2588" s="29" t="s">
        <v>364</v>
      </c>
      <c r="G2588">
        <v>76</v>
      </c>
      <c r="H2588" t="s">
        <v>323</v>
      </c>
      <c r="I2588" t="s">
        <v>45</v>
      </c>
      <c r="J2588" t="s">
        <v>185</v>
      </c>
      <c r="K2588" t="s">
        <v>365</v>
      </c>
      <c r="L2588" t="s">
        <v>327</v>
      </c>
    </row>
    <row r="2589" spans="1:12">
      <c r="A2589" t="s">
        <v>318</v>
      </c>
      <c r="B2589" t="s">
        <v>2228</v>
      </c>
      <c r="C2589" t="s">
        <v>2339</v>
      </c>
      <c r="D2589" s="28">
        <v>7600100060898</v>
      </c>
      <c r="E2589" s="29" t="s">
        <v>363</v>
      </c>
      <c r="F2589" s="29" t="s">
        <v>364</v>
      </c>
      <c r="G2589">
        <v>108</v>
      </c>
      <c r="H2589" t="s">
        <v>323</v>
      </c>
      <c r="I2589" t="s">
        <v>45</v>
      </c>
      <c r="J2589" t="s">
        <v>185</v>
      </c>
      <c r="K2589" t="s">
        <v>365</v>
      </c>
      <c r="L2589" t="s">
        <v>327</v>
      </c>
    </row>
    <row r="2590" spans="1:12">
      <c r="A2590" t="s">
        <v>318</v>
      </c>
      <c r="B2590" t="s">
        <v>2228</v>
      </c>
      <c r="C2590" t="s">
        <v>2340</v>
      </c>
      <c r="D2590" s="28">
        <v>760011115558</v>
      </c>
      <c r="E2590" s="29" t="s">
        <v>363</v>
      </c>
      <c r="F2590" s="29" t="s">
        <v>364</v>
      </c>
      <c r="G2590">
        <v>142</v>
      </c>
      <c r="H2590" t="s">
        <v>1051</v>
      </c>
      <c r="I2590" t="s">
        <v>98</v>
      </c>
      <c r="J2590" t="s">
        <v>185</v>
      </c>
      <c r="K2590" t="s">
        <v>365</v>
      </c>
    </row>
    <row r="2591" spans="1:12">
      <c r="A2591" t="s">
        <v>318</v>
      </c>
      <c r="B2591" t="s">
        <v>2228</v>
      </c>
      <c r="C2591" t="s">
        <v>2341</v>
      </c>
      <c r="D2591" s="28">
        <v>7636400060793</v>
      </c>
      <c r="E2591" s="29" t="s">
        <v>363</v>
      </c>
      <c r="F2591" s="29" t="s">
        <v>364</v>
      </c>
      <c r="G2591">
        <v>144</v>
      </c>
      <c r="H2591" t="s">
        <v>323</v>
      </c>
      <c r="I2591" t="s">
        <v>45</v>
      </c>
      <c r="J2591" t="s">
        <v>185</v>
      </c>
      <c r="K2591" t="s">
        <v>365</v>
      </c>
      <c r="L2591" t="s">
        <v>327</v>
      </c>
    </row>
    <row r="2592" spans="1:12">
      <c r="A2592" t="s">
        <v>318</v>
      </c>
      <c r="B2592" t="s">
        <v>2228</v>
      </c>
      <c r="C2592" t="s">
        <v>2342</v>
      </c>
      <c r="D2592" s="28">
        <v>7600100060850</v>
      </c>
      <c r="E2592" s="29" t="s">
        <v>363</v>
      </c>
      <c r="F2592" s="29" t="s">
        <v>364</v>
      </c>
      <c r="G2592">
        <v>80</v>
      </c>
      <c r="H2592" t="s">
        <v>1051</v>
      </c>
      <c r="I2592" t="s">
        <v>98</v>
      </c>
      <c r="J2592" t="s">
        <v>185</v>
      </c>
      <c r="K2592" t="s">
        <v>365</v>
      </c>
    </row>
    <row r="2593" spans="1:12">
      <c r="A2593" t="s">
        <v>318</v>
      </c>
      <c r="B2593" t="s">
        <v>2228</v>
      </c>
      <c r="C2593" t="s">
        <v>1368</v>
      </c>
      <c r="D2593" s="28">
        <v>7600100060868</v>
      </c>
      <c r="E2593" s="29" t="s">
        <v>363</v>
      </c>
      <c r="F2593" s="29" t="s">
        <v>364</v>
      </c>
      <c r="G2593">
        <v>103</v>
      </c>
      <c r="H2593" t="s">
        <v>1051</v>
      </c>
      <c r="I2593" t="s">
        <v>98</v>
      </c>
      <c r="J2593" t="s">
        <v>185</v>
      </c>
      <c r="K2593" t="s">
        <v>365</v>
      </c>
    </row>
    <row r="2594" spans="1:12">
      <c r="A2594" t="s">
        <v>318</v>
      </c>
      <c r="B2594" t="s">
        <v>2228</v>
      </c>
      <c r="C2594" t="s">
        <v>2343</v>
      </c>
      <c r="D2594" s="28">
        <v>7600100061026</v>
      </c>
      <c r="E2594" s="29" t="s">
        <v>363</v>
      </c>
      <c r="F2594" s="29" t="s">
        <v>364</v>
      </c>
      <c r="G2594">
        <v>80</v>
      </c>
      <c r="H2594" t="s">
        <v>1051</v>
      </c>
      <c r="I2594" t="s">
        <v>98</v>
      </c>
      <c r="J2594" t="s">
        <v>185</v>
      </c>
      <c r="K2594" t="s">
        <v>365</v>
      </c>
    </row>
    <row r="2595" spans="1:12">
      <c r="A2595" t="s">
        <v>318</v>
      </c>
      <c r="B2595" t="s">
        <v>2228</v>
      </c>
      <c r="C2595" t="s">
        <v>2344</v>
      </c>
      <c r="D2595" s="28">
        <v>7600100094004</v>
      </c>
      <c r="E2595" s="29" t="s">
        <v>363</v>
      </c>
      <c r="F2595" s="29" t="s">
        <v>364</v>
      </c>
      <c r="G2595">
        <v>80</v>
      </c>
      <c r="H2595" t="s">
        <v>323</v>
      </c>
      <c r="I2595" t="s">
        <v>45</v>
      </c>
      <c r="J2595" t="s">
        <v>185</v>
      </c>
      <c r="K2595" t="s">
        <v>365</v>
      </c>
    </row>
    <row r="2596" spans="1:12">
      <c r="A2596" t="s">
        <v>318</v>
      </c>
      <c r="B2596" t="s">
        <v>2228</v>
      </c>
      <c r="C2596" t="s">
        <v>2345</v>
      </c>
      <c r="D2596" s="28">
        <v>7600100104271</v>
      </c>
      <c r="E2596" s="29" t="s">
        <v>363</v>
      </c>
      <c r="F2596" s="29" t="s">
        <v>364</v>
      </c>
      <c r="G2596">
        <v>104</v>
      </c>
      <c r="H2596" t="s">
        <v>1051</v>
      </c>
      <c r="I2596" t="s">
        <v>98</v>
      </c>
      <c r="J2596" t="s">
        <v>185</v>
      </c>
      <c r="K2596" t="s">
        <v>365</v>
      </c>
    </row>
    <row r="2597" spans="1:12">
      <c r="A2597" t="s">
        <v>318</v>
      </c>
      <c r="B2597" t="s">
        <v>2228</v>
      </c>
      <c r="C2597" t="s">
        <v>2346</v>
      </c>
      <c r="D2597" s="28">
        <v>7600100037578</v>
      </c>
      <c r="E2597" s="29" t="s">
        <v>987</v>
      </c>
      <c r="F2597" s="29" t="s">
        <v>364</v>
      </c>
      <c r="G2597">
        <v>158</v>
      </c>
      <c r="H2597" t="s">
        <v>323</v>
      </c>
      <c r="I2597" t="s">
        <v>45</v>
      </c>
      <c r="J2597" t="s">
        <v>185</v>
      </c>
      <c r="K2597" t="s">
        <v>989</v>
      </c>
      <c r="L2597" t="s">
        <v>327</v>
      </c>
    </row>
    <row r="2598" spans="1:12">
      <c r="A2598" t="s">
        <v>318</v>
      </c>
      <c r="B2598" t="s">
        <v>2228</v>
      </c>
      <c r="C2598" t="s">
        <v>2347</v>
      </c>
      <c r="D2598" s="28">
        <v>7600100131786</v>
      </c>
      <c r="E2598" s="29" t="s">
        <v>393</v>
      </c>
      <c r="F2598" s="29" t="s">
        <v>372</v>
      </c>
      <c r="G2598">
        <v>39</v>
      </c>
      <c r="H2598" t="s">
        <v>1051</v>
      </c>
      <c r="I2598" t="s">
        <v>98</v>
      </c>
      <c r="J2598" t="s">
        <v>185</v>
      </c>
      <c r="K2598" t="s">
        <v>394</v>
      </c>
    </row>
    <row r="2599" spans="1:12">
      <c r="A2599" t="s">
        <v>318</v>
      </c>
      <c r="B2599" t="s">
        <v>2228</v>
      </c>
      <c r="C2599" t="s">
        <v>382</v>
      </c>
      <c r="D2599" s="28">
        <v>7600100131793</v>
      </c>
      <c r="E2599" s="29" t="s">
        <v>393</v>
      </c>
      <c r="F2599" s="29" t="s">
        <v>372</v>
      </c>
      <c r="G2599">
        <v>39</v>
      </c>
      <c r="H2599" t="s">
        <v>1051</v>
      </c>
      <c r="I2599" t="s">
        <v>98</v>
      </c>
      <c r="J2599" t="s">
        <v>185</v>
      </c>
      <c r="K2599" t="s">
        <v>394</v>
      </c>
    </row>
    <row r="2600" spans="1:12">
      <c r="A2600" t="s">
        <v>318</v>
      </c>
      <c r="B2600" t="s">
        <v>2228</v>
      </c>
      <c r="C2600" t="s">
        <v>2348</v>
      </c>
      <c r="D2600" s="28">
        <v>7600100131805</v>
      </c>
      <c r="E2600" s="29" t="s">
        <v>393</v>
      </c>
      <c r="F2600" s="29" t="s">
        <v>372</v>
      </c>
      <c r="G2600">
        <v>39</v>
      </c>
      <c r="H2600" t="s">
        <v>1051</v>
      </c>
      <c r="I2600" t="s">
        <v>98</v>
      </c>
      <c r="J2600" t="s">
        <v>185</v>
      </c>
      <c r="K2600" t="s">
        <v>394</v>
      </c>
    </row>
    <row r="2601" spans="1:12">
      <c r="A2601" t="s">
        <v>318</v>
      </c>
      <c r="B2601" t="s">
        <v>2228</v>
      </c>
      <c r="C2601" t="s">
        <v>2349</v>
      </c>
      <c r="D2601" s="28">
        <v>7600100131814</v>
      </c>
      <c r="E2601" s="29" t="s">
        <v>393</v>
      </c>
      <c r="F2601" s="29" t="s">
        <v>372</v>
      </c>
      <c r="G2601">
        <v>39</v>
      </c>
      <c r="H2601" t="s">
        <v>1051</v>
      </c>
      <c r="I2601" t="s">
        <v>98</v>
      </c>
      <c r="J2601" t="s">
        <v>185</v>
      </c>
      <c r="K2601" t="s">
        <v>394</v>
      </c>
    </row>
    <row r="2602" spans="1:12">
      <c r="A2602" t="s">
        <v>318</v>
      </c>
      <c r="B2602" t="s">
        <v>2228</v>
      </c>
      <c r="C2602" t="s">
        <v>2350</v>
      </c>
      <c r="D2602" s="28">
        <v>7600100131831</v>
      </c>
      <c r="E2602" s="29" t="s">
        <v>393</v>
      </c>
      <c r="F2602" s="29" t="s">
        <v>372</v>
      </c>
      <c r="G2602">
        <v>39</v>
      </c>
      <c r="H2602" t="s">
        <v>1051</v>
      </c>
      <c r="I2602" t="s">
        <v>98</v>
      </c>
      <c r="J2602" t="s">
        <v>185</v>
      </c>
      <c r="K2602" t="s">
        <v>394</v>
      </c>
    </row>
    <row r="2603" spans="1:12">
      <c r="A2603" t="s">
        <v>318</v>
      </c>
      <c r="B2603" t="s">
        <v>2228</v>
      </c>
      <c r="C2603" t="s">
        <v>2341</v>
      </c>
      <c r="D2603" s="28">
        <v>7600100131842</v>
      </c>
      <c r="E2603" s="29" t="s">
        <v>393</v>
      </c>
      <c r="F2603" s="29" t="s">
        <v>372</v>
      </c>
      <c r="G2603">
        <v>39</v>
      </c>
      <c r="H2603" t="s">
        <v>1051</v>
      </c>
      <c r="I2603" t="s">
        <v>98</v>
      </c>
      <c r="J2603" t="s">
        <v>185</v>
      </c>
      <c r="K2603" t="s">
        <v>394</v>
      </c>
    </row>
    <row r="2604" spans="1:12">
      <c r="A2604" t="s">
        <v>318</v>
      </c>
      <c r="B2604" t="s">
        <v>2228</v>
      </c>
      <c r="C2604" t="s">
        <v>2351</v>
      </c>
      <c r="D2604" s="28">
        <v>7600100131872</v>
      </c>
      <c r="E2604" s="29" t="s">
        <v>393</v>
      </c>
      <c r="F2604" s="29" t="s">
        <v>372</v>
      </c>
      <c r="G2604">
        <v>39</v>
      </c>
      <c r="H2604" t="s">
        <v>1051</v>
      </c>
      <c r="I2604" t="s">
        <v>98</v>
      </c>
      <c r="J2604" t="s">
        <v>185</v>
      </c>
      <c r="K2604" t="s">
        <v>394</v>
      </c>
    </row>
    <row r="2605" spans="1:12">
      <c r="A2605" t="s">
        <v>318</v>
      </c>
      <c r="B2605" t="s">
        <v>2228</v>
      </c>
      <c r="C2605" t="s">
        <v>2352</v>
      </c>
      <c r="D2605" s="28">
        <v>7600100135106</v>
      </c>
      <c r="E2605" s="29" t="s">
        <v>393</v>
      </c>
      <c r="F2605" s="29" t="s">
        <v>372</v>
      </c>
      <c r="G2605">
        <v>39</v>
      </c>
      <c r="H2605" t="s">
        <v>1051</v>
      </c>
      <c r="I2605" t="s">
        <v>98</v>
      </c>
      <c r="J2605" t="s">
        <v>185</v>
      </c>
      <c r="K2605" t="s">
        <v>394</v>
      </c>
    </row>
    <row r="2606" spans="1:12">
      <c r="A2606" t="s">
        <v>318</v>
      </c>
      <c r="B2606" t="s">
        <v>2228</v>
      </c>
      <c r="C2606" t="s">
        <v>2353</v>
      </c>
      <c r="D2606" s="28">
        <v>7600100135108</v>
      </c>
      <c r="E2606" s="29" t="s">
        <v>393</v>
      </c>
      <c r="F2606" s="29" t="s">
        <v>372</v>
      </c>
      <c r="G2606">
        <v>39</v>
      </c>
      <c r="H2606" t="s">
        <v>1051</v>
      </c>
      <c r="I2606" t="s">
        <v>98</v>
      </c>
      <c r="J2606" t="s">
        <v>185</v>
      </c>
      <c r="K2606" t="s">
        <v>394</v>
      </c>
    </row>
    <row r="2607" spans="1:12">
      <c r="A2607" t="s">
        <v>318</v>
      </c>
      <c r="B2607" t="s">
        <v>2228</v>
      </c>
      <c r="C2607" t="s">
        <v>1724</v>
      </c>
      <c r="D2607" s="28">
        <v>7600100137072</v>
      </c>
      <c r="E2607" s="29" t="s">
        <v>393</v>
      </c>
      <c r="F2607" s="29" t="s">
        <v>372</v>
      </c>
      <c r="G2607">
        <v>39</v>
      </c>
      <c r="H2607" t="s">
        <v>1051</v>
      </c>
      <c r="I2607" t="s">
        <v>98</v>
      </c>
      <c r="J2607" t="s">
        <v>185</v>
      </c>
      <c r="K2607" t="s">
        <v>394</v>
      </c>
    </row>
    <row r="2608" spans="1:12">
      <c r="A2608" t="s">
        <v>318</v>
      </c>
      <c r="B2608" t="s">
        <v>2228</v>
      </c>
      <c r="C2608" t="s">
        <v>2354</v>
      </c>
      <c r="D2608" s="28">
        <v>760011113246</v>
      </c>
      <c r="E2608" s="29" t="s">
        <v>393</v>
      </c>
      <c r="F2608" s="29" t="s">
        <v>372</v>
      </c>
      <c r="G2608">
        <v>39</v>
      </c>
      <c r="H2608" t="s">
        <v>1051</v>
      </c>
      <c r="I2608" t="s">
        <v>98</v>
      </c>
      <c r="J2608" t="s">
        <v>185</v>
      </c>
      <c r="K2608" t="s">
        <v>394</v>
      </c>
    </row>
    <row r="2609" spans="1:12">
      <c r="A2609" t="s">
        <v>318</v>
      </c>
      <c r="B2609" t="s">
        <v>2228</v>
      </c>
      <c r="C2609" t="s">
        <v>631</v>
      </c>
      <c r="D2609" s="28">
        <v>760011113250</v>
      </c>
      <c r="E2609" s="29" t="s">
        <v>393</v>
      </c>
      <c r="F2609" s="29" t="s">
        <v>372</v>
      </c>
      <c r="G2609">
        <v>39</v>
      </c>
      <c r="H2609" t="s">
        <v>1051</v>
      </c>
      <c r="I2609" t="s">
        <v>98</v>
      </c>
      <c r="J2609" t="s">
        <v>185</v>
      </c>
      <c r="K2609" t="s">
        <v>394</v>
      </c>
    </row>
    <row r="2610" spans="1:12">
      <c r="A2610" t="s">
        <v>318</v>
      </c>
      <c r="B2610" t="s">
        <v>2228</v>
      </c>
      <c r="C2610" t="s">
        <v>2355</v>
      </c>
      <c r="D2610" s="28">
        <v>760011113252</v>
      </c>
      <c r="E2610" s="29" t="s">
        <v>393</v>
      </c>
      <c r="F2610" s="29" t="s">
        <v>372</v>
      </c>
      <c r="G2610">
        <v>39</v>
      </c>
      <c r="H2610" t="s">
        <v>1051</v>
      </c>
      <c r="I2610" t="s">
        <v>98</v>
      </c>
      <c r="J2610" t="s">
        <v>185</v>
      </c>
      <c r="K2610" t="s">
        <v>394</v>
      </c>
    </row>
    <row r="2611" spans="1:12">
      <c r="A2611" t="s">
        <v>318</v>
      </c>
      <c r="B2611" t="s">
        <v>2228</v>
      </c>
      <c r="C2611" t="s">
        <v>2356</v>
      </c>
      <c r="D2611" s="28">
        <v>760011113254</v>
      </c>
      <c r="E2611" s="29" t="s">
        <v>393</v>
      </c>
      <c r="F2611" s="29" t="s">
        <v>372</v>
      </c>
      <c r="G2611">
        <v>39</v>
      </c>
      <c r="H2611" t="s">
        <v>1051</v>
      </c>
      <c r="I2611" t="s">
        <v>98</v>
      </c>
      <c r="J2611" t="s">
        <v>185</v>
      </c>
      <c r="K2611" t="s">
        <v>394</v>
      </c>
    </row>
    <row r="2612" spans="1:12">
      <c r="A2612" t="s">
        <v>318</v>
      </c>
      <c r="B2612" t="s">
        <v>2228</v>
      </c>
      <c r="C2612" t="s">
        <v>2357</v>
      </c>
      <c r="D2612" s="28">
        <v>760011113255</v>
      </c>
      <c r="E2612" s="29" t="s">
        <v>393</v>
      </c>
      <c r="F2612" s="29" t="s">
        <v>372</v>
      </c>
      <c r="G2612">
        <v>39</v>
      </c>
      <c r="H2612" t="s">
        <v>1051</v>
      </c>
      <c r="I2612" t="s">
        <v>98</v>
      </c>
      <c r="J2612" t="s">
        <v>185</v>
      </c>
      <c r="K2612" t="s">
        <v>394</v>
      </c>
    </row>
    <row r="2613" spans="1:12">
      <c r="A2613" t="s">
        <v>318</v>
      </c>
      <c r="B2613" t="s">
        <v>2228</v>
      </c>
      <c r="C2613" t="s">
        <v>2358</v>
      </c>
      <c r="D2613" s="28">
        <v>760011113257</v>
      </c>
      <c r="E2613" s="29" t="s">
        <v>393</v>
      </c>
      <c r="F2613" s="29" t="s">
        <v>372</v>
      </c>
      <c r="G2613">
        <v>39</v>
      </c>
      <c r="H2613" t="s">
        <v>1051</v>
      </c>
      <c r="I2613" t="s">
        <v>98</v>
      </c>
      <c r="J2613" t="s">
        <v>185</v>
      </c>
      <c r="K2613" t="s">
        <v>394</v>
      </c>
    </row>
    <row r="2614" spans="1:12">
      <c r="A2614" t="s">
        <v>318</v>
      </c>
      <c r="B2614" t="s">
        <v>2228</v>
      </c>
      <c r="C2614" t="s">
        <v>2359</v>
      </c>
      <c r="D2614" s="28">
        <v>7600100038844</v>
      </c>
      <c r="E2614" s="29" t="s">
        <v>368</v>
      </c>
      <c r="F2614" s="29" t="s">
        <v>364</v>
      </c>
      <c r="G2614">
        <v>360</v>
      </c>
      <c r="H2614" t="s">
        <v>1051</v>
      </c>
      <c r="I2614" t="s">
        <v>45</v>
      </c>
      <c r="J2614" t="s">
        <v>185</v>
      </c>
      <c r="K2614" t="s">
        <v>337</v>
      </c>
      <c r="L2614" t="s">
        <v>327</v>
      </c>
    </row>
    <row r="2615" spans="1:12">
      <c r="A2615" t="s">
        <v>318</v>
      </c>
      <c r="B2615" t="s">
        <v>2228</v>
      </c>
      <c r="C2615" t="s">
        <v>2360</v>
      </c>
      <c r="D2615" s="28">
        <v>7600100111803</v>
      </c>
      <c r="E2615" s="29" t="s">
        <v>368</v>
      </c>
      <c r="F2615" s="29" t="s">
        <v>364</v>
      </c>
      <c r="G2615">
        <v>147</v>
      </c>
      <c r="H2615" t="s">
        <v>1051</v>
      </c>
      <c r="I2615" t="s">
        <v>98</v>
      </c>
      <c r="J2615" t="s">
        <v>185</v>
      </c>
      <c r="K2615" t="s">
        <v>337</v>
      </c>
    </row>
    <row r="2616" spans="1:12">
      <c r="A2616" t="s">
        <v>318</v>
      </c>
      <c r="B2616" t="s">
        <v>2228</v>
      </c>
      <c r="C2616" t="s">
        <v>1243</v>
      </c>
      <c r="D2616" s="28">
        <v>7600100049063</v>
      </c>
      <c r="E2616" s="29" t="s">
        <v>987</v>
      </c>
      <c r="F2616" s="29" t="s">
        <v>364</v>
      </c>
      <c r="G2616">
        <v>181</v>
      </c>
      <c r="H2616" t="s">
        <v>1051</v>
      </c>
      <c r="I2616" t="s">
        <v>98</v>
      </c>
      <c r="J2616" t="s">
        <v>185</v>
      </c>
      <c r="K2616" t="s">
        <v>394</v>
      </c>
    </row>
    <row r="2617" spans="1:12">
      <c r="A2617" t="s">
        <v>318</v>
      </c>
      <c r="B2617" t="s">
        <v>2228</v>
      </c>
      <c r="C2617" t="s">
        <v>2361</v>
      </c>
      <c r="D2617" s="28">
        <v>7600100018473</v>
      </c>
      <c r="E2617" s="29" t="s">
        <v>987</v>
      </c>
      <c r="F2617" s="29" t="s">
        <v>364</v>
      </c>
      <c r="G2617">
        <v>100</v>
      </c>
      <c r="H2617" t="s">
        <v>1051</v>
      </c>
      <c r="I2617" t="s">
        <v>98</v>
      </c>
      <c r="J2617" t="s">
        <v>185</v>
      </c>
      <c r="K2617" t="s">
        <v>337</v>
      </c>
    </row>
    <row r="2618" spans="1:12">
      <c r="A2618" t="s">
        <v>318</v>
      </c>
      <c r="B2618" t="s">
        <v>2228</v>
      </c>
      <c r="C2618" t="s">
        <v>2362</v>
      </c>
      <c r="D2618" s="28">
        <v>7600100048052</v>
      </c>
      <c r="E2618" s="29" t="s">
        <v>987</v>
      </c>
      <c r="F2618" s="29" t="s">
        <v>364</v>
      </c>
      <c r="G2618">
        <v>210</v>
      </c>
      <c r="H2618" t="s">
        <v>1051</v>
      </c>
      <c r="I2618" t="s">
        <v>98</v>
      </c>
      <c r="J2618" t="s">
        <v>185</v>
      </c>
      <c r="K2618" t="s">
        <v>394</v>
      </c>
    </row>
    <row r="2619" spans="1:12">
      <c r="A2619" t="s">
        <v>318</v>
      </c>
      <c r="B2619" t="s">
        <v>2363</v>
      </c>
      <c r="C2619" t="s">
        <v>377</v>
      </c>
      <c r="D2619" s="28">
        <v>7600100047538</v>
      </c>
      <c r="E2619" s="29" t="s">
        <v>371</v>
      </c>
      <c r="F2619" s="29" t="s">
        <v>372</v>
      </c>
      <c r="G2619">
        <v>10</v>
      </c>
      <c r="H2619" t="s">
        <v>1051</v>
      </c>
      <c r="I2619" t="s">
        <v>98</v>
      </c>
      <c r="J2619" t="s">
        <v>185</v>
      </c>
      <c r="K2619" t="s">
        <v>285</v>
      </c>
      <c r="L2619" t="s">
        <v>327</v>
      </c>
    </row>
    <row r="2620" spans="1:12">
      <c r="A2620" t="s">
        <v>318</v>
      </c>
      <c r="B2620" t="s">
        <v>2363</v>
      </c>
      <c r="C2620" t="s">
        <v>2364</v>
      </c>
      <c r="D2620" s="28">
        <v>7600100047639</v>
      </c>
      <c r="E2620" s="29" t="s">
        <v>371</v>
      </c>
      <c r="F2620" s="29" t="s">
        <v>372</v>
      </c>
      <c r="G2620">
        <v>13</v>
      </c>
      <c r="H2620" t="s">
        <v>1051</v>
      </c>
      <c r="I2620" t="s">
        <v>98</v>
      </c>
      <c r="J2620" t="s">
        <v>185</v>
      </c>
      <c r="K2620" t="s">
        <v>285</v>
      </c>
      <c r="L2620" t="s">
        <v>327</v>
      </c>
    </row>
    <row r="2621" spans="1:12">
      <c r="A2621" t="s">
        <v>318</v>
      </c>
      <c r="B2621" t="s">
        <v>2363</v>
      </c>
      <c r="C2621" t="s">
        <v>2260</v>
      </c>
      <c r="D2621" s="28">
        <v>7600100047648</v>
      </c>
      <c r="E2621" s="29" t="s">
        <v>371</v>
      </c>
      <c r="F2621" s="29" t="s">
        <v>372</v>
      </c>
      <c r="G2621">
        <v>13</v>
      </c>
      <c r="H2621" t="s">
        <v>1051</v>
      </c>
      <c r="I2621" t="s">
        <v>98</v>
      </c>
      <c r="J2621" t="s">
        <v>185</v>
      </c>
      <c r="K2621" t="s">
        <v>285</v>
      </c>
      <c r="L2621" t="s">
        <v>327</v>
      </c>
    </row>
    <row r="2622" spans="1:12">
      <c r="A2622" t="s">
        <v>318</v>
      </c>
      <c r="B2622" t="s">
        <v>2363</v>
      </c>
      <c r="C2622" t="s">
        <v>521</v>
      </c>
      <c r="D2622" s="28">
        <v>7600100047661</v>
      </c>
      <c r="E2622" s="29" t="s">
        <v>371</v>
      </c>
      <c r="F2622" s="29" t="s">
        <v>372</v>
      </c>
      <c r="G2622">
        <v>13</v>
      </c>
      <c r="H2622" t="s">
        <v>1051</v>
      </c>
      <c r="I2622" t="s">
        <v>98</v>
      </c>
      <c r="J2622" t="s">
        <v>185</v>
      </c>
      <c r="K2622" t="s">
        <v>285</v>
      </c>
      <c r="L2622" t="s">
        <v>327</v>
      </c>
    </row>
    <row r="2623" spans="1:12">
      <c r="A2623" t="s">
        <v>318</v>
      </c>
      <c r="B2623" t="s">
        <v>2363</v>
      </c>
      <c r="C2623" t="s">
        <v>2365</v>
      </c>
      <c r="D2623" s="28">
        <v>7600100051163</v>
      </c>
      <c r="E2623" s="29" t="s">
        <v>371</v>
      </c>
      <c r="F2623" s="29" t="s">
        <v>372</v>
      </c>
      <c r="G2623">
        <v>11</v>
      </c>
      <c r="H2623" t="s">
        <v>1051</v>
      </c>
      <c r="I2623" t="s">
        <v>98</v>
      </c>
      <c r="J2623" t="s">
        <v>185</v>
      </c>
      <c r="K2623" t="s">
        <v>285</v>
      </c>
      <c r="L2623" t="s">
        <v>327</v>
      </c>
    </row>
    <row r="2624" spans="1:12">
      <c r="A2624" t="s">
        <v>318</v>
      </c>
      <c r="B2624" t="s">
        <v>2363</v>
      </c>
      <c r="C2624" t="s">
        <v>1866</v>
      </c>
      <c r="D2624" s="28">
        <v>7600100051171</v>
      </c>
      <c r="E2624" s="29" t="s">
        <v>371</v>
      </c>
      <c r="F2624" s="29" t="s">
        <v>372</v>
      </c>
      <c r="G2624">
        <v>7</v>
      </c>
      <c r="H2624" t="s">
        <v>1051</v>
      </c>
      <c r="I2624" t="s">
        <v>98</v>
      </c>
      <c r="J2624" t="s">
        <v>185</v>
      </c>
      <c r="K2624" t="s">
        <v>285</v>
      </c>
      <c r="L2624" t="s">
        <v>327</v>
      </c>
    </row>
    <row r="2625" spans="1:12">
      <c r="A2625" t="s">
        <v>318</v>
      </c>
      <c r="B2625" t="s">
        <v>2363</v>
      </c>
      <c r="C2625" t="s">
        <v>1993</v>
      </c>
      <c r="D2625" s="28">
        <v>7600100051177</v>
      </c>
      <c r="E2625" s="29" t="s">
        <v>371</v>
      </c>
      <c r="F2625" s="29" t="s">
        <v>372</v>
      </c>
      <c r="G2625">
        <v>8</v>
      </c>
      <c r="H2625" t="s">
        <v>1051</v>
      </c>
      <c r="I2625" t="s">
        <v>98</v>
      </c>
      <c r="J2625" t="s">
        <v>185</v>
      </c>
      <c r="K2625" t="s">
        <v>285</v>
      </c>
      <c r="L2625" t="s">
        <v>327</v>
      </c>
    </row>
    <row r="2626" spans="1:12">
      <c r="A2626" t="s">
        <v>318</v>
      </c>
      <c r="B2626" t="s">
        <v>2363</v>
      </c>
      <c r="C2626" t="s">
        <v>1703</v>
      </c>
      <c r="D2626" s="28">
        <v>7600100082107</v>
      </c>
      <c r="E2626" s="29" t="s">
        <v>371</v>
      </c>
      <c r="F2626" s="29" t="s">
        <v>372</v>
      </c>
      <c r="G2626">
        <v>11</v>
      </c>
      <c r="H2626" t="s">
        <v>1051</v>
      </c>
      <c r="I2626" t="s">
        <v>98</v>
      </c>
      <c r="J2626" t="s">
        <v>185</v>
      </c>
      <c r="K2626" t="s">
        <v>285</v>
      </c>
      <c r="L2626" t="s">
        <v>327</v>
      </c>
    </row>
    <row r="2627" spans="1:12">
      <c r="A2627" t="s">
        <v>318</v>
      </c>
      <c r="B2627" t="s">
        <v>2363</v>
      </c>
      <c r="C2627" t="s">
        <v>440</v>
      </c>
      <c r="D2627" s="28">
        <v>7600100085463</v>
      </c>
      <c r="E2627" s="29" t="s">
        <v>371</v>
      </c>
      <c r="F2627" s="29" t="s">
        <v>372</v>
      </c>
      <c r="G2627">
        <v>13</v>
      </c>
      <c r="H2627" t="s">
        <v>1051</v>
      </c>
      <c r="I2627" t="s">
        <v>98</v>
      </c>
      <c r="J2627" t="s">
        <v>185</v>
      </c>
      <c r="K2627" t="s">
        <v>285</v>
      </c>
      <c r="L2627" t="s">
        <v>327</v>
      </c>
    </row>
    <row r="2628" spans="1:12">
      <c r="A2628" t="s">
        <v>318</v>
      </c>
      <c r="B2628" t="s">
        <v>2363</v>
      </c>
      <c r="C2628" t="s">
        <v>2366</v>
      </c>
      <c r="D2628" s="28">
        <v>7600100085469</v>
      </c>
      <c r="E2628" s="29" t="s">
        <v>371</v>
      </c>
      <c r="F2628" s="29" t="s">
        <v>372</v>
      </c>
      <c r="G2628">
        <v>12</v>
      </c>
      <c r="H2628" t="s">
        <v>1051</v>
      </c>
      <c r="I2628" t="s">
        <v>98</v>
      </c>
      <c r="J2628" t="s">
        <v>185</v>
      </c>
      <c r="K2628" t="s">
        <v>285</v>
      </c>
      <c r="L2628" t="s">
        <v>327</v>
      </c>
    </row>
    <row r="2629" spans="1:12">
      <c r="A2629" t="s">
        <v>318</v>
      </c>
      <c r="B2629" t="s">
        <v>2363</v>
      </c>
      <c r="C2629" t="s">
        <v>902</v>
      </c>
      <c r="D2629" s="28">
        <v>7600100034919</v>
      </c>
      <c r="E2629" s="29" t="s">
        <v>1045</v>
      </c>
      <c r="F2629" s="29" t="s">
        <v>372</v>
      </c>
      <c r="G2629">
        <v>12</v>
      </c>
      <c r="H2629" t="s">
        <v>1051</v>
      </c>
      <c r="I2629" t="s">
        <v>98</v>
      </c>
      <c r="J2629" t="s">
        <v>185</v>
      </c>
      <c r="K2629" t="s">
        <v>285</v>
      </c>
      <c r="L2629" t="s">
        <v>327</v>
      </c>
    </row>
    <row r="2630" spans="1:12">
      <c r="A2630" t="s">
        <v>318</v>
      </c>
      <c r="B2630" t="s">
        <v>2363</v>
      </c>
      <c r="C2630" t="s">
        <v>487</v>
      </c>
      <c r="D2630" s="28">
        <v>7600100034930</v>
      </c>
      <c r="E2630" s="29" t="s">
        <v>1045</v>
      </c>
      <c r="F2630" s="29" t="s">
        <v>372</v>
      </c>
      <c r="G2630">
        <v>8</v>
      </c>
      <c r="H2630" t="s">
        <v>1051</v>
      </c>
      <c r="I2630" t="s">
        <v>98</v>
      </c>
      <c r="J2630" t="s">
        <v>185</v>
      </c>
      <c r="K2630" t="s">
        <v>285</v>
      </c>
      <c r="L2630" t="s">
        <v>327</v>
      </c>
    </row>
    <row r="2631" spans="1:12">
      <c r="A2631" t="s">
        <v>318</v>
      </c>
      <c r="B2631" t="s">
        <v>2363</v>
      </c>
      <c r="C2631" t="s">
        <v>2367</v>
      </c>
      <c r="D2631" s="28">
        <v>7600100064394</v>
      </c>
      <c r="E2631" s="29" t="s">
        <v>1045</v>
      </c>
      <c r="F2631" s="29" t="s">
        <v>372</v>
      </c>
      <c r="G2631">
        <v>15</v>
      </c>
      <c r="H2631" t="s">
        <v>1051</v>
      </c>
      <c r="I2631" t="s">
        <v>98</v>
      </c>
      <c r="J2631" t="s">
        <v>185</v>
      </c>
      <c r="K2631" t="s">
        <v>285</v>
      </c>
      <c r="L2631" t="s">
        <v>327</v>
      </c>
    </row>
    <row r="2632" spans="1:12">
      <c r="A2632" t="s">
        <v>318</v>
      </c>
      <c r="B2632" t="s">
        <v>2363</v>
      </c>
      <c r="C2632" t="s">
        <v>2368</v>
      </c>
      <c r="D2632" s="28">
        <v>7600100064395</v>
      </c>
      <c r="E2632" s="29" t="s">
        <v>1045</v>
      </c>
      <c r="F2632" s="29" t="s">
        <v>372</v>
      </c>
      <c r="G2632">
        <v>15</v>
      </c>
      <c r="H2632" t="s">
        <v>1051</v>
      </c>
      <c r="I2632" t="s">
        <v>98</v>
      </c>
      <c r="J2632" t="s">
        <v>185</v>
      </c>
      <c r="K2632" t="s">
        <v>285</v>
      </c>
      <c r="L2632" t="s">
        <v>327</v>
      </c>
    </row>
    <row r="2633" spans="1:12">
      <c r="A2633" t="s">
        <v>318</v>
      </c>
      <c r="B2633" t="s">
        <v>2363</v>
      </c>
      <c r="C2633" t="s">
        <v>2311</v>
      </c>
      <c r="D2633" s="28">
        <v>7600100064465</v>
      </c>
      <c r="E2633" s="29" t="s">
        <v>1045</v>
      </c>
      <c r="F2633" s="29" t="s">
        <v>372</v>
      </c>
      <c r="G2633">
        <v>15</v>
      </c>
      <c r="H2633" t="s">
        <v>1051</v>
      </c>
      <c r="I2633" t="s">
        <v>98</v>
      </c>
      <c r="J2633" t="s">
        <v>185</v>
      </c>
      <c r="K2633" t="s">
        <v>285</v>
      </c>
      <c r="L2633" t="s">
        <v>327</v>
      </c>
    </row>
    <row r="2634" spans="1:12">
      <c r="A2634" t="s">
        <v>318</v>
      </c>
      <c r="B2634" t="s">
        <v>2363</v>
      </c>
      <c r="C2634" t="s">
        <v>2369</v>
      </c>
      <c r="D2634" s="28">
        <v>7600100064481</v>
      </c>
      <c r="E2634" s="29" t="s">
        <v>1045</v>
      </c>
      <c r="F2634" s="29" t="s">
        <v>372</v>
      </c>
      <c r="G2634">
        <v>15</v>
      </c>
      <c r="H2634" t="s">
        <v>1051</v>
      </c>
      <c r="I2634" t="s">
        <v>98</v>
      </c>
      <c r="J2634" t="s">
        <v>185</v>
      </c>
      <c r="K2634" t="s">
        <v>285</v>
      </c>
      <c r="L2634" t="s">
        <v>327</v>
      </c>
    </row>
    <row r="2635" spans="1:12">
      <c r="A2635" t="s">
        <v>318</v>
      </c>
      <c r="B2635" t="s">
        <v>2363</v>
      </c>
      <c r="C2635" t="s">
        <v>511</v>
      </c>
      <c r="D2635" s="28">
        <v>7600100064504</v>
      </c>
      <c r="E2635" s="29" t="s">
        <v>1045</v>
      </c>
      <c r="F2635" s="29" t="s">
        <v>372</v>
      </c>
      <c r="G2635">
        <v>15</v>
      </c>
      <c r="H2635" t="s">
        <v>1051</v>
      </c>
      <c r="I2635" t="s">
        <v>98</v>
      </c>
      <c r="J2635" t="s">
        <v>185</v>
      </c>
      <c r="K2635" t="s">
        <v>285</v>
      </c>
      <c r="L2635" t="s">
        <v>327</v>
      </c>
    </row>
    <row r="2636" spans="1:12">
      <c r="A2636" t="s">
        <v>318</v>
      </c>
      <c r="B2636" t="s">
        <v>2363</v>
      </c>
      <c r="C2636" t="s">
        <v>2370</v>
      </c>
      <c r="D2636" s="28">
        <v>7600100067456</v>
      </c>
      <c r="E2636" s="29" t="s">
        <v>1045</v>
      </c>
      <c r="F2636" s="29" t="s">
        <v>372</v>
      </c>
      <c r="G2636">
        <v>15</v>
      </c>
      <c r="H2636" t="s">
        <v>1051</v>
      </c>
      <c r="I2636" t="s">
        <v>98</v>
      </c>
      <c r="J2636" t="s">
        <v>185</v>
      </c>
      <c r="K2636" t="s">
        <v>285</v>
      </c>
      <c r="L2636" t="s">
        <v>327</v>
      </c>
    </row>
    <row r="2637" spans="1:12">
      <c r="A2637" t="s">
        <v>318</v>
      </c>
      <c r="B2637" t="s">
        <v>2363</v>
      </c>
      <c r="C2637" t="s">
        <v>2371</v>
      </c>
      <c r="D2637" s="28">
        <v>7600100078173</v>
      </c>
      <c r="E2637" s="29" t="s">
        <v>1045</v>
      </c>
      <c r="F2637" s="29" t="s">
        <v>372</v>
      </c>
      <c r="G2637">
        <v>15</v>
      </c>
      <c r="H2637" t="s">
        <v>1051</v>
      </c>
      <c r="I2637" t="s">
        <v>98</v>
      </c>
      <c r="J2637" t="s">
        <v>185</v>
      </c>
      <c r="K2637" t="s">
        <v>285</v>
      </c>
      <c r="L2637" t="s">
        <v>327</v>
      </c>
    </row>
    <row r="2638" spans="1:12">
      <c r="A2638" t="s">
        <v>318</v>
      </c>
      <c r="B2638" t="s">
        <v>2363</v>
      </c>
      <c r="C2638" t="s">
        <v>551</v>
      </c>
      <c r="D2638" s="28">
        <v>7600100078190</v>
      </c>
      <c r="E2638" s="29" t="s">
        <v>1045</v>
      </c>
      <c r="F2638" s="29" t="s">
        <v>372</v>
      </c>
      <c r="G2638">
        <v>15</v>
      </c>
      <c r="H2638" t="s">
        <v>1051</v>
      </c>
      <c r="I2638" t="s">
        <v>98</v>
      </c>
      <c r="J2638" t="s">
        <v>185</v>
      </c>
      <c r="K2638" t="s">
        <v>285</v>
      </c>
      <c r="L2638" t="s">
        <v>327</v>
      </c>
    </row>
    <row r="2639" spans="1:12">
      <c r="A2639" t="s">
        <v>318</v>
      </c>
      <c r="B2639" t="s">
        <v>2363</v>
      </c>
      <c r="C2639" t="s">
        <v>1596</v>
      </c>
      <c r="D2639" s="28">
        <v>7600100036430</v>
      </c>
      <c r="E2639" s="29" t="s">
        <v>371</v>
      </c>
      <c r="F2639" s="29" t="s">
        <v>372</v>
      </c>
      <c r="G2639">
        <v>10</v>
      </c>
      <c r="H2639" t="s">
        <v>1051</v>
      </c>
      <c r="I2639" t="s">
        <v>98</v>
      </c>
      <c r="J2639" t="s">
        <v>185</v>
      </c>
      <c r="K2639" t="s">
        <v>285</v>
      </c>
      <c r="L2639" t="s">
        <v>327</v>
      </c>
    </row>
    <row r="2640" spans="1:12">
      <c r="A2640" t="s">
        <v>318</v>
      </c>
      <c r="B2640" t="s">
        <v>2363</v>
      </c>
      <c r="C2640" t="s">
        <v>2372</v>
      </c>
      <c r="D2640" s="28">
        <v>7600100056498</v>
      </c>
      <c r="E2640" s="29" t="s">
        <v>371</v>
      </c>
      <c r="F2640" s="29" t="s">
        <v>372</v>
      </c>
      <c r="G2640">
        <v>13</v>
      </c>
      <c r="H2640" t="s">
        <v>1051</v>
      </c>
      <c r="I2640" t="s">
        <v>98</v>
      </c>
      <c r="J2640" t="s">
        <v>185</v>
      </c>
      <c r="K2640" t="s">
        <v>1226</v>
      </c>
      <c r="L2640" t="s">
        <v>327</v>
      </c>
    </row>
    <row r="2641" spans="1:12">
      <c r="A2641" t="s">
        <v>318</v>
      </c>
      <c r="B2641" t="s">
        <v>2363</v>
      </c>
      <c r="C2641" t="s">
        <v>2373</v>
      </c>
      <c r="D2641" s="28">
        <v>7600100060734</v>
      </c>
      <c r="E2641" s="29" t="s">
        <v>371</v>
      </c>
      <c r="F2641" s="29" t="s">
        <v>372</v>
      </c>
      <c r="G2641">
        <v>13</v>
      </c>
      <c r="H2641" t="s">
        <v>1051</v>
      </c>
      <c r="I2641" t="s">
        <v>98</v>
      </c>
      <c r="J2641" t="s">
        <v>185</v>
      </c>
      <c r="K2641" t="s">
        <v>1226</v>
      </c>
      <c r="L2641" t="s">
        <v>327</v>
      </c>
    </row>
    <row r="2642" spans="1:12">
      <c r="A2642" t="s">
        <v>318</v>
      </c>
      <c r="B2642" t="s">
        <v>2363</v>
      </c>
      <c r="C2642" t="s">
        <v>1659</v>
      </c>
      <c r="D2642" s="28">
        <v>7600100060735</v>
      </c>
      <c r="E2642" s="29" t="s">
        <v>371</v>
      </c>
      <c r="F2642" s="29" t="s">
        <v>372</v>
      </c>
      <c r="G2642">
        <v>13</v>
      </c>
      <c r="H2642" t="s">
        <v>1051</v>
      </c>
      <c r="I2642" t="s">
        <v>98</v>
      </c>
      <c r="J2642" t="s">
        <v>185</v>
      </c>
      <c r="K2642" t="s">
        <v>285</v>
      </c>
      <c r="L2642" t="s">
        <v>327</v>
      </c>
    </row>
    <row r="2643" spans="1:12">
      <c r="A2643" t="s">
        <v>318</v>
      </c>
      <c r="B2643" t="s">
        <v>2363</v>
      </c>
      <c r="C2643" t="s">
        <v>2374</v>
      </c>
      <c r="D2643" s="28">
        <v>7600100061155</v>
      </c>
      <c r="E2643" s="29" t="s">
        <v>371</v>
      </c>
      <c r="F2643" s="29" t="s">
        <v>372</v>
      </c>
      <c r="G2643">
        <v>12</v>
      </c>
      <c r="H2643" t="s">
        <v>1051</v>
      </c>
      <c r="I2643" t="s">
        <v>98</v>
      </c>
      <c r="J2643" t="s">
        <v>185</v>
      </c>
      <c r="K2643" t="s">
        <v>285</v>
      </c>
      <c r="L2643" t="s">
        <v>327</v>
      </c>
    </row>
    <row r="2644" spans="1:12">
      <c r="A2644" t="s">
        <v>318</v>
      </c>
      <c r="B2644" t="s">
        <v>2363</v>
      </c>
      <c r="C2644" t="s">
        <v>2375</v>
      </c>
      <c r="D2644" s="28">
        <v>7600100061163</v>
      </c>
      <c r="E2644" s="29" t="s">
        <v>371</v>
      </c>
      <c r="F2644" s="29" t="s">
        <v>372</v>
      </c>
      <c r="G2644">
        <v>11</v>
      </c>
      <c r="H2644" t="s">
        <v>1051</v>
      </c>
      <c r="I2644" t="s">
        <v>98</v>
      </c>
      <c r="J2644" t="s">
        <v>185</v>
      </c>
      <c r="K2644" t="s">
        <v>285</v>
      </c>
      <c r="L2644" t="s">
        <v>327</v>
      </c>
    </row>
    <row r="2645" spans="1:12">
      <c r="A2645" t="s">
        <v>318</v>
      </c>
      <c r="B2645" t="s">
        <v>2363</v>
      </c>
      <c r="C2645" t="s">
        <v>1672</v>
      </c>
      <c r="D2645" s="28">
        <v>7600100061179</v>
      </c>
      <c r="E2645" s="29" t="s">
        <v>371</v>
      </c>
      <c r="F2645" s="29" t="s">
        <v>372</v>
      </c>
      <c r="G2645">
        <v>11</v>
      </c>
      <c r="H2645" t="s">
        <v>1051</v>
      </c>
      <c r="I2645" t="s">
        <v>98</v>
      </c>
      <c r="J2645" t="s">
        <v>185</v>
      </c>
      <c r="K2645" t="s">
        <v>285</v>
      </c>
      <c r="L2645" t="s">
        <v>327</v>
      </c>
    </row>
    <row r="2646" spans="1:12">
      <c r="A2646" t="s">
        <v>318</v>
      </c>
      <c r="B2646" t="s">
        <v>2363</v>
      </c>
      <c r="C2646" t="s">
        <v>2376</v>
      </c>
      <c r="D2646" s="28">
        <v>7600100061191</v>
      </c>
      <c r="E2646" s="29" t="s">
        <v>371</v>
      </c>
      <c r="F2646" s="29" t="s">
        <v>372</v>
      </c>
      <c r="G2646">
        <v>12</v>
      </c>
      <c r="H2646" t="s">
        <v>1051</v>
      </c>
      <c r="I2646" t="s">
        <v>98</v>
      </c>
      <c r="J2646" t="s">
        <v>185</v>
      </c>
      <c r="K2646" t="s">
        <v>285</v>
      </c>
      <c r="L2646" t="s">
        <v>327</v>
      </c>
    </row>
    <row r="2647" spans="1:12">
      <c r="A2647" t="s">
        <v>318</v>
      </c>
      <c r="B2647" t="s">
        <v>2363</v>
      </c>
      <c r="C2647" t="s">
        <v>571</v>
      </c>
      <c r="D2647" s="28">
        <v>7600100062033</v>
      </c>
      <c r="E2647" s="29" t="s">
        <v>371</v>
      </c>
      <c r="F2647" s="29" t="s">
        <v>372</v>
      </c>
      <c r="G2647">
        <v>13</v>
      </c>
      <c r="H2647" t="s">
        <v>1051</v>
      </c>
      <c r="I2647" t="s">
        <v>98</v>
      </c>
      <c r="J2647" t="s">
        <v>185</v>
      </c>
      <c r="K2647" t="s">
        <v>1226</v>
      </c>
      <c r="L2647" t="s">
        <v>327</v>
      </c>
    </row>
    <row r="2648" spans="1:12">
      <c r="A2648" t="s">
        <v>318</v>
      </c>
      <c r="B2648" t="s">
        <v>2363</v>
      </c>
      <c r="C2648" t="s">
        <v>2377</v>
      </c>
      <c r="D2648" s="28">
        <v>7600100123514</v>
      </c>
      <c r="E2648" s="29" t="s">
        <v>371</v>
      </c>
      <c r="F2648" s="29" t="s">
        <v>372</v>
      </c>
      <c r="G2648">
        <v>12</v>
      </c>
      <c r="H2648" t="s">
        <v>1051</v>
      </c>
      <c r="I2648" t="s">
        <v>98</v>
      </c>
      <c r="J2648" t="s">
        <v>185</v>
      </c>
      <c r="K2648" t="s">
        <v>1226</v>
      </c>
      <c r="L2648" t="s">
        <v>327</v>
      </c>
    </row>
    <row r="2649" spans="1:12">
      <c r="A2649" t="s">
        <v>318</v>
      </c>
      <c r="B2649" t="s">
        <v>2363</v>
      </c>
      <c r="C2649" t="s">
        <v>2112</v>
      </c>
      <c r="D2649" s="28">
        <v>7600100129062</v>
      </c>
      <c r="E2649" s="29" t="s">
        <v>441</v>
      </c>
      <c r="F2649" s="29" t="s">
        <v>372</v>
      </c>
      <c r="G2649">
        <v>39</v>
      </c>
      <c r="H2649" t="s">
        <v>1051</v>
      </c>
      <c r="I2649" t="s">
        <v>98</v>
      </c>
      <c r="J2649" t="s">
        <v>185</v>
      </c>
      <c r="K2649" t="s">
        <v>365</v>
      </c>
      <c r="L2649" t="s">
        <v>327</v>
      </c>
    </row>
    <row r="2650" spans="1:12">
      <c r="A2650" t="s">
        <v>318</v>
      </c>
      <c r="B2650" t="s">
        <v>2363</v>
      </c>
      <c r="C2650" t="s">
        <v>2378</v>
      </c>
      <c r="D2650" s="28">
        <v>760011128207</v>
      </c>
      <c r="E2650" s="29" t="s">
        <v>371</v>
      </c>
      <c r="F2650" s="29" t="s">
        <v>372</v>
      </c>
      <c r="G2650">
        <v>13</v>
      </c>
      <c r="H2650" t="s">
        <v>1051</v>
      </c>
      <c r="I2650" t="s">
        <v>98</v>
      </c>
      <c r="J2650" t="s">
        <v>185</v>
      </c>
      <c r="K2650" t="s">
        <v>1226</v>
      </c>
      <c r="L2650" t="s">
        <v>327</v>
      </c>
    </row>
    <row r="2651" spans="1:12">
      <c r="A2651" t="s">
        <v>318</v>
      </c>
      <c r="B2651" t="s">
        <v>2363</v>
      </c>
      <c r="C2651" t="s">
        <v>2286</v>
      </c>
      <c r="D2651" s="28">
        <v>760011112299</v>
      </c>
      <c r="E2651" s="29" t="s">
        <v>1045</v>
      </c>
      <c r="F2651" s="29" t="s">
        <v>372</v>
      </c>
      <c r="G2651">
        <v>15</v>
      </c>
      <c r="H2651" t="s">
        <v>1051</v>
      </c>
      <c r="I2651" t="s">
        <v>98</v>
      </c>
      <c r="J2651" t="s">
        <v>185</v>
      </c>
      <c r="K2651" t="s">
        <v>285</v>
      </c>
      <c r="L2651" t="s">
        <v>327</v>
      </c>
    </row>
    <row r="2652" spans="1:12">
      <c r="A2652" t="s">
        <v>318</v>
      </c>
      <c r="B2652" t="s">
        <v>2363</v>
      </c>
      <c r="C2652" t="s">
        <v>487</v>
      </c>
      <c r="D2652" s="28">
        <v>760011112312</v>
      </c>
      <c r="E2652" s="29" t="s">
        <v>1045</v>
      </c>
      <c r="F2652" s="29" t="s">
        <v>372</v>
      </c>
      <c r="G2652">
        <v>15</v>
      </c>
      <c r="H2652" t="s">
        <v>1051</v>
      </c>
      <c r="I2652" t="s">
        <v>98</v>
      </c>
      <c r="J2652" t="s">
        <v>185</v>
      </c>
      <c r="K2652" t="s">
        <v>285</v>
      </c>
      <c r="L2652" t="s">
        <v>327</v>
      </c>
    </row>
    <row r="2653" spans="1:12">
      <c r="A2653" t="s">
        <v>318</v>
      </c>
      <c r="B2653" t="s">
        <v>2363</v>
      </c>
      <c r="C2653" t="s">
        <v>421</v>
      </c>
      <c r="D2653" s="28">
        <v>760011115972</v>
      </c>
      <c r="E2653" s="29" t="s">
        <v>1045</v>
      </c>
      <c r="F2653" s="29" t="s">
        <v>372</v>
      </c>
      <c r="G2653">
        <v>15</v>
      </c>
      <c r="H2653" t="s">
        <v>1051</v>
      </c>
      <c r="I2653" t="s">
        <v>98</v>
      </c>
      <c r="J2653" t="s">
        <v>185</v>
      </c>
      <c r="K2653" t="s">
        <v>1226</v>
      </c>
      <c r="L2653" t="s">
        <v>327</v>
      </c>
    </row>
    <row r="2654" spans="1:12">
      <c r="A2654" t="s">
        <v>318</v>
      </c>
      <c r="B2654" t="s">
        <v>2363</v>
      </c>
      <c r="C2654" t="s">
        <v>2379</v>
      </c>
      <c r="D2654" s="28">
        <v>760011115975</v>
      </c>
      <c r="E2654" s="29" t="s">
        <v>1045</v>
      </c>
      <c r="F2654" s="29" t="s">
        <v>372</v>
      </c>
      <c r="G2654">
        <v>15</v>
      </c>
      <c r="H2654" t="s">
        <v>1051</v>
      </c>
      <c r="I2654" t="s">
        <v>98</v>
      </c>
      <c r="J2654" t="s">
        <v>185</v>
      </c>
      <c r="K2654" t="s">
        <v>1226</v>
      </c>
      <c r="L2654" t="s">
        <v>327</v>
      </c>
    </row>
    <row r="2655" spans="1:12">
      <c r="A2655" t="s">
        <v>318</v>
      </c>
      <c r="B2655" t="s">
        <v>2363</v>
      </c>
      <c r="C2655" t="s">
        <v>711</v>
      </c>
      <c r="D2655" s="28">
        <v>760011115979</v>
      </c>
      <c r="E2655" s="29" t="s">
        <v>1045</v>
      </c>
      <c r="F2655" s="29" t="s">
        <v>372</v>
      </c>
      <c r="G2655">
        <v>15</v>
      </c>
      <c r="H2655" t="s">
        <v>1051</v>
      </c>
      <c r="I2655" t="s">
        <v>98</v>
      </c>
      <c r="J2655" t="s">
        <v>185</v>
      </c>
      <c r="K2655" t="s">
        <v>1226</v>
      </c>
      <c r="L2655" t="s">
        <v>327</v>
      </c>
    </row>
    <row r="2656" spans="1:12">
      <c r="A2656" t="s">
        <v>318</v>
      </c>
      <c r="B2656" t="s">
        <v>2363</v>
      </c>
      <c r="C2656" t="s">
        <v>377</v>
      </c>
      <c r="D2656" s="28">
        <v>760011115988</v>
      </c>
      <c r="E2656" s="29" t="s">
        <v>1045</v>
      </c>
      <c r="F2656" s="29" t="s">
        <v>372</v>
      </c>
      <c r="G2656">
        <v>15</v>
      </c>
      <c r="H2656" t="s">
        <v>1051</v>
      </c>
      <c r="I2656" t="s">
        <v>98</v>
      </c>
      <c r="J2656" t="s">
        <v>185</v>
      </c>
      <c r="K2656" t="s">
        <v>1226</v>
      </c>
      <c r="L2656" t="s">
        <v>327</v>
      </c>
    </row>
    <row r="2657" spans="1:12">
      <c r="A2657" t="s">
        <v>318</v>
      </c>
      <c r="B2657" t="s">
        <v>2363</v>
      </c>
      <c r="C2657" t="s">
        <v>2380</v>
      </c>
      <c r="D2657" s="28">
        <v>760011115993</v>
      </c>
      <c r="E2657" s="29" t="s">
        <v>1045</v>
      </c>
      <c r="F2657" s="29" t="s">
        <v>372</v>
      </c>
      <c r="G2657">
        <v>15</v>
      </c>
      <c r="H2657" t="s">
        <v>1051</v>
      </c>
      <c r="I2657" t="s">
        <v>98</v>
      </c>
      <c r="J2657" t="s">
        <v>185</v>
      </c>
      <c r="K2657" t="s">
        <v>1226</v>
      </c>
      <c r="L2657" t="s">
        <v>327</v>
      </c>
    </row>
    <row r="2658" spans="1:12">
      <c r="A2658" t="s">
        <v>318</v>
      </c>
      <c r="B2658" t="s">
        <v>2363</v>
      </c>
      <c r="C2658" t="s">
        <v>2357</v>
      </c>
      <c r="D2658" s="28">
        <v>760011115995</v>
      </c>
      <c r="E2658" s="29" t="s">
        <v>1045</v>
      </c>
      <c r="F2658" s="29" t="s">
        <v>372</v>
      </c>
      <c r="G2658">
        <v>15</v>
      </c>
      <c r="H2658" t="s">
        <v>1051</v>
      </c>
      <c r="I2658" t="s">
        <v>98</v>
      </c>
      <c r="J2658" t="s">
        <v>185</v>
      </c>
      <c r="K2658" t="s">
        <v>1226</v>
      </c>
      <c r="L2658" t="s">
        <v>327</v>
      </c>
    </row>
    <row r="2659" spans="1:12">
      <c r="A2659" t="s">
        <v>318</v>
      </c>
      <c r="B2659" t="s">
        <v>2363</v>
      </c>
      <c r="C2659" t="s">
        <v>2381</v>
      </c>
      <c r="D2659" s="28">
        <v>7600100063771</v>
      </c>
      <c r="E2659" s="29" t="s">
        <v>1045</v>
      </c>
      <c r="F2659" s="29" t="s">
        <v>372</v>
      </c>
      <c r="G2659">
        <v>15</v>
      </c>
      <c r="H2659" t="s">
        <v>1051</v>
      </c>
      <c r="I2659" t="s">
        <v>98</v>
      </c>
      <c r="J2659" t="s">
        <v>185</v>
      </c>
      <c r="K2659" t="s">
        <v>285</v>
      </c>
      <c r="L2659" t="s">
        <v>327</v>
      </c>
    </row>
    <row r="2660" spans="1:12">
      <c r="A2660" t="s">
        <v>318</v>
      </c>
      <c r="B2660" t="s">
        <v>2363</v>
      </c>
      <c r="C2660" t="s">
        <v>2382</v>
      </c>
      <c r="D2660" s="28">
        <v>7600100063783</v>
      </c>
      <c r="E2660" s="29" t="s">
        <v>1045</v>
      </c>
      <c r="F2660" s="29" t="s">
        <v>372</v>
      </c>
      <c r="G2660">
        <v>15</v>
      </c>
      <c r="H2660" t="s">
        <v>1051</v>
      </c>
      <c r="I2660" t="s">
        <v>98</v>
      </c>
      <c r="J2660" t="s">
        <v>185</v>
      </c>
      <c r="K2660" t="s">
        <v>285</v>
      </c>
      <c r="L2660" t="s">
        <v>327</v>
      </c>
    </row>
    <row r="2661" spans="1:12">
      <c r="A2661" t="s">
        <v>318</v>
      </c>
      <c r="B2661" t="s">
        <v>2363</v>
      </c>
      <c r="C2661" t="s">
        <v>2383</v>
      </c>
      <c r="D2661" s="28">
        <v>7600100095500</v>
      </c>
      <c r="E2661" s="29" t="s">
        <v>1045</v>
      </c>
      <c r="F2661" s="29" t="s">
        <v>372</v>
      </c>
      <c r="G2661">
        <v>15</v>
      </c>
      <c r="H2661" t="s">
        <v>1051</v>
      </c>
      <c r="I2661" t="s">
        <v>98</v>
      </c>
      <c r="J2661" t="s">
        <v>185</v>
      </c>
      <c r="K2661" t="s">
        <v>285</v>
      </c>
      <c r="L2661" t="s">
        <v>327</v>
      </c>
    </row>
    <row r="2662" spans="1:12">
      <c r="A2662" t="s">
        <v>318</v>
      </c>
      <c r="B2662" t="s">
        <v>2363</v>
      </c>
      <c r="C2662" t="s">
        <v>435</v>
      </c>
      <c r="D2662" s="28">
        <v>7600100095502</v>
      </c>
      <c r="E2662" s="29" t="s">
        <v>1045</v>
      </c>
      <c r="F2662" s="29" t="s">
        <v>372</v>
      </c>
      <c r="G2662">
        <v>15</v>
      </c>
      <c r="H2662" t="s">
        <v>1051</v>
      </c>
      <c r="I2662" t="s">
        <v>98</v>
      </c>
      <c r="J2662" t="s">
        <v>185</v>
      </c>
      <c r="K2662" t="s">
        <v>285</v>
      </c>
      <c r="L2662" t="s">
        <v>327</v>
      </c>
    </row>
    <row r="2663" spans="1:12">
      <c r="A2663" t="s">
        <v>318</v>
      </c>
      <c r="B2663" t="s">
        <v>2363</v>
      </c>
      <c r="C2663" t="s">
        <v>2384</v>
      </c>
      <c r="D2663" s="28">
        <v>7600100095504</v>
      </c>
      <c r="E2663" s="29" t="s">
        <v>1045</v>
      </c>
      <c r="F2663" s="29" t="s">
        <v>372</v>
      </c>
      <c r="G2663">
        <v>15</v>
      </c>
      <c r="H2663" t="s">
        <v>1051</v>
      </c>
      <c r="I2663" t="s">
        <v>98</v>
      </c>
      <c r="J2663" t="s">
        <v>185</v>
      </c>
      <c r="K2663" t="s">
        <v>285</v>
      </c>
      <c r="L2663" t="s">
        <v>327</v>
      </c>
    </row>
    <row r="2664" spans="1:12">
      <c r="A2664" t="s">
        <v>318</v>
      </c>
      <c r="B2664" t="s">
        <v>2363</v>
      </c>
      <c r="C2664" t="s">
        <v>2385</v>
      </c>
      <c r="D2664" s="28">
        <v>7600100095505</v>
      </c>
      <c r="E2664" s="29" t="s">
        <v>1045</v>
      </c>
      <c r="F2664" s="29" t="s">
        <v>372</v>
      </c>
      <c r="G2664">
        <v>15</v>
      </c>
      <c r="H2664" t="s">
        <v>1051</v>
      </c>
      <c r="I2664" t="s">
        <v>98</v>
      </c>
      <c r="J2664" t="s">
        <v>185</v>
      </c>
      <c r="K2664" t="s">
        <v>285</v>
      </c>
      <c r="L2664" t="s">
        <v>327</v>
      </c>
    </row>
    <row r="2665" spans="1:12">
      <c r="A2665" t="s">
        <v>318</v>
      </c>
      <c r="B2665" t="s">
        <v>2363</v>
      </c>
      <c r="C2665" t="s">
        <v>2386</v>
      </c>
      <c r="D2665" s="28">
        <v>7600100095506</v>
      </c>
      <c r="E2665" s="29" t="s">
        <v>1045</v>
      </c>
      <c r="F2665" s="29" t="s">
        <v>372</v>
      </c>
      <c r="G2665">
        <v>15</v>
      </c>
      <c r="H2665" t="s">
        <v>1051</v>
      </c>
      <c r="I2665" t="s">
        <v>98</v>
      </c>
      <c r="J2665" t="s">
        <v>185</v>
      </c>
      <c r="K2665" t="s">
        <v>285</v>
      </c>
      <c r="L2665" t="s">
        <v>327</v>
      </c>
    </row>
    <row r="2666" spans="1:12">
      <c r="A2666" t="s">
        <v>318</v>
      </c>
      <c r="B2666" t="s">
        <v>2363</v>
      </c>
      <c r="C2666" t="s">
        <v>543</v>
      </c>
      <c r="D2666" s="28">
        <v>760011119508</v>
      </c>
      <c r="E2666" s="29" t="s">
        <v>1045</v>
      </c>
      <c r="F2666" s="29" t="s">
        <v>372</v>
      </c>
      <c r="G2666">
        <v>15</v>
      </c>
      <c r="H2666" t="s">
        <v>1051</v>
      </c>
      <c r="I2666" t="s">
        <v>98</v>
      </c>
      <c r="J2666" t="s">
        <v>185</v>
      </c>
      <c r="K2666" t="s">
        <v>285</v>
      </c>
      <c r="L2666" t="s">
        <v>327</v>
      </c>
    </row>
    <row r="2667" spans="1:12">
      <c r="A2667" t="s">
        <v>318</v>
      </c>
      <c r="B2667" t="s">
        <v>2363</v>
      </c>
      <c r="C2667" t="s">
        <v>2387</v>
      </c>
      <c r="D2667" s="28">
        <v>7600100022996</v>
      </c>
      <c r="E2667" s="29" t="s">
        <v>371</v>
      </c>
      <c r="F2667" s="29" t="s">
        <v>372</v>
      </c>
      <c r="G2667">
        <v>13</v>
      </c>
      <c r="H2667" t="s">
        <v>1051</v>
      </c>
      <c r="I2667" t="s">
        <v>98</v>
      </c>
      <c r="J2667" t="s">
        <v>185</v>
      </c>
      <c r="K2667" t="s">
        <v>285</v>
      </c>
      <c r="L2667" t="s">
        <v>327</v>
      </c>
    </row>
    <row r="2668" spans="1:12">
      <c r="A2668" t="s">
        <v>318</v>
      </c>
      <c r="B2668" t="s">
        <v>2363</v>
      </c>
      <c r="C2668" t="s">
        <v>2388</v>
      </c>
      <c r="D2668" s="28">
        <v>7600100023012</v>
      </c>
      <c r="E2668" s="29" t="s">
        <v>371</v>
      </c>
      <c r="F2668" s="29" t="s">
        <v>372</v>
      </c>
      <c r="G2668">
        <v>13</v>
      </c>
      <c r="H2668" t="s">
        <v>1051</v>
      </c>
      <c r="I2668" t="s">
        <v>98</v>
      </c>
      <c r="J2668" t="s">
        <v>185</v>
      </c>
      <c r="K2668" t="s">
        <v>285</v>
      </c>
      <c r="L2668" t="s">
        <v>327</v>
      </c>
    </row>
    <row r="2669" spans="1:12">
      <c r="A2669" t="s">
        <v>318</v>
      </c>
      <c r="B2669" t="s">
        <v>2363</v>
      </c>
      <c r="C2669" t="s">
        <v>2389</v>
      </c>
      <c r="D2669" s="28">
        <v>7600100023082</v>
      </c>
      <c r="E2669" s="29" t="s">
        <v>371</v>
      </c>
      <c r="F2669" s="29" t="s">
        <v>372</v>
      </c>
      <c r="G2669">
        <v>13</v>
      </c>
      <c r="H2669" t="s">
        <v>1051</v>
      </c>
      <c r="I2669" t="s">
        <v>98</v>
      </c>
      <c r="J2669" t="s">
        <v>185</v>
      </c>
      <c r="K2669" t="s">
        <v>285</v>
      </c>
      <c r="L2669" t="s">
        <v>327</v>
      </c>
    </row>
    <row r="2670" spans="1:12">
      <c r="A2670" t="s">
        <v>318</v>
      </c>
      <c r="B2670" t="s">
        <v>2363</v>
      </c>
      <c r="C2670" t="s">
        <v>2390</v>
      </c>
      <c r="D2670" s="28">
        <v>7600100023106</v>
      </c>
      <c r="E2670" s="29" t="s">
        <v>371</v>
      </c>
      <c r="F2670" s="29" t="s">
        <v>372</v>
      </c>
      <c r="G2670">
        <v>13</v>
      </c>
      <c r="H2670" t="s">
        <v>1051</v>
      </c>
      <c r="I2670" t="s">
        <v>98</v>
      </c>
      <c r="J2670" t="s">
        <v>185</v>
      </c>
      <c r="K2670" t="s">
        <v>285</v>
      </c>
      <c r="L2670" t="s">
        <v>327</v>
      </c>
    </row>
    <row r="2671" spans="1:12">
      <c r="A2671" t="s">
        <v>318</v>
      </c>
      <c r="B2671" t="s">
        <v>2363</v>
      </c>
      <c r="C2671" t="s">
        <v>2391</v>
      </c>
      <c r="D2671" s="28">
        <v>7600100023142</v>
      </c>
      <c r="E2671" s="29" t="s">
        <v>371</v>
      </c>
      <c r="F2671" s="29" t="s">
        <v>372</v>
      </c>
      <c r="G2671">
        <v>12</v>
      </c>
      <c r="H2671" t="s">
        <v>1051</v>
      </c>
      <c r="I2671" t="s">
        <v>98</v>
      </c>
      <c r="J2671" t="s">
        <v>185</v>
      </c>
      <c r="K2671" t="s">
        <v>285</v>
      </c>
      <c r="L2671" t="s">
        <v>327</v>
      </c>
    </row>
    <row r="2672" spans="1:12">
      <c r="A2672" t="s">
        <v>318</v>
      </c>
      <c r="B2672" t="s">
        <v>2363</v>
      </c>
      <c r="C2672" t="s">
        <v>2392</v>
      </c>
      <c r="D2672" s="28">
        <v>7600100023191</v>
      </c>
      <c r="E2672" s="29" t="s">
        <v>371</v>
      </c>
      <c r="F2672" s="29" t="s">
        <v>372</v>
      </c>
      <c r="G2672">
        <v>12</v>
      </c>
      <c r="H2672" t="s">
        <v>1051</v>
      </c>
      <c r="I2672" t="s">
        <v>98</v>
      </c>
      <c r="J2672" t="s">
        <v>185</v>
      </c>
      <c r="K2672" t="s">
        <v>285</v>
      </c>
      <c r="L2672" t="s">
        <v>327</v>
      </c>
    </row>
    <row r="2673" spans="1:12">
      <c r="A2673" t="s">
        <v>318</v>
      </c>
      <c r="B2673" t="s">
        <v>2363</v>
      </c>
      <c r="C2673" t="s">
        <v>2393</v>
      </c>
      <c r="D2673" s="28">
        <v>7600100023204</v>
      </c>
      <c r="E2673" s="29" t="s">
        <v>371</v>
      </c>
      <c r="F2673" s="29" t="s">
        <v>372</v>
      </c>
      <c r="G2673">
        <v>13</v>
      </c>
      <c r="H2673" t="s">
        <v>1051</v>
      </c>
      <c r="I2673" t="s">
        <v>98</v>
      </c>
      <c r="J2673" t="s">
        <v>185</v>
      </c>
      <c r="K2673" t="s">
        <v>285</v>
      </c>
      <c r="L2673" t="s">
        <v>327</v>
      </c>
    </row>
    <row r="2674" spans="1:12">
      <c r="A2674" t="s">
        <v>318</v>
      </c>
      <c r="B2674" t="s">
        <v>2363</v>
      </c>
      <c r="C2674" t="s">
        <v>2394</v>
      </c>
      <c r="D2674" s="28">
        <v>7600100023225</v>
      </c>
      <c r="E2674" s="29" t="s">
        <v>371</v>
      </c>
      <c r="F2674" s="29" t="s">
        <v>372</v>
      </c>
      <c r="G2674">
        <v>13</v>
      </c>
      <c r="H2674" t="s">
        <v>1051</v>
      </c>
      <c r="I2674" t="s">
        <v>98</v>
      </c>
      <c r="J2674" t="s">
        <v>185</v>
      </c>
      <c r="K2674" t="s">
        <v>285</v>
      </c>
      <c r="L2674" t="s">
        <v>327</v>
      </c>
    </row>
    <row r="2675" spans="1:12">
      <c r="A2675" t="s">
        <v>318</v>
      </c>
      <c r="B2675" t="s">
        <v>2363</v>
      </c>
      <c r="C2675" t="s">
        <v>1801</v>
      </c>
      <c r="D2675" s="28">
        <v>7600100102670</v>
      </c>
      <c r="E2675" s="29" t="s">
        <v>371</v>
      </c>
      <c r="F2675" s="29" t="s">
        <v>372</v>
      </c>
      <c r="G2675">
        <v>13</v>
      </c>
      <c r="H2675" t="s">
        <v>1051</v>
      </c>
      <c r="I2675" t="s">
        <v>98</v>
      </c>
      <c r="J2675" t="s">
        <v>185</v>
      </c>
      <c r="K2675" t="s">
        <v>285</v>
      </c>
      <c r="L2675" t="s">
        <v>327</v>
      </c>
    </row>
    <row r="2676" spans="1:12">
      <c r="A2676" t="s">
        <v>318</v>
      </c>
      <c r="B2676" t="s">
        <v>2363</v>
      </c>
      <c r="C2676" t="s">
        <v>596</v>
      </c>
      <c r="D2676" s="28">
        <v>7600100102998</v>
      </c>
      <c r="E2676" s="29" t="s">
        <v>1045</v>
      </c>
      <c r="F2676" s="29" t="s">
        <v>372</v>
      </c>
      <c r="G2676">
        <v>15</v>
      </c>
      <c r="H2676" t="s">
        <v>1051</v>
      </c>
      <c r="I2676" t="s">
        <v>98</v>
      </c>
      <c r="J2676" t="s">
        <v>185</v>
      </c>
      <c r="K2676" t="s">
        <v>1226</v>
      </c>
      <c r="L2676" t="s">
        <v>327</v>
      </c>
    </row>
    <row r="2677" spans="1:12">
      <c r="A2677" t="s">
        <v>318</v>
      </c>
      <c r="B2677" t="s">
        <v>2363</v>
      </c>
      <c r="C2677" t="s">
        <v>777</v>
      </c>
      <c r="D2677" s="28">
        <v>7600100102999</v>
      </c>
      <c r="E2677" s="29" t="s">
        <v>1045</v>
      </c>
      <c r="F2677" s="29" t="s">
        <v>372</v>
      </c>
      <c r="G2677">
        <v>12</v>
      </c>
      <c r="H2677" t="s">
        <v>1051</v>
      </c>
      <c r="I2677" t="s">
        <v>98</v>
      </c>
      <c r="J2677" t="s">
        <v>185</v>
      </c>
      <c r="K2677" t="s">
        <v>1226</v>
      </c>
      <c r="L2677" t="s">
        <v>327</v>
      </c>
    </row>
    <row r="2678" spans="1:12">
      <c r="A2678" t="s">
        <v>318</v>
      </c>
      <c r="B2678" t="s">
        <v>2363</v>
      </c>
      <c r="C2678" t="s">
        <v>2395</v>
      </c>
      <c r="D2678" s="28">
        <v>7600100103000</v>
      </c>
      <c r="E2678" s="29" t="s">
        <v>1045</v>
      </c>
      <c r="F2678" s="29" t="s">
        <v>372</v>
      </c>
      <c r="G2678">
        <v>15</v>
      </c>
      <c r="H2678" t="s">
        <v>1051</v>
      </c>
      <c r="I2678" t="s">
        <v>98</v>
      </c>
      <c r="J2678" t="s">
        <v>185</v>
      </c>
      <c r="K2678" t="s">
        <v>1226</v>
      </c>
      <c r="L2678" t="s">
        <v>327</v>
      </c>
    </row>
    <row r="2679" spans="1:12">
      <c r="A2679" t="s">
        <v>318</v>
      </c>
      <c r="B2679" t="s">
        <v>2363</v>
      </c>
      <c r="C2679" t="s">
        <v>2283</v>
      </c>
      <c r="D2679" s="28">
        <v>7600100103001</v>
      </c>
      <c r="E2679" s="29" t="s">
        <v>1045</v>
      </c>
      <c r="F2679" s="29" t="s">
        <v>372</v>
      </c>
      <c r="G2679">
        <v>13</v>
      </c>
      <c r="H2679" t="s">
        <v>1051</v>
      </c>
      <c r="I2679" t="s">
        <v>98</v>
      </c>
      <c r="J2679" t="s">
        <v>185</v>
      </c>
      <c r="K2679" t="s">
        <v>1226</v>
      </c>
      <c r="L2679" t="s">
        <v>327</v>
      </c>
    </row>
    <row r="2680" spans="1:12">
      <c r="A2680" t="s">
        <v>318</v>
      </c>
      <c r="B2680" t="s">
        <v>2363</v>
      </c>
      <c r="C2680" t="s">
        <v>914</v>
      </c>
      <c r="D2680" s="28">
        <v>7600100103094</v>
      </c>
      <c r="E2680" s="29" t="s">
        <v>371</v>
      </c>
      <c r="F2680" s="29" t="s">
        <v>372</v>
      </c>
      <c r="G2680">
        <v>13</v>
      </c>
      <c r="H2680" t="s">
        <v>1051</v>
      </c>
      <c r="I2680" t="s">
        <v>98</v>
      </c>
      <c r="J2680" t="s">
        <v>185</v>
      </c>
      <c r="K2680" t="s">
        <v>285</v>
      </c>
      <c r="L2680" t="s">
        <v>327</v>
      </c>
    </row>
    <row r="2681" spans="1:12">
      <c r="A2681" t="s">
        <v>318</v>
      </c>
      <c r="B2681" t="s">
        <v>2363</v>
      </c>
      <c r="C2681" t="s">
        <v>1651</v>
      </c>
      <c r="D2681" s="28">
        <v>7600100103103</v>
      </c>
      <c r="E2681" s="29" t="s">
        <v>371</v>
      </c>
      <c r="F2681" s="29" t="s">
        <v>372</v>
      </c>
      <c r="G2681">
        <v>10</v>
      </c>
      <c r="H2681" t="s">
        <v>1051</v>
      </c>
      <c r="I2681" t="s">
        <v>98</v>
      </c>
      <c r="J2681" t="s">
        <v>185</v>
      </c>
      <c r="K2681" t="s">
        <v>285</v>
      </c>
      <c r="L2681" t="s">
        <v>327</v>
      </c>
    </row>
    <row r="2682" spans="1:12">
      <c r="A2682" t="s">
        <v>318</v>
      </c>
      <c r="B2682" t="s">
        <v>2363</v>
      </c>
      <c r="C2682" t="s">
        <v>905</v>
      </c>
      <c r="D2682" s="28">
        <v>7600100103106</v>
      </c>
      <c r="E2682" s="29" t="s">
        <v>371</v>
      </c>
      <c r="F2682" s="29" t="s">
        <v>372</v>
      </c>
      <c r="G2682">
        <v>13</v>
      </c>
      <c r="H2682" t="s">
        <v>1051</v>
      </c>
      <c r="I2682" t="s">
        <v>98</v>
      </c>
      <c r="J2682" t="s">
        <v>185</v>
      </c>
      <c r="K2682" t="s">
        <v>285</v>
      </c>
      <c r="L2682" t="s">
        <v>327</v>
      </c>
    </row>
    <row r="2683" spans="1:12">
      <c r="A2683" t="s">
        <v>318</v>
      </c>
      <c r="B2683" t="s">
        <v>2363</v>
      </c>
      <c r="C2683" t="s">
        <v>2396</v>
      </c>
      <c r="D2683" s="28">
        <v>760011118812</v>
      </c>
      <c r="E2683" s="29" t="s">
        <v>1045</v>
      </c>
      <c r="F2683" s="29" t="s">
        <v>372</v>
      </c>
      <c r="G2683">
        <v>14</v>
      </c>
      <c r="H2683" t="s">
        <v>1051</v>
      </c>
      <c r="I2683" t="s">
        <v>98</v>
      </c>
      <c r="J2683" t="s">
        <v>185</v>
      </c>
      <c r="K2683" t="s">
        <v>1226</v>
      </c>
      <c r="L2683" t="s">
        <v>327</v>
      </c>
    </row>
    <row r="2684" spans="1:12">
      <c r="A2684" t="s">
        <v>318</v>
      </c>
      <c r="B2684" t="s">
        <v>2363</v>
      </c>
      <c r="C2684" t="s">
        <v>2395</v>
      </c>
      <c r="D2684" s="28">
        <v>760011147452</v>
      </c>
      <c r="E2684" s="29" t="s">
        <v>371</v>
      </c>
      <c r="F2684" s="29" t="s">
        <v>372</v>
      </c>
      <c r="G2684">
        <v>13</v>
      </c>
      <c r="H2684" t="s">
        <v>1051</v>
      </c>
      <c r="I2684" t="s">
        <v>98</v>
      </c>
      <c r="J2684" t="s">
        <v>185</v>
      </c>
      <c r="K2684" t="s">
        <v>285</v>
      </c>
      <c r="L2684" t="s">
        <v>327</v>
      </c>
    </row>
    <row r="2685" spans="1:12">
      <c r="A2685" t="s">
        <v>318</v>
      </c>
      <c r="B2685" t="s">
        <v>2363</v>
      </c>
      <c r="C2685" t="s">
        <v>2397</v>
      </c>
      <c r="D2685" s="28">
        <v>7600100078420</v>
      </c>
      <c r="E2685" s="29" t="s">
        <v>363</v>
      </c>
      <c r="F2685" s="29" t="s">
        <v>364</v>
      </c>
      <c r="G2685">
        <v>148</v>
      </c>
      <c r="H2685" t="s">
        <v>1051</v>
      </c>
      <c r="I2685" t="s">
        <v>98</v>
      </c>
      <c r="J2685" t="s">
        <v>185</v>
      </c>
      <c r="K2685" t="s">
        <v>365</v>
      </c>
      <c r="L2685" t="s">
        <v>327</v>
      </c>
    </row>
    <row r="2686" spans="1:12">
      <c r="A2686" t="s">
        <v>318</v>
      </c>
      <c r="B2686" t="s">
        <v>2363</v>
      </c>
      <c r="C2686" t="s">
        <v>2398</v>
      </c>
      <c r="D2686" s="28">
        <v>7600100103977</v>
      </c>
      <c r="E2686" s="29" t="s">
        <v>363</v>
      </c>
      <c r="F2686" s="29" t="s">
        <v>364</v>
      </c>
      <c r="G2686">
        <v>124</v>
      </c>
      <c r="H2686" t="s">
        <v>1051</v>
      </c>
      <c r="I2686" t="s">
        <v>98</v>
      </c>
      <c r="J2686" t="s">
        <v>185</v>
      </c>
      <c r="K2686" t="s">
        <v>365</v>
      </c>
      <c r="L2686" t="s">
        <v>327</v>
      </c>
    </row>
    <row r="2687" spans="1:12">
      <c r="A2687" t="s">
        <v>318</v>
      </c>
      <c r="B2687" t="s">
        <v>2363</v>
      </c>
      <c r="C2687" t="s">
        <v>2240</v>
      </c>
      <c r="D2687" s="28">
        <v>7600100037991</v>
      </c>
      <c r="E2687" s="29" t="s">
        <v>371</v>
      </c>
      <c r="F2687" s="29" t="s">
        <v>372</v>
      </c>
      <c r="G2687">
        <v>8</v>
      </c>
      <c r="H2687" t="s">
        <v>1051</v>
      </c>
      <c r="I2687" t="s">
        <v>98</v>
      </c>
      <c r="J2687" t="s">
        <v>185</v>
      </c>
      <c r="K2687" t="s">
        <v>285</v>
      </c>
      <c r="L2687" t="s">
        <v>327</v>
      </c>
    </row>
    <row r="2688" spans="1:12">
      <c r="A2688" t="s">
        <v>318</v>
      </c>
      <c r="B2688" t="s">
        <v>2363</v>
      </c>
      <c r="C2688" t="s">
        <v>575</v>
      </c>
      <c r="D2688" s="28">
        <v>7600100079538</v>
      </c>
      <c r="E2688" s="29" t="s">
        <v>371</v>
      </c>
      <c r="F2688" s="29" t="s">
        <v>372</v>
      </c>
      <c r="G2688">
        <v>8</v>
      </c>
      <c r="H2688" t="s">
        <v>1051</v>
      </c>
      <c r="I2688" t="s">
        <v>98</v>
      </c>
      <c r="J2688" t="s">
        <v>185</v>
      </c>
      <c r="K2688" t="s">
        <v>1226</v>
      </c>
      <c r="L2688" t="s">
        <v>327</v>
      </c>
    </row>
    <row r="2689" spans="1:12">
      <c r="A2689" t="s">
        <v>318</v>
      </c>
      <c r="B2689" t="s">
        <v>2363</v>
      </c>
      <c r="C2689" t="s">
        <v>488</v>
      </c>
      <c r="D2689" s="28">
        <v>7600100079539</v>
      </c>
      <c r="E2689" s="29" t="s">
        <v>371</v>
      </c>
      <c r="F2689" s="29" t="s">
        <v>372</v>
      </c>
      <c r="G2689">
        <v>12</v>
      </c>
      <c r="H2689" t="s">
        <v>1051</v>
      </c>
      <c r="I2689" t="s">
        <v>98</v>
      </c>
      <c r="J2689" t="s">
        <v>185</v>
      </c>
      <c r="K2689" t="s">
        <v>1226</v>
      </c>
      <c r="L2689" t="s">
        <v>327</v>
      </c>
    </row>
    <row r="2690" spans="1:12">
      <c r="A2690" t="s">
        <v>318</v>
      </c>
      <c r="B2690" t="s">
        <v>2363</v>
      </c>
      <c r="C2690" t="s">
        <v>2399</v>
      </c>
      <c r="D2690" s="28">
        <v>7600100079547</v>
      </c>
      <c r="E2690" s="29" t="s">
        <v>371</v>
      </c>
      <c r="F2690" s="29" t="s">
        <v>372</v>
      </c>
      <c r="G2690">
        <v>12</v>
      </c>
      <c r="H2690" t="s">
        <v>1051</v>
      </c>
      <c r="I2690" t="s">
        <v>98</v>
      </c>
      <c r="J2690" t="s">
        <v>185</v>
      </c>
      <c r="K2690" t="s">
        <v>1226</v>
      </c>
      <c r="L2690" t="s">
        <v>327</v>
      </c>
    </row>
    <row r="2691" spans="1:12">
      <c r="A2691" t="s">
        <v>318</v>
      </c>
      <c r="B2691" t="s">
        <v>2363</v>
      </c>
      <c r="C2691" t="s">
        <v>2400</v>
      </c>
      <c r="D2691" s="28">
        <v>7600100079548</v>
      </c>
      <c r="E2691" s="29" t="s">
        <v>371</v>
      </c>
      <c r="F2691" s="29" t="s">
        <v>372</v>
      </c>
      <c r="G2691">
        <v>13</v>
      </c>
      <c r="H2691" t="s">
        <v>1051</v>
      </c>
      <c r="I2691" t="s">
        <v>98</v>
      </c>
      <c r="J2691" t="s">
        <v>185</v>
      </c>
      <c r="K2691" t="s">
        <v>1226</v>
      </c>
      <c r="L2691" t="s">
        <v>327</v>
      </c>
    </row>
    <row r="2692" spans="1:12">
      <c r="A2692" t="s">
        <v>318</v>
      </c>
      <c r="B2692" t="s">
        <v>2363</v>
      </c>
      <c r="C2692" t="s">
        <v>2401</v>
      </c>
      <c r="D2692" s="28">
        <v>7600100079550</v>
      </c>
      <c r="E2692" s="29" t="s">
        <v>371</v>
      </c>
      <c r="F2692" s="29" t="s">
        <v>372</v>
      </c>
      <c r="G2692">
        <v>13</v>
      </c>
      <c r="H2692" t="s">
        <v>1051</v>
      </c>
      <c r="I2692" t="s">
        <v>98</v>
      </c>
      <c r="J2692" t="s">
        <v>185</v>
      </c>
      <c r="K2692" t="s">
        <v>285</v>
      </c>
      <c r="L2692" t="s">
        <v>327</v>
      </c>
    </row>
    <row r="2693" spans="1:12">
      <c r="A2693" t="s">
        <v>318</v>
      </c>
      <c r="B2693" t="s">
        <v>2363</v>
      </c>
      <c r="C2693" t="s">
        <v>426</v>
      </c>
      <c r="D2693" s="28">
        <v>7600100079552</v>
      </c>
      <c r="E2693" s="29" t="s">
        <v>371</v>
      </c>
      <c r="F2693" s="29" t="s">
        <v>372</v>
      </c>
      <c r="G2693">
        <v>11</v>
      </c>
      <c r="H2693" t="s">
        <v>1051</v>
      </c>
      <c r="I2693" t="s">
        <v>98</v>
      </c>
      <c r="J2693" t="s">
        <v>185</v>
      </c>
      <c r="K2693" t="s">
        <v>285</v>
      </c>
      <c r="L2693" t="s">
        <v>327</v>
      </c>
    </row>
    <row r="2694" spans="1:12">
      <c r="A2694" t="s">
        <v>318</v>
      </c>
      <c r="B2694" t="s">
        <v>2363</v>
      </c>
      <c r="C2694" t="s">
        <v>442</v>
      </c>
      <c r="D2694" s="28">
        <v>7600100079555</v>
      </c>
      <c r="E2694" s="29" t="s">
        <v>371</v>
      </c>
      <c r="F2694" s="29" t="s">
        <v>372</v>
      </c>
      <c r="G2694">
        <v>13</v>
      </c>
      <c r="H2694" t="s">
        <v>1051</v>
      </c>
      <c r="I2694" t="s">
        <v>98</v>
      </c>
      <c r="J2694" t="s">
        <v>185</v>
      </c>
      <c r="K2694" t="s">
        <v>285</v>
      </c>
      <c r="L2694" t="s">
        <v>327</v>
      </c>
    </row>
    <row r="2695" spans="1:12">
      <c r="A2695" t="s">
        <v>318</v>
      </c>
      <c r="B2695" t="s">
        <v>2363</v>
      </c>
      <c r="C2695" t="s">
        <v>866</v>
      </c>
      <c r="D2695" s="28">
        <v>7600100104652</v>
      </c>
      <c r="E2695" s="29" t="s">
        <v>371</v>
      </c>
      <c r="F2695" s="29" t="s">
        <v>372</v>
      </c>
      <c r="G2695">
        <v>11</v>
      </c>
      <c r="H2695" t="s">
        <v>1051</v>
      </c>
      <c r="I2695" t="s">
        <v>98</v>
      </c>
      <c r="J2695" t="s">
        <v>185</v>
      </c>
      <c r="K2695" t="s">
        <v>1226</v>
      </c>
      <c r="L2695" t="s">
        <v>327</v>
      </c>
    </row>
    <row r="2696" spans="1:12">
      <c r="A2696" t="s">
        <v>318</v>
      </c>
      <c r="B2696" t="s">
        <v>2363</v>
      </c>
      <c r="C2696" t="s">
        <v>598</v>
      </c>
      <c r="D2696" s="28">
        <v>7600100104655</v>
      </c>
      <c r="E2696" s="29" t="s">
        <v>371</v>
      </c>
      <c r="F2696" s="29" t="s">
        <v>372</v>
      </c>
      <c r="G2696">
        <v>13</v>
      </c>
      <c r="H2696" t="s">
        <v>1051</v>
      </c>
      <c r="I2696" t="s">
        <v>98</v>
      </c>
      <c r="J2696" t="s">
        <v>185</v>
      </c>
      <c r="K2696" t="s">
        <v>1226</v>
      </c>
      <c r="L2696" t="s">
        <v>327</v>
      </c>
    </row>
    <row r="2697" spans="1:12">
      <c r="A2697" t="s">
        <v>318</v>
      </c>
      <c r="B2697" t="s">
        <v>2363</v>
      </c>
      <c r="C2697" t="s">
        <v>439</v>
      </c>
      <c r="D2697" s="28">
        <v>7600100104656</v>
      </c>
      <c r="E2697" s="29" t="s">
        <v>371</v>
      </c>
      <c r="F2697" s="29" t="s">
        <v>372</v>
      </c>
      <c r="G2697">
        <v>7</v>
      </c>
      <c r="H2697" t="s">
        <v>1051</v>
      </c>
      <c r="I2697" t="s">
        <v>98</v>
      </c>
      <c r="J2697" t="s">
        <v>185</v>
      </c>
      <c r="K2697" t="s">
        <v>1226</v>
      </c>
      <c r="L2697" t="s">
        <v>327</v>
      </c>
    </row>
    <row r="2698" spans="1:12">
      <c r="A2698" t="s">
        <v>318</v>
      </c>
      <c r="B2698" t="s">
        <v>2363</v>
      </c>
      <c r="C2698" t="s">
        <v>1802</v>
      </c>
      <c r="D2698" s="28">
        <v>7600100104661</v>
      </c>
      <c r="E2698" s="29" t="s">
        <v>371</v>
      </c>
      <c r="F2698" s="29" t="s">
        <v>372</v>
      </c>
      <c r="G2698">
        <v>10</v>
      </c>
      <c r="H2698" t="s">
        <v>1051</v>
      </c>
      <c r="I2698" t="s">
        <v>98</v>
      </c>
      <c r="J2698" t="s">
        <v>185</v>
      </c>
      <c r="K2698" t="s">
        <v>285</v>
      </c>
      <c r="L2698" t="s">
        <v>327</v>
      </c>
    </row>
    <row r="2699" spans="1:12">
      <c r="A2699" t="s">
        <v>318</v>
      </c>
      <c r="B2699" t="s">
        <v>2363</v>
      </c>
      <c r="C2699" t="s">
        <v>2402</v>
      </c>
      <c r="D2699" s="28">
        <v>7600100067431</v>
      </c>
      <c r="E2699" s="29" t="s">
        <v>371</v>
      </c>
      <c r="F2699" s="29" t="s">
        <v>372</v>
      </c>
      <c r="G2699">
        <v>13</v>
      </c>
      <c r="H2699" t="s">
        <v>1051</v>
      </c>
      <c r="I2699" t="s">
        <v>98</v>
      </c>
      <c r="J2699" t="s">
        <v>185</v>
      </c>
      <c r="K2699" t="s">
        <v>1226</v>
      </c>
      <c r="L2699" t="s">
        <v>327</v>
      </c>
    </row>
    <row r="2700" spans="1:12">
      <c r="A2700" t="s">
        <v>318</v>
      </c>
      <c r="B2700" t="s">
        <v>2363</v>
      </c>
      <c r="C2700" t="s">
        <v>1010</v>
      </c>
      <c r="D2700" s="28">
        <v>7600100067439</v>
      </c>
      <c r="E2700" s="29" t="s">
        <v>371</v>
      </c>
      <c r="F2700" s="29" t="s">
        <v>372</v>
      </c>
      <c r="G2700">
        <v>10</v>
      </c>
      <c r="H2700" t="s">
        <v>1051</v>
      </c>
      <c r="I2700" t="s">
        <v>45</v>
      </c>
      <c r="J2700" t="s">
        <v>185</v>
      </c>
      <c r="K2700" t="s">
        <v>1226</v>
      </c>
      <c r="L2700" t="s">
        <v>327</v>
      </c>
    </row>
    <row r="2701" spans="1:12">
      <c r="A2701" t="s">
        <v>318</v>
      </c>
      <c r="B2701" t="s">
        <v>2363</v>
      </c>
      <c r="C2701" t="s">
        <v>922</v>
      </c>
      <c r="D2701" s="28">
        <v>7600100067469</v>
      </c>
      <c r="E2701" s="29" t="s">
        <v>371</v>
      </c>
      <c r="F2701" s="29" t="s">
        <v>372</v>
      </c>
      <c r="G2701">
        <v>13</v>
      </c>
      <c r="H2701" t="s">
        <v>323</v>
      </c>
      <c r="I2701" t="s">
        <v>98</v>
      </c>
      <c r="J2701" t="s">
        <v>185</v>
      </c>
      <c r="K2701" t="s">
        <v>285</v>
      </c>
      <c r="L2701" t="s">
        <v>327</v>
      </c>
    </row>
    <row r="2702" spans="1:12">
      <c r="A2702" t="s">
        <v>318</v>
      </c>
      <c r="B2702" t="s">
        <v>2363</v>
      </c>
      <c r="C2702" t="s">
        <v>2403</v>
      </c>
      <c r="D2702" s="28">
        <v>7600100067478</v>
      </c>
      <c r="E2702" s="29" t="s">
        <v>371</v>
      </c>
      <c r="F2702" s="29" t="s">
        <v>372</v>
      </c>
      <c r="G2702">
        <v>11</v>
      </c>
      <c r="H2702" t="s">
        <v>1051</v>
      </c>
      <c r="I2702" t="s">
        <v>98</v>
      </c>
      <c r="J2702" t="s">
        <v>185</v>
      </c>
      <c r="K2702" t="s">
        <v>1226</v>
      </c>
      <c r="L2702" t="s">
        <v>327</v>
      </c>
    </row>
    <row r="2703" spans="1:12">
      <c r="A2703" t="s">
        <v>318</v>
      </c>
      <c r="B2703" t="s">
        <v>2363</v>
      </c>
      <c r="C2703" t="s">
        <v>1963</v>
      </c>
      <c r="D2703" s="28">
        <v>7600100073507</v>
      </c>
      <c r="E2703" s="29" t="s">
        <v>371</v>
      </c>
      <c r="F2703" s="29" t="s">
        <v>372</v>
      </c>
      <c r="G2703">
        <v>11</v>
      </c>
      <c r="H2703" t="s">
        <v>1051</v>
      </c>
      <c r="I2703" t="s">
        <v>98</v>
      </c>
      <c r="J2703" t="s">
        <v>185</v>
      </c>
      <c r="K2703" t="s">
        <v>1226</v>
      </c>
    </row>
    <row r="2704" spans="1:12">
      <c r="A2704" t="s">
        <v>318</v>
      </c>
      <c r="B2704" t="s">
        <v>2363</v>
      </c>
      <c r="C2704" t="s">
        <v>514</v>
      </c>
      <c r="D2704" s="28">
        <v>7600100073533</v>
      </c>
      <c r="E2704" s="29" t="s">
        <v>371</v>
      </c>
      <c r="F2704" s="29" t="s">
        <v>372</v>
      </c>
      <c r="G2704">
        <v>11</v>
      </c>
      <c r="H2704" t="s">
        <v>1051</v>
      </c>
      <c r="I2704" t="s">
        <v>98</v>
      </c>
      <c r="J2704" t="s">
        <v>185</v>
      </c>
      <c r="K2704" t="s">
        <v>1226</v>
      </c>
      <c r="L2704" t="s">
        <v>327</v>
      </c>
    </row>
    <row r="2705" spans="1:12">
      <c r="A2705" t="s">
        <v>318</v>
      </c>
      <c r="B2705" t="s">
        <v>2363</v>
      </c>
      <c r="C2705" t="s">
        <v>442</v>
      </c>
      <c r="D2705" s="28">
        <v>7600100073619</v>
      </c>
      <c r="E2705" s="29" t="s">
        <v>371</v>
      </c>
      <c r="F2705" s="29" t="s">
        <v>372</v>
      </c>
      <c r="G2705">
        <v>7</v>
      </c>
      <c r="H2705" t="s">
        <v>1051</v>
      </c>
      <c r="I2705" t="s">
        <v>98</v>
      </c>
      <c r="J2705" t="s">
        <v>185</v>
      </c>
      <c r="K2705" t="s">
        <v>1226</v>
      </c>
      <c r="L2705" t="s">
        <v>327</v>
      </c>
    </row>
    <row r="2706" spans="1:12">
      <c r="A2706" t="s">
        <v>318</v>
      </c>
      <c r="B2706" t="s">
        <v>2363</v>
      </c>
      <c r="C2706" t="s">
        <v>2404</v>
      </c>
      <c r="D2706" s="28">
        <v>7600100073628</v>
      </c>
      <c r="E2706" s="29" t="s">
        <v>371</v>
      </c>
      <c r="F2706" s="29" t="s">
        <v>372</v>
      </c>
      <c r="G2706">
        <v>0</v>
      </c>
      <c r="H2706" t="s">
        <v>1051</v>
      </c>
      <c r="I2706" t="s">
        <v>98</v>
      </c>
      <c r="J2706" t="s">
        <v>185</v>
      </c>
      <c r="K2706" t="s">
        <v>1226</v>
      </c>
    </row>
    <row r="2707" spans="1:12">
      <c r="A2707" t="s">
        <v>318</v>
      </c>
      <c r="B2707" t="s">
        <v>2363</v>
      </c>
      <c r="C2707" t="s">
        <v>2405</v>
      </c>
      <c r="D2707" s="28">
        <v>7600100073646</v>
      </c>
      <c r="E2707" s="29" t="s">
        <v>371</v>
      </c>
      <c r="F2707" s="29" t="s">
        <v>372</v>
      </c>
      <c r="G2707">
        <v>12</v>
      </c>
      <c r="H2707" t="s">
        <v>1051</v>
      </c>
      <c r="I2707" t="s">
        <v>98</v>
      </c>
      <c r="J2707" t="s">
        <v>185</v>
      </c>
      <c r="K2707" t="s">
        <v>1226</v>
      </c>
      <c r="L2707" t="s">
        <v>327</v>
      </c>
    </row>
    <row r="2708" spans="1:12">
      <c r="A2708" t="s">
        <v>318</v>
      </c>
      <c r="B2708" t="s">
        <v>2363</v>
      </c>
      <c r="C2708" t="s">
        <v>2406</v>
      </c>
      <c r="D2708" s="28">
        <v>7600100077319</v>
      </c>
      <c r="E2708" s="29" t="s">
        <v>371</v>
      </c>
      <c r="F2708" s="29" t="s">
        <v>372</v>
      </c>
      <c r="G2708">
        <v>12</v>
      </c>
      <c r="H2708" t="s">
        <v>1051</v>
      </c>
      <c r="I2708" t="s">
        <v>98</v>
      </c>
      <c r="J2708" t="s">
        <v>185</v>
      </c>
      <c r="K2708" t="s">
        <v>1226</v>
      </c>
      <c r="L2708" t="s">
        <v>327</v>
      </c>
    </row>
    <row r="2709" spans="1:12">
      <c r="A2709" t="s">
        <v>318</v>
      </c>
      <c r="B2709" t="s">
        <v>2363</v>
      </c>
      <c r="C2709" t="s">
        <v>2407</v>
      </c>
      <c r="D2709" s="28">
        <v>7600100077460</v>
      </c>
      <c r="E2709" s="29" t="s">
        <v>371</v>
      </c>
      <c r="F2709" s="29" t="s">
        <v>372</v>
      </c>
      <c r="G2709">
        <v>13</v>
      </c>
      <c r="H2709" t="s">
        <v>1051</v>
      </c>
      <c r="I2709" t="s">
        <v>98</v>
      </c>
      <c r="J2709" t="s">
        <v>185</v>
      </c>
      <c r="K2709" t="s">
        <v>1226</v>
      </c>
    </row>
    <row r="2710" spans="1:12">
      <c r="A2710" t="s">
        <v>318</v>
      </c>
      <c r="B2710" t="s">
        <v>2363</v>
      </c>
      <c r="C2710" t="s">
        <v>2408</v>
      </c>
      <c r="D2710" s="28">
        <v>7600100081209</v>
      </c>
      <c r="E2710" s="29" t="s">
        <v>371</v>
      </c>
      <c r="F2710" s="29" t="s">
        <v>372</v>
      </c>
      <c r="G2710">
        <v>11</v>
      </c>
      <c r="H2710" t="s">
        <v>1051</v>
      </c>
      <c r="I2710" t="s">
        <v>98</v>
      </c>
      <c r="J2710" t="s">
        <v>185</v>
      </c>
      <c r="K2710" t="s">
        <v>1226</v>
      </c>
      <c r="L2710" t="s">
        <v>327</v>
      </c>
    </row>
    <row r="2711" spans="1:12">
      <c r="A2711" t="s">
        <v>318</v>
      </c>
      <c r="B2711" t="s">
        <v>2363</v>
      </c>
      <c r="C2711" t="s">
        <v>2409</v>
      </c>
      <c r="D2711" s="28">
        <v>7600100081215</v>
      </c>
      <c r="E2711" s="29" t="s">
        <v>371</v>
      </c>
      <c r="F2711" s="29" t="s">
        <v>372</v>
      </c>
      <c r="G2711">
        <v>13</v>
      </c>
      <c r="H2711" t="s">
        <v>1051</v>
      </c>
      <c r="I2711" t="s">
        <v>98</v>
      </c>
      <c r="J2711" t="s">
        <v>185</v>
      </c>
      <c r="K2711" t="s">
        <v>1226</v>
      </c>
      <c r="L2711" t="s">
        <v>327</v>
      </c>
    </row>
    <row r="2712" spans="1:12">
      <c r="A2712" t="s">
        <v>318</v>
      </c>
      <c r="B2712" t="s">
        <v>2363</v>
      </c>
      <c r="C2712" t="s">
        <v>2410</v>
      </c>
      <c r="D2712" s="28">
        <v>7600100081217</v>
      </c>
      <c r="E2712" s="29" t="s">
        <v>371</v>
      </c>
      <c r="F2712" s="29" t="s">
        <v>372</v>
      </c>
      <c r="G2712">
        <v>10</v>
      </c>
      <c r="H2712" t="s">
        <v>1051</v>
      </c>
      <c r="I2712" t="s">
        <v>98</v>
      </c>
      <c r="J2712" t="s">
        <v>185</v>
      </c>
      <c r="K2712" t="s">
        <v>1226</v>
      </c>
      <c r="L2712" t="s">
        <v>327</v>
      </c>
    </row>
    <row r="2713" spans="1:12">
      <c r="A2713" t="s">
        <v>318</v>
      </c>
      <c r="B2713" t="s">
        <v>2363</v>
      </c>
      <c r="C2713" t="s">
        <v>1801</v>
      </c>
      <c r="D2713" s="28">
        <v>7600100081219</v>
      </c>
      <c r="E2713" s="29" t="s">
        <v>1045</v>
      </c>
      <c r="F2713" s="29" t="s">
        <v>372</v>
      </c>
      <c r="G2713">
        <v>12</v>
      </c>
      <c r="H2713" t="s">
        <v>1051</v>
      </c>
      <c r="I2713" t="s">
        <v>98</v>
      </c>
      <c r="J2713" t="s">
        <v>185</v>
      </c>
      <c r="K2713" t="s">
        <v>1226</v>
      </c>
      <c r="L2713" t="s">
        <v>327</v>
      </c>
    </row>
    <row r="2714" spans="1:12">
      <c r="A2714" t="s">
        <v>318</v>
      </c>
      <c r="B2714" t="s">
        <v>2363</v>
      </c>
      <c r="C2714" t="s">
        <v>840</v>
      </c>
      <c r="D2714" s="28">
        <v>7600100095486</v>
      </c>
      <c r="E2714" s="29" t="s">
        <v>371</v>
      </c>
      <c r="F2714" s="29" t="s">
        <v>372</v>
      </c>
      <c r="G2714">
        <v>0</v>
      </c>
      <c r="H2714" t="s">
        <v>323</v>
      </c>
      <c r="I2714" t="s">
        <v>98</v>
      </c>
      <c r="J2714" t="s">
        <v>185</v>
      </c>
      <c r="K2714" t="s">
        <v>285</v>
      </c>
      <c r="L2714" t="s">
        <v>327</v>
      </c>
    </row>
    <row r="2715" spans="1:12">
      <c r="A2715" t="s">
        <v>318</v>
      </c>
      <c r="B2715" t="s">
        <v>2363</v>
      </c>
      <c r="C2715" t="s">
        <v>419</v>
      </c>
      <c r="D2715" s="28">
        <v>7600100095487</v>
      </c>
      <c r="E2715" s="29" t="s">
        <v>371</v>
      </c>
      <c r="F2715" s="29" t="s">
        <v>372</v>
      </c>
      <c r="G2715">
        <v>11</v>
      </c>
      <c r="H2715" t="s">
        <v>1051</v>
      </c>
      <c r="I2715" t="s">
        <v>98</v>
      </c>
      <c r="J2715" t="s">
        <v>185</v>
      </c>
      <c r="K2715" t="s">
        <v>1226</v>
      </c>
      <c r="L2715" t="s">
        <v>327</v>
      </c>
    </row>
    <row r="2716" spans="1:12">
      <c r="A2716" t="s">
        <v>318</v>
      </c>
      <c r="B2716" t="s">
        <v>2363</v>
      </c>
      <c r="C2716" t="s">
        <v>2411</v>
      </c>
      <c r="D2716" s="28">
        <v>7600100095490</v>
      </c>
      <c r="E2716" s="29" t="s">
        <v>371</v>
      </c>
      <c r="F2716" s="29" t="s">
        <v>372</v>
      </c>
      <c r="G2716">
        <v>13</v>
      </c>
      <c r="H2716" t="s">
        <v>1051</v>
      </c>
      <c r="I2716" t="s">
        <v>98</v>
      </c>
      <c r="J2716" t="s">
        <v>185</v>
      </c>
      <c r="K2716" t="s">
        <v>1226</v>
      </c>
      <c r="L2716" t="s">
        <v>327</v>
      </c>
    </row>
    <row r="2717" spans="1:12">
      <c r="A2717" t="s">
        <v>318</v>
      </c>
      <c r="B2717" t="s">
        <v>2363</v>
      </c>
      <c r="C2717" t="s">
        <v>964</v>
      </c>
      <c r="D2717" s="28">
        <v>7600100095493</v>
      </c>
      <c r="E2717" s="29" t="s">
        <v>371</v>
      </c>
      <c r="F2717" s="29" t="s">
        <v>372</v>
      </c>
      <c r="G2717">
        <v>11</v>
      </c>
      <c r="H2717" t="s">
        <v>1051</v>
      </c>
      <c r="I2717" t="s">
        <v>98</v>
      </c>
      <c r="J2717" t="s">
        <v>185</v>
      </c>
      <c r="K2717" t="s">
        <v>1226</v>
      </c>
      <c r="L2717" t="s">
        <v>327</v>
      </c>
    </row>
    <row r="2718" spans="1:12">
      <c r="A2718" t="s">
        <v>318</v>
      </c>
      <c r="B2718" t="s">
        <v>2363</v>
      </c>
      <c r="C2718" t="s">
        <v>784</v>
      </c>
      <c r="D2718" s="28">
        <v>7600100095494</v>
      </c>
      <c r="E2718" s="29" t="s">
        <v>371</v>
      </c>
      <c r="F2718" s="29" t="s">
        <v>372</v>
      </c>
      <c r="G2718">
        <v>11</v>
      </c>
      <c r="H2718" t="s">
        <v>1051</v>
      </c>
      <c r="I2718" t="s">
        <v>98</v>
      </c>
      <c r="J2718" t="s">
        <v>185</v>
      </c>
      <c r="K2718" t="s">
        <v>1226</v>
      </c>
      <c r="L2718" t="s">
        <v>327</v>
      </c>
    </row>
    <row r="2719" spans="1:12">
      <c r="A2719" t="s">
        <v>318</v>
      </c>
      <c r="B2719" t="s">
        <v>2363</v>
      </c>
      <c r="C2719" t="s">
        <v>2412</v>
      </c>
      <c r="D2719" s="28">
        <v>7600100095496</v>
      </c>
      <c r="E2719" s="29" t="s">
        <v>371</v>
      </c>
      <c r="F2719" s="29" t="s">
        <v>372</v>
      </c>
      <c r="G2719">
        <v>11</v>
      </c>
      <c r="H2719" t="s">
        <v>1051</v>
      </c>
      <c r="I2719" t="s">
        <v>98</v>
      </c>
      <c r="J2719" t="s">
        <v>185</v>
      </c>
      <c r="K2719" t="s">
        <v>285</v>
      </c>
      <c r="L2719" t="s">
        <v>327</v>
      </c>
    </row>
    <row r="2720" spans="1:12">
      <c r="A2720" t="s">
        <v>318</v>
      </c>
      <c r="B2720" t="s">
        <v>2363</v>
      </c>
      <c r="C2720" t="s">
        <v>454</v>
      </c>
      <c r="D2720" s="28">
        <v>7600100095498</v>
      </c>
      <c r="E2720" s="29" t="s">
        <v>371</v>
      </c>
      <c r="F2720" s="29" t="s">
        <v>372</v>
      </c>
      <c r="G2720">
        <v>12</v>
      </c>
      <c r="H2720" t="s">
        <v>1051</v>
      </c>
      <c r="I2720" t="s">
        <v>98</v>
      </c>
      <c r="J2720" t="s">
        <v>185</v>
      </c>
      <c r="K2720" t="s">
        <v>1226</v>
      </c>
      <c r="L2720" t="s">
        <v>327</v>
      </c>
    </row>
    <row r="2721" spans="1:12">
      <c r="A2721" t="s">
        <v>318</v>
      </c>
      <c r="B2721" t="s">
        <v>2363</v>
      </c>
      <c r="C2721" t="s">
        <v>2413</v>
      </c>
      <c r="D2721" s="28">
        <v>7600100101130</v>
      </c>
      <c r="E2721" s="29" t="s">
        <v>1045</v>
      </c>
      <c r="F2721" s="29" t="s">
        <v>372</v>
      </c>
      <c r="G2721">
        <v>15</v>
      </c>
      <c r="H2721" t="s">
        <v>1051</v>
      </c>
      <c r="I2721" t="s">
        <v>98</v>
      </c>
      <c r="J2721" t="s">
        <v>185</v>
      </c>
      <c r="K2721" t="s">
        <v>1226</v>
      </c>
      <c r="L2721" t="s">
        <v>327</v>
      </c>
    </row>
    <row r="2722" spans="1:12">
      <c r="A2722" t="s">
        <v>318</v>
      </c>
      <c r="B2722" t="s">
        <v>2363</v>
      </c>
      <c r="C2722" t="s">
        <v>2414</v>
      </c>
      <c r="D2722" s="28">
        <v>7600100101134</v>
      </c>
      <c r="E2722" s="29" t="s">
        <v>1045</v>
      </c>
      <c r="F2722" s="29" t="s">
        <v>372</v>
      </c>
      <c r="G2722">
        <v>15</v>
      </c>
      <c r="H2722" t="s">
        <v>1051</v>
      </c>
      <c r="I2722" t="s">
        <v>98</v>
      </c>
      <c r="J2722" t="s">
        <v>185</v>
      </c>
      <c r="K2722" t="s">
        <v>1226</v>
      </c>
      <c r="L2722" t="s">
        <v>327</v>
      </c>
    </row>
    <row r="2723" spans="1:12">
      <c r="A2723" t="s">
        <v>318</v>
      </c>
      <c r="B2723" t="s">
        <v>2363</v>
      </c>
      <c r="C2723" t="s">
        <v>351</v>
      </c>
      <c r="D2723" s="28">
        <v>7600100101135</v>
      </c>
      <c r="E2723" s="29" t="s">
        <v>1045</v>
      </c>
      <c r="F2723" s="29" t="s">
        <v>372</v>
      </c>
      <c r="G2723">
        <v>11</v>
      </c>
      <c r="H2723" t="s">
        <v>1051</v>
      </c>
      <c r="I2723" t="s">
        <v>98</v>
      </c>
      <c r="J2723" t="s">
        <v>185</v>
      </c>
      <c r="K2723" t="s">
        <v>1226</v>
      </c>
      <c r="L2723" t="s">
        <v>327</v>
      </c>
    </row>
    <row r="2724" spans="1:12">
      <c r="A2724" t="s">
        <v>318</v>
      </c>
      <c r="B2724" t="s">
        <v>2363</v>
      </c>
      <c r="C2724" t="s">
        <v>2415</v>
      </c>
      <c r="D2724" s="28">
        <v>7600100101139</v>
      </c>
      <c r="E2724" s="29" t="s">
        <v>1045</v>
      </c>
      <c r="F2724" s="29" t="s">
        <v>372</v>
      </c>
      <c r="G2724">
        <v>14</v>
      </c>
      <c r="H2724" t="s">
        <v>1051</v>
      </c>
      <c r="I2724" t="s">
        <v>98</v>
      </c>
      <c r="J2724" t="s">
        <v>185</v>
      </c>
      <c r="K2724" t="s">
        <v>1226</v>
      </c>
      <c r="L2724" t="s">
        <v>327</v>
      </c>
    </row>
    <row r="2725" spans="1:12">
      <c r="A2725" t="s">
        <v>318</v>
      </c>
      <c r="B2725" t="s">
        <v>2363</v>
      </c>
      <c r="C2725" t="s">
        <v>2416</v>
      </c>
      <c r="D2725" s="28">
        <v>7600100101142</v>
      </c>
      <c r="E2725" s="29" t="s">
        <v>1045</v>
      </c>
      <c r="F2725" s="29" t="s">
        <v>372</v>
      </c>
      <c r="G2725">
        <v>15</v>
      </c>
      <c r="H2725" t="s">
        <v>1051</v>
      </c>
      <c r="I2725" t="s">
        <v>98</v>
      </c>
      <c r="J2725" t="s">
        <v>185</v>
      </c>
      <c r="K2725" t="s">
        <v>1226</v>
      </c>
      <c r="L2725" t="s">
        <v>327</v>
      </c>
    </row>
    <row r="2726" spans="1:12">
      <c r="A2726" t="s">
        <v>318</v>
      </c>
      <c r="B2726" t="s">
        <v>2363</v>
      </c>
      <c r="C2726" t="s">
        <v>2417</v>
      </c>
      <c r="D2726" s="28">
        <v>7600100104718</v>
      </c>
      <c r="E2726" s="29" t="s">
        <v>371</v>
      </c>
      <c r="F2726" s="29" t="s">
        <v>372</v>
      </c>
      <c r="G2726">
        <v>10</v>
      </c>
      <c r="H2726" t="s">
        <v>323</v>
      </c>
      <c r="I2726" t="s">
        <v>98</v>
      </c>
      <c r="J2726" t="s">
        <v>185</v>
      </c>
      <c r="K2726" t="s">
        <v>1226</v>
      </c>
      <c r="L2726" t="s">
        <v>327</v>
      </c>
    </row>
    <row r="2727" spans="1:12">
      <c r="A2727" t="s">
        <v>318</v>
      </c>
      <c r="B2727" t="s">
        <v>2363</v>
      </c>
      <c r="C2727" t="s">
        <v>377</v>
      </c>
      <c r="D2727" s="28">
        <v>7600100111823</v>
      </c>
      <c r="E2727" s="29" t="s">
        <v>371</v>
      </c>
      <c r="F2727" s="29" t="s">
        <v>372</v>
      </c>
      <c r="G2727">
        <v>13</v>
      </c>
      <c r="H2727" t="s">
        <v>1051</v>
      </c>
      <c r="I2727" t="s">
        <v>98</v>
      </c>
      <c r="J2727" t="s">
        <v>185</v>
      </c>
      <c r="K2727" t="s">
        <v>1226</v>
      </c>
      <c r="L2727" t="s">
        <v>327</v>
      </c>
    </row>
    <row r="2728" spans="1:12">
      <c r="A2728" t="s">
        <v>318</v>
      </c>
      <c r="B2728" t="s">
        <v>2363</v>
      </c>
      <c r="C2728" t="s">
        <v>1408</v>
      </c>
      <c r="D2728" s="28">
        <v>7600100112181</v>
      </c>
      <c r="E2728" s="29" t="s">
        <v>371</v>
      </c>
      <c r="F2728" s="29" t="s">
        <v>372</v>
      </c>
      <c r="G2728">
        <v>7</v>
      </c>
      <c r="H2728" t="s">
        <v>1051</v>
      </c>
      <c r="I2728" t="s">
        <v>98</v>
      </c>
      <c r="J2728" t="s">
        <v>185</v>
      </c>
      <c r="K2728" t="s">
        <v>285</v>
      </c>
      <c r="L2728" t="s">
        <v>327</v>
      </c>
    </row>
    <row r="2729" spans="1:12">
      <c r="A2729" t="s">
        <v>318</v>
      </c>
      <c r="B2729" t="s">
        <v>2363</v>
      </c>
      <c r="C2729" t="s">
        <v>2418</v>
      </c>
      <c r="D2729" s="28">
        <v>7600100117034</v>
      </c>
      <c r="E2729" s="29" t="s">
        <v>441</v>
      </c>
      <c r="F2729" s="29" t="s">
        <v>372</v>
      </c>
      <c r="G2729">
        <v>49</v>
      </c>
      <c r="H2729" t="s">
        <v>1051</v>
      </c>
      <c r="I2729" t="s">
        <v>98</v>
      </c>
      <c r="J2729" t="s">
        <v>185</v>
      </c>
      <c r="K2729" t="s">
        <v>1226</v>
      </c>
      <c r="L2729" t="s">
        <v>327</v>
      </c>
    </row>
    <row r="2730" spans="1:12">
      <c r="A2730" t="s">
        <v>318</v>
      </c>
      <c r="B2730" t="s">
        <v>2363</v>
      </c>
      <c r="C2730" t="s">
        <v>2419</v>
      </c>
      <c r="D2730" s="28">
        <v>7600100122821</v>
      </c>
      <c r="E2730" s="29" t="s">
        <v>1045</v>
      </c>
      <c r="F2730" s="29" t="s">
        <v>372</v>
      </c>
      <c r="G2730">
        <v>14</v>
      </c>
      <c r="H2730" t="s">
        <v>1051</v>
      </c>
      <c r="I2730" t="s">
        <v>98</v>
      </c>
      <c r="J2730" t="s">
        <v>185</v>
      </c>
      <c r="K2730" t="s">
        <v>1226</v>
      </c>
      <c r="L2730" t="s">
        <v>327</v>
      </c>
    </row>
    <row r="2731" spans="1:12">
      <c r="A2731" t="s">
        <v>318</v>
      </c>
      <c r="B2731" t="s">
        <v>2363</v>
      </c>
      <c r="C2731" t="s">
        <v>2420</v>
      </c>
      <c r="D2731" s="28">
        <v>7600100122825</v>
      </c>
      <c r="E2731" s="29" t="s">
        <v>1045</v>
      </c>
      <c r="F2731" s="29" t="s">
        <v>372</v>
      </c>
      <c r="G2731">
        <v>13</v>
      </c>
      <c r="H2731" t="s">
        <v>1051</v>
      </c>
      <c r="I2731" t="s">
        <v>98</v>
      </c>
      <c r="J2731" t="s">
        <v>185</v>
      </c>
      <c r="K2731" t="s">
        <v>1226</v>
      </c>
      <c r="L2731" t="s">
        <v>327</v>
      </c>
    </row>
    <row r="2732" spans="1:12">
      <c r="A2732" t="s">
        <v>318</v>
      </c>
      <c r="B2732" t="s">
        <v>2363</v>
      </c>
      <c r="C2732" t="s">
        <v>2421</v>
      </c>
      <c r="D2732" s="28">
        <v>7600100122826</v>
      </c>
      <c r="E2732" s="29" t="s">
        <v>1045</v>
      </c>
      <c r="F2732" s="29" t="s">
        <v>372</v>
      </c>
      <c r="G2732">
        <v>15</v>
      </c>
      <c r="H2732" t="s">
        <v>1051</v>
      </c>
      <c r="I2732" t="s">
        <v>98</v>
      </c>
      <c r="J2732" t="s">
        <v>185</v>
      </c>
      <c r="K2732" t="s">
        <v>1226</v>
      </c>
      <c r="L2732" t="s">
        <v>327</v>
      </c>
    </row>
    <row r="2733" spans="1:12">
      <c r="A2733" t="s">
        <v>318</v>
      </c>
      <c r="B2733" t="s">
        <v>2363</v>
      </c>
      <c r="C2733" t="s">
        <v>2422</v>
      </c>
      <c r="D2733" s="28">
        <v>7600100123635</v>
      </c>
      <c r="E2733" s="29" t="s">
        <v>371</v>
      </c>
      <c r="F2733" s="29" t="s">
        <v>372</v>
      </c>
      <c r="G2733">
        <v>11</v>
      </c>
      <c r="H2733" t="s">
        <v>1051</v>
      </c>
      <c r="I2733" t="s">
        <v>98</v>
      </c>
      <c r="J2733" t="s">
        <v>185</v>
      </c>
      <c r="K2733" t="s">
        <v>1226</v>
      </c>
      <c r="L2733" t="s">
        <v>327</v>
      </c>
    </row>
    <row r="2734" spans="1:12">
      <c r="A2734" t="s">
        <v>318</v>
      </c>
      <c r="B2734" t="s">
        <v>2363</v>
      </c>
      <c r="C2734" t="s">
        <v>1010</v>
      </c>
      <c r="D2734" s="28">
        <v>7600100123637</v>
      </c>
      <c r="E2734" s="29" t="s">
        <v>371</v>
      </c>
      <c r="F2734" s="29" t="s">
        <v>372</v>
      </c>
      <c r="G2734">
        <v>9</v>
      </c>
      <c r="H2734" t="s">
        <v>1051</v>
      </c>
      <c r="I2734" t="s">
        <v>98</v>
      </c>
      <c r="J2734" t="s">
        <v>185</v>
      </c>
      <c r="K2734" t="s">
        <v>1226</v>
      </c>
      <c r="L2734" t="s">
        <v>327</v>
      </c>
    </row>
    <row r="2735" spans="1:12">
      <c r="A2735" t="s">
        <v>318</v>
      </c>
      <c r="B2735" t="s">
        <v>2363</v>
      </c>
      <c r="C2735" t="s">
        <v>2423</v>
      </c>
      <c r="D2735" s="28">
        <v>7600100123642</v>
      </c>
      <c r="E2735" s="29" t="s">
        <v>371</v>
      </c>
      <c r="F2735" s="29" t="s">
        <v>372</v>
      </c>
      <c r="G2735">
        <v>11</v>
      </c>
      <c r="H2735" t="s">
        <v>1051</v>
      </c>
      <c r="I2735" t="s">
        <v>98</v>
      </c>
      <c r="J2735" t="s">
        <v>185</v>
      </c>
      <c r="K2735" t="s">
        <v>1226</v>
      </c>
      <c r="L2735" t="s">
        <v>327</v>
      </c>
    </row>
    <row r="2736" spans="1:12">
      <c r="A2736" t="s">
        <v>318</v>
      </c>
      <c r="B2736" t="s">
        <v>2363</v>
      </c>
      <c r="C2736" t="s">
        <v>2424</v>
      </c>
      <c r="D2736" s="28">
        <v>7600100123644</v>
      </c>
      <c r="E2736" s="29" t="s">
        <v>371</v>
      </c>
      <c r="F2736" s="29" t="s">
        <v>372</v>
      </c>
      <c r="G2736">
        <v>13</v>
      </c>
      <c r="H2736" t="s">
        <v>1051</v>
      </c>
      <c r="I2736" t="s">
        <v>98</v>
      </c>
      <c r="J2736" t="s">
        <v>185</v>
      </c>
      <c r="K2736" t="s">
        <v>285</v>
      </c>
      <c r="L2736" t="s">
        <v>327</v>
      </c>
    </row>
    <row r="2737" spans="1:12">
      <c r="A2737" t="s">
        <v>318</v>
      </c>
      <c r="B2737" t="s">
        <v>2363</v>
      </c>
      <c r="C2737" t="s">
        <v>437</v>
      </c>
      <c r="D2737" s="28">
        <v>7600100123676</v>
      </c>
      <c r="E2737" s="29" t="s">
        <v>371</v>
      </c>
      <c r="F2737" s="29" t="s">
        <v>372</v>
      </c>
      <c r="G2737">
        <v>11</v>
      </c>
      <c r="H2737" t="s">
        <v>1051</v>
      </c>
      <c r="I2737" t="s">
        <v>98</v>
      </c>
      <c r="J2737" t="s">
        <v>185</v>
      </c>
      <c r="K2737" t="s">
        <v>285</v>
      </c>
      <c r="L2737" t="s">
        <v>327</v>
      </c>
    </row>
    <row r="2738" spans="1:12">
      <c r="A2738" t="s">
        <v>318</v>
      </c>
      <c r="B2738" t="s">
        <v>2363</v>
      </c>
      <c r="C2738" t="s">
        <v>2425</v>
      </c>
      <c r="D2738" s="28">
        <v>7600100123688</v>
      </c>
      <c r="E2738" s="29" t="s">
        <v>371</v>
      </c>
      <c r="F2738" s="29" t="s">
        <v>372</v>
      </c>
      <c r="G2738">
        <v>13</v>
      </c>
      <c r="H2738" t="s">
        <v>1051</v>
      </c>
      <c r="I2738" t="s">
        <v>98</v>
      </c>
      <c r="J2738" t="s">
        <v>185</v>
      </c>
      <c r="K2738" t="s">
        <v>1226</v>
      </c>
      <c r="L2738" t="s">
        <v>327</v>
      </c>
    </row>
    <row r="2739" spans="1:12">
      <c r="A2739" t="s">
        <v>318</v>
      </c>
      <c r="B2739" t="s">
        <v>2363</v>
      </c>
      <c r="C2739" t="s">
        <v>1403</v>
      </c>
      <c r="D2739" s="28">
        <v>7600100128862</v>
      </c>
      <c r="E2739" s="29" t="s">
        <v>441</v>
      </c>
      <c r="F2739" s="29" t="s">
        <v>372</v>
      </c>
      <c r="G2739">
        <v>24</v>
      </c>
      <c r="H2739" t="s">
        <v>1051</v>
      </c>
      <c r="I2739" t="s">
        <v>45</v>
      </c>
      <c r="J2739" t="s">
        <v>185</v>
      </c>
      <c r="K2739" t="s">
        <v>365</v>
      </c>
      <c r="L2739" t="s">
        <v>327</v>
      </c>
    </row>
    <row r="2740" spans="1:12">
      <c r="A2740" t="s">
        <v>318</v>
      </c>
      <c r="B2740" t="s">
        <v>2363</v>
      </c>
      <c r="C2740" t="s">
        <v>385</v>
      </c>
      <c r="D2740" s="28">
        <v>7600100129160</v>
      </c>
      <c r="E2740" s="29" t="s">
        <v>441</v>
      </c>
      <c r="F2740" s="29" t="s">
        <v>372</v>
      </c>
      <c r="G2740">
        <v>24</v>
      </c>
      <c r="H2740" t="s">
        <v>1051</v>
      </c>
      <c r="I2740" t="s">
        <v>45</v>
      </c>
      <c r="J2740" t="s">
        <v>185</v>
      </c>
      <c r="K2740" t="s">
        <v>365</v>
      </c>
      <c r="L2740" t="s">
        <v>327</v>
      </c>
    </row>
    <row r="2741" spans="1:12">
      <c r="A2741" t="s">
        <v>318</v>
      </c>
      <c r="B2741" t="s">
        <v>2363</v>
      </c>
      <c r="C2741" t="s">
        <v>1429</v>
      </c>
      <c r="D2741" s="28">
        <v>7600100138709</v>
      </c>
      <c r="E2741" s="29" t="s">
        <v>371</v>
      </c>
      <c r="F2741" s="29" t="s">
        <v>372</v>
      </c>
      <c r="G2741">
        <v>12</v>
      </c>
      <c r="H2741" t="s">
        <v>1051</v>
      </c>
      <c r="I2741" t="s">
        <v>98</v>
      </c>
      <c r="J2741" t="s">
        <v>185</v>
      </c>
      <c r="K2741" t="s">
        <v>1226</v>
      </c>
      <c r="L2741" t="s">
        <v>327</v>
      </c>
    </row>
    <row r="2742" spans="1:12">
      <c r="A2742" t="s">
        <v>318</v>
      </c>
      <c r="B2742" t="s">
        <v>2363</v>
      </c>
      <c r="C2742" t="s">
        <v>511</v>
      </c>
      <c r="D2742" s="28">
        <v>7600100138710</v>
      </c>
      <c r="E2742" s="29" t="s">
        <v>371</v>
      </c>
      <c r="F2742" s="29" t="s">
        <v>372</v>
      </c>
      <c r="G2742">
        <v>11</v>
      </c>
      <c r="H2742" t="s">
        <v>1051</v>
      </c>
      <c r="I2742" t="s">
        <v>98</v>
      </c>
      <c r="J2742" t="s">
        <v>185</v>
      </c>
      <c r="K2742" t="s">
        <v>1226</v>
      </c>
      <c r="L2742" t="s">
        <v>327</v>
      </c>
    </row>
    <row r="2743" spans="1:12">
      <c r="A2743" t="s">
        <v>318</v>
      </c>
      <c r="B2743" t="s">
        <v>2363</v>
      </c>
      <c r="C2743" t="s">
        <v>2426</v>
      </c>
      <c r="D2743" s="28">
        <v>7600100138719</v>
      </c>
      <c r="E2743" s="29" t="s">
        <v>371</v>
      </c>
      <c r="F2743" s="29" t="s">
        <v>372</v>
      </c>
      <c r="G2743">
        <v>9</v>
      </c>
      <c r="H2743" t="s">
        <v>1051</v>
      </c>
      <c r="I2743" t="s">
        <v>98</v>
      </c>
      <c r="J2743" t="s">
        <v>185</v>
      </c>
      <c r="K2743" t="s">
        <v>285</v>
      </c>
      <c r="L2743" t="s">
        <v>327</v>
      </c>
    </row>
    <row r="2744" spans="1:12">
      <c r="A2744" t="s">
        <v>318</v>
      </c>
      <c r="B2744" t="s">
        <v>2363</v>
      </c>
      <c r="C2744" t="s">
        <v>2427</v>
      </c>
      <c r="D2744" s="28">
        <v>7600100138738</v>
      </c>
      <c r="E2744" s="29" t="s">
        <v>371</v>
      </c>
      <c r="F2744" s="29" t="s">
        <v>372</v>
      </c>
      <c r="G2744">
        <v>9</v>
      </c>
      <c r="H2744" t="s">
        <v>1051</v>
      </c>
      <c r="I2744" t="s">
        <v>98</v>
      </c>
      <c r="J2744" t="s">
        <v>185</v>
      </c>
      <c r="K2744" t="s">
        <v>285</v>
      </c>
      <c r="L2744" t="s">
        <v>327</v>
      </c>
    </row>
    <row r="2745" spans="1:12">
      <c r="A2745" t="s">
        <v>318</v>
      </c>
      <c r="B2745" t="s">
        <v>2363</v>
      </c>
      <c r="C2745" t="s">
        <v>2428</v>
      </c>
      <c r="D2745" s="28">
        <v>7600100138743</v>
      </c>
      <c r="E2745" s="29" t="s">
        <v>371</v>
      </c>
      <c r="F2745" s="29" t="s">
        <v>372</v>
      </c>
      <c r="G2745">
        <v>9</v>
      </c>
      <c r="H2745" t="s">
        <v>1051</v>
      </c>
      <c r="I2745" t="s">
        <v>98</v>
      </c>
      <c r="J2745" t="s">
        <v>185</v>
      </c>
      <c r="K2745" t="s">
        <v>285</v>
      </c>
      <c r="L2745" t="s">
        <v>327</v>
      </c>
    </row>
    <row r="2746" spans="1:12">
      <c r="A2746" t="s">
        <v>318</v>
      </c>
      <c r="B2746" t="s">
        <v>2363</v>
      </c>
      <c r="C2746" t="s">
        <v>2429</v>
      </c>
      <c r="D2746" s="28">
        <v>7600100102333</v>
      </c>
      <c r="E2746" s="29" t="s">
        <v>363</v>
      </c>
      <c r="F2746" s="29" t="s">
        <v>364</v>
      </c>
      <c r="G2746">
        <v>152</v>
      </c>
      <c r="H2746" t="s">
        <v>1051</v>
      </c>
      <c r="I2746" t="s">
        <v>98</v>
      </c>
      <c r="J2746" t="s">
        <v>185</v>
      </c>
      <c r="K2746" t="s">
        <v>365</v>
      </c>
      <c r="L2746" t="s">
        <v>327</v>
      </c>
    </row>
    <row r="2747" spans="1:12">
      <c r="A2747" t="s">
        <v>318</v>
      </c>
      <c r="B2747" t="s">
        <v>2363</v>
      </c>
      <c r="C2747" t="s">
        <v>2430</v>
      </c>
      <c r="D2747" s="28">
        <v>7600100102341</v>
      </c>
      <c r="E2747" s="29" t="s">
        <v>363</v>
      </c>
      <c r="F2747" s="29" t="s">
        <v>364</v>
      </c>
      <c r="G2747">
        <v>140</v>
      </c>
      <c r="H2747" t="s">
        <v>1051</v>
      </c>
      <c r="I2747" t="s">
        <v>98</v>
      </c>
      <c r="J2747" t="s">
        <v>185</v>
      </c>
      <c r="K2747" t="s">
        <v>365</v>
      </c>
      <c r="L2747" t="s">
        <v>327</v>
      </c>
    </row>
    <row r="2748" spans="1:12">
      <c r="A2748" t="s">
        <v>318</v>
      </c>
      <c r="B2748" t="s">
        <v>2363</v>
      </c>
      <c r="C2748" t="s">
        <v>2431</v>
      </c>
      <c r="D2748" s="28">
        <v>7600100051383</v>
      </c>
      <c r="E2748" s="29" t="s">
        <v>371</v>
      </c>
      <c r="F2748" s="29" t="s">
        <v>372</v>
      </c>
      <c r="G2748">
        <v>13</v>
      </c>
      <c r="H2748" t="s">
        <v>1051</v>
      </c>
      <c r="I2748" t="s">
        <v>98</v>
      </c>
      <c r="J2748" t="s">
        <v>185</v>
      </c>
      <c r="K2748" t="s">
        <v>285</v>
      </c>
      <c r="L2748" t="s">
        <v>327</v>
      </c>
    </row>
    <row r="2749" spans="1:12">
      <c r="A2749" t="s">
        <v>318</v>
      </c>
      <c r="B2749" t="s">
        <v>2363</v>
      </c>
      <c r="C2749" t="s">
        <v>2432</v>
      </c>
      <c r="D2749" s="28">
        <v>7600100057596</v>
      </c>
      <c r="E2749" s="29" t="s">
        <v>371</v>
      </c>
      <c r="F2749" s="29" t="s">
        <v>372</v>
      </c>
      <c r="G2749">
        <v>13</v>
      </c>
      <c r="H2749" t="s">
        <v>1051</v>
      </c>
      <c r="I2749" t="s">
        <v>98</v>
      </c>
      <c r="J2749" t="s">
        <v>185</v>
      </c>
      <c r="K2749" t="s">
        <v>285</v>
      </c>
      <c r="L2749" t="s">
        <v>327</v>
      </c>
    </row>
    <row r="2750" spans="1:12">
      <c r="A2750" t="s">
        <v>318</v>
      </c>
      <c r="B2750" t="s">
        <v>2363</v>
      </c>
      <c r="C2750" t="s">
        <v>972</v>
      </c>
      <c r="D2750" s="28">
        <v>7600100073056</v>
      </c>
      <c r="E2750" s="29" t="s">
        <v>1045</v>
      </c>
      <c r="F2750" s="29" t="s">
        <v>372</v>
      </c>
      <c r="G2750">
        <v>12</v>
      </c>
      <c r="H2750" t="s">
        <v>1051</v>
      </c>
      <c r="I2750" t="s">
        <v>98</v>
      </c>
      <c r="J2750" t="s">
        <v>185</v>
      </c>
      <c r="K2750" t="s">
        <v>1226</v>
      </c>
      <c r="L2750" t="s">
        <v>327</v>
      </c>
    </row>
    <row r="2751" spans="1:12">
      <c r="A2751" t="s">
        <v>318</v>
      </c>
      <c r="B2751" t="s">
        <v>2363</v>
      </c>
      <c r="C2751" t="s">
        <v>411</v>
      </c>
      <c r="D2751" s="28">
        <v>7600100073058</v>
      </c>
      <c r="E2751" s="29" t="s">
        <v>1045</v>
      </c>
      <c r="F2751" s="29" t="s">
        <v>372</v>
      </c>
      <c r="G2751">
        <v>15</v>
      </c>
      <c r="H2751" t="s">
        <v>1051</v>
      </c>
      <c r="I2751" t="s">
        <v>98</v>
      </c>
      <c r="J2751" t="s">
        <v>185</v>
      </c>
      <c r="K2751" t="s">
        <v>1226</v>
      </c>
      <c r="L2751" t="s">
        <v>327</v>
      </c>
    </row>
    <row r="2752" spans="1:12">
      <c r="A2752" t="s">
        <v>318</v>
      </c>
      <c r="B2752" t="s">
        <v>2363</v>
      </c>
      <c r="C2752" t="s">
        <v>818</v>
      </c>
      <c r="D2752" s="28">
        <v>7600100129205</v>
      </c>
      <c r="E2752" s="29" t="s">
        <v>441</v>
      </c>
      <c r="F2752" s="29" t="s">
        <v>372</v>
      </c>
      <c r="G2752">
        <v>52</v>
      </c>
      <c r="H2752" t="s">
        <v>1051</v>
      </c>
      <c r="I2752" t="s">
        <v>98</v>
      </c>
      <c r="J2752" t="s">
        <v>185</v>
      </c>
      <c r="K2752" t="s">
        <v>365</v>
      </c>
      <c r="L2752" t="s">
        <v>327</v>
      </c>
    </row>
    <row r="2753" spans="1:12">
      <c r="A2753" t="s">
        <v>318</v>
      </c>
      <c r="B2753" t="s">
        <v>2363</v>
      </c>
      <c r="C2753" t="s">
        <v>2433</v>
      </c>
      <c r="D2753" s="28">
        <v>7600100129268</v>
      </c>
      <c r="E2753" s="29" t="s">
        <v>441</v>
      </c>
      <c r="F2753" s="29" t="s">
        <v>372</v>
      </c>
      <c r="G2753">
        <v>65</v>
      </c>
      <c r="H2753" t="s">
        <v>1051</v>
      </c>
      <c r="I2753" t="s">
        <v>98</v>
      </c>
      <c r="J2753" t="s">
        <v>185</v>
      </c>
      <c r="K2753" t="s">
        <v>365</v>
      </c>
      <c r="L2753" t="s">
        <v>327</v>
      </c>
    </row>
    <row r="2754" spans="1:12">
      <c r="A2754" t="s">
        <v>318</v>
      </c>
      <c r="B2754" t="s">
        <v>2363</v>
      </c>
      <c r="C2754" t="s">
        <v>2071</v>
      </c>
      <c r="D2754" s="28">
        <v>7600100041263</v>
      </c>
      <c r="E2754" s="29" t="s">
        <v>1045</v>
      </c>
      <c r="F2754" s="29" t="s">
        <v>372</v>
      </c>
      <c r="G2754">
        <v>15</v>
      </c>
      <c r="H2754" t="s">
        <v>1051</v>
      </c>
      <c r="I2754" t="s">
        <v>98</v>
      </c>
      <c r="J2754" t="s">
        <v>185</v>
      </c>
      <c r="K2754" t="s">
        <v>285</v>
      </c>
      <c r="L2754" t="s">
        <v>327</v>
      </c>
    </row>
    <row r="2755" spans="1:12">
      <c r="A2755" t="s">
        <v>318</v>
      </c>
      <c r="B2755" t="s">
        <v>2363</v>
      </c>
      <c r="C2755" t="s">
        <v>448</v>
      </c>
      <c r="D2755" s="28">
        <v>7600100041871</v>
      </c>
      <c r="E2755" s="29" t="s">
        <v>1045</v>
      </c>
      <c r="F2755" s="29" t="s">
        <v>372</v>
      </c>
      <c r="G2755">
        <v>15</v>
      </c>
      <c r="H2755" t="s">
        <v>1051</v>
      </c>
      <c r="I2755" t="s">
        <v>98</v>
      </c>
      <c r="J2755" t="s">
        <v>185</v>
      </c>
      <c r="K2755" t="s">
        <v>285</v>
      </c>
      <c r="L2755" t="s">
        <v>327</v>
      </c>
    </row>
    <row r="2756" spans="1:12">
      <c r="A2756" t="s">
        <v>318</v>
      </c>
      <c r="B2756" t="s">
        <v>2363</v>
      </c>
      <c r="C2756" t="s">
        <v>2434</v>
      </c>
      <c r="D2756" s="28">
        <v>7600100056505</v>
      </c>
      <c r="E2756" s="29" t="s">
        <v>1045</v>
      </c>
      <c r="F2756" s="29" t="s">
        <v>372</v>
      </c>
      <c r="G2756">
        <v>15</v>
      </c>
      <c r="H2756" t="s">
        <v>1051</v>
      </c>
      <c r="I2756" t="s">
        <v>98</v>
      </c>
      <c r="J2756" t="s">
        <v>185</v>
      </c>
      <c r="K2756" t="s">
        <v>285</v>
      </c>
      <c r="L2756" t="s">
        <v>327</v>
      </c>
    </row>
    <row r="2757" spans="1:12">
      <c r="A2757" t="s">
        <v>318</v>
      </c>
      <c r="B2757" t="s">
        <v>2363</v>
      </c>
      <c r="C2757" t="s">
        <v>373</v>
      </c>
      <c r="D2757" s="28">
        <v>7600100056510</v>
      </c>
      <c r="E2757" s="29" t="s">
        <v>1045</v>
      </c>
      <c r="F2757" s="29" t="s">
        <v>372</v>
      </c>
      <c r="G2757">
        <v>15</v>
      </c>
      <c r="H2757" t="s">
        <v>1051</v>
      </c>
      <c r="I2757" t="s">
        <v>98</v>
      </c>
      <c r="J2757" t="s">
        <v>185</v>
      </c>
      <c r="K2757" t="s">
        <v>1226</v>
      </c>
      <c r="L2757" t="s">
        <v>327</v>
      </c>
    </row>
    <row r="2758" spans="1:12">
      <c r="A2758" t="s">
        <v>318</v>
      </c>
      <c r="B2758" t="s">
        <v>2363</v>
      </c>
      <c r="C2758" t="s">
        <v>2435</v>
      </c>
      <c r="D2758" s="28">
        <v>7600100056515</v>
      </c>
      <c r="E2758" s="29" t="s">
        <v>1045</v>
      </c>
      <c r="F2758" s="29" t="s">
        <v>372</v>
      </c>
      <c r="G2758">
        <v>15</v>
      </c>
      <c r="H2758" t="s">
        <v>1051</v>
      </c>
      <c r="I2758" t="s">
        <v>98</v>
      </c>
      <c r="J2758" t="s">
        <v>185</v>
      </c>
      <c r="K2758" t="s">
        <v>285</v>
      </c>
      <c r="L2758" t="s">
        <v>327</v>
      </c>
    </row>
    <row r="2759" spans="1:12">
      <c r="A2759" t="s">
        <v>318</v>
      </c>
      <c r="B2759" t="s">
        <v>2363</v>
      </c>
      <c r="C2759" t="s">
        <v>2436</v>
      </c>
      <c r="D2759" s="28">
        <v>7600100059493</v>
      </c>
      <c r="E2759" s="29" t="s">
        <v>1045</v>
      </c>
      <c r="F2759" s="29" t="s">
        <v>372</v>
      </c>
      <c r="G2759">
        <v>15</v>
      </c>
      <c r="H2759" t="s">
        <v>1051</v>
      </c>
      <c r="I2759" t="s">
        <v>98</v>
      </c>
      <c r="J2759" t="s">
        <v>185</v>
      </c>
      <c r="K2759" t="s">
        <v>285</v>
      </c>
      <c r="L2759" t="s">
        <v>327</v>
      </c>
    </row>
    <row r="2760" spans="1:12">
      <c r="A2760" t="s">
        <v>318</v>
      </c>
      <c r="B2760" t="s">
        <v>2363</v>
      </c>
      <c r="C2760" t="s">
        <v>1658</v>
      </c>
      <c r="D2760" s="28">
        <v>7600100060562</v>
      </c>
      <c r="E2760" s="29" t="s">
        <v>1045</v>
      </c>
      <c r="F2760" s="29" t="s">
        <v>372</v>
      </c>
      <c r="G2760">
        <v>15</v>
      </c>
      <c r="H2760" t="s">
        <v>1051</v>
      </c>
      <c r="I2760" t="s">
        <v>98</v>
      </c>
      <c r="J2760" t="s">
        <v>185</v>
      </c>
      <c r="K2760" t="s">
        <v>285</v>
      </c>
      <c r="L2760" t="s">
        <v>327</v>
      </c>
    </row>
    <row r="2761" spans="1:12">
      <c r="A2761" t="s">
        <v>318</v>
      </c>
      <c r="B2761" t="s">
        <v>2363</v>
      </c>
      <c r="C2761" t="s">
        <v>2007</v>
      </c>
      <c r="D2761" s="28">
        <v>7600100060725</v>
      </c>
      <c r="E2761" s="29" t="s">
        <v>1045</v>
      </c>
      <c r="F2761" s="29" t="s">
        <v>372</v>
      </c>
      <c r="G2761">
        <v>15</v>
      </c>
      <c r="H2761" t="s">
        <v>1051</v>
      </c>
      <c r="I2761" t="s">
        <v>98</v>
      </c>
      <c r="J2761" t="s">
        <v>185</v>
      </c>
      <c r="K2761" t="s">
        <v>285</v>
      </c>
      <c r="L2761" t="s">
        <v>327</v>
      </c>
    </row>
    <row r="2762" spans="1:12">
      <c r="A2762" t="s">
        <v>318</v>
      </c>
      <c r="B2762" t="s">
        <v>2363</v>
      </c>
      <c r="C2762" t="s">
        <v>2437</v>
      </c>
      <c r="D2762" s="28">
        <v>7600100061106</v>
      </c>
      <c r="E2762" s="29" t="s">
        <v>1045</v>
      </c>
      <c r="F2762" s="29" t="s">
        <v>372</v>
      </c>
      <c r="G2762">
        <v>15</v>
      </c>
      <c r="H2762" t="s">
        <v>1051</v>
      </c>
      <c r="I2762" t="s">
        <v>98</v>
      </c>
      <c r="J2762" t="s">
        <v>185</v>
      </c>
      <c r="K2762" t="s">
        <v>285</v>
      </c>
      <c r="L2762" t="s">
        <v>327</v>
      </c>
    </row>
    <row r="2763" spans="1:12">
      <c r="A2763" t="s">
        <v>318</v>
      </c>
      <c r="B2763" t="s">
        <v>2363</v>
      </c>
      <c r="C2763" t="s">
        <v>2438</v>
      </c>
      <c r="D2763" s="28">
        <v>7600100061110</v>
      </c>
      <c r="E2763" s="29" t="s">
        <v>1045</v>
      </c>
      <c r="F2763" s="29" t="s">
        <v>372</v>
      </c>
      <c r="G2763">
        <v>15</v>
      </c>
      <c r="H2763" t="s">
        <v>1051</v>
      </c>
      <c r="I2763" t="s">
        <v>98</v>
      </c>
      <c r="J2763" t="s">
        <v>185</v>
      </c>
      <c r="K2763" t="s">
        <v>285</v>
      </c>
      <c r="L2763" t="s">
        <v>327</v>
      </c>
    </row>
    <row r="2764" spans="1:12">
      <c r="A2764" t="s">
        <v>318</v>
      </c>
      <c r="B2764" t="s">
        <v>2363</v>
      </c>
      <c r="C2764" t="s">
        <v>2439</v>
      </c>
      <c r="D2764" s="28">
        <v>7600100061144</v>
      </c>
      <c r="E2764" s="29" t="s">
        <v>1045</v>
      </c>
      <c r="F2764" s="29" t="s">
        <v>372</v>
      </c>
      <c r="G2764">
        <v>15</v>
      </c>
      <c r="H2764" t="s">
        <v>1051</v>
      </c>
      <c r="I2764" t="s">
        <v>98</v>
      </c>
      <c r="J2764" t="s">
        <v>185</v>
      </c>
      <c r="K2764" t="s">
        <v>285</v>
      </c>
      <c r="L2764" t="s">
        <v>327</v>
      </c>
    </row>
    <row r="2765" spans="1:12">
      <c r="A2765" t="s">
        <v>318</v>
      </c>
      <c r="B2765" t="s">
        <v>2363</v>
      </c>
      <c r="C2765" t="s">
        <v>2440</v>
      </c>
      <c r="D2765" s="28">
        <v>7600100063778</v>
      </c>
      <c r="E2765" s="29" t="s">
        <v>1045</v>
      </c>
      <c r="F2765" s="29" t="s">
        <v>372</v>
      </c>
      <c r="G2765">
        <v>15</v>
      </c>
      <c r="H2765" t="s">
        <v>1051</v>
      </c>
      <c r="I2765" t="s">
        <v>98</v>
      </c>
      <c r="J2765" t="s">
        <v>185</v>
      </c>
      <c r="K2765" t="s">
        <v>285</v>
      </c>
      <c r="L2765" t="s">
        <v>327</v>
      </c>
    </row>
    <row r="2766" spans="1:12">
      <c r="A2766" t="s">
        <v>318</v>
      </c>
      <c r="B2766" t="s">
        <v>2363</v>
      </c>
      <c r="C2766" t="s">
        <v>2441</v>
      </c>
      <c r="D2766" s="28">
        <v>7600100063787</v>
      </c>
      <c r="E2766" s="29" t="s">
        <v>1045</v>
      </c>
      <c r="F2766" s="29" t="s">
        <v>372</v>
      </c>
      <c r="G2766">
        <v>15</v>
      </c>
      <c r="H2766" t="s">
        <v>1051</v>
      </c>
      <c r="I2766" t="s">
        <v>98</v>
      </c>
      <c r="J2766" t="s">
        <v>185</v>
      </c>
      <c r="K2766" t="s">
        <v>285</v>
      </c>
      <c r="L2766" t="s">
        <v>327</v>
      </c>
    </row>
    <row r="2767" spans="1:12">
      <c r="A2767" t="s">
        <v>318</v>
      </c>
      <c r="B2767" t="s">
        <v>2363</v>
      </c>
      <c r="C2767" t="s">
        <v>2442</v>
      </c>
      <c r="D2767" s="28">
        <v>7600100063797</v>
      </c>
      <c r="E2767" s="29" t="s">
        <v>1045</v>
      </c>
      <c r="F2767" s="29" t="s">
        <v>372</v>
      </c>
      <c r="G2767">
        <v>15</v>
      </c>
      <c r="H2767" t="s">
        <v>1051</v>
      </c>
      <c r="I2767" t="s">
        <v>98</v>
      </c>
      <c r="J2767" t="s">
        <v>185</v>
      </c>
      <c r="K2767" t="s">
        <v>285</v>
      </c>
      <c r="L2767" t="s">
        <v>327</v>
      </c>
    </row>
    <row r="2768" spans="1:12">
      <c r="A2768" t="s">
        <v>318</v>
      </c>
      <c r="B2768" t="s">
        <v>2363</v>
      </c>
      <c r="C2768" t="s">
        <v>2443</v>
      </c>
      <c r="D2768" s="28">
        <v>7600100069775</v>
      </c>
      <c r="E2768" s="29" t="s">
        <v>1045</v>
      </c>
      <c r="F2768" s="29" t="s">
        <v>372</v>
      </c>
      <c r="G2768">
        <v>15</v>
      </c>
      <c r="H2768" t="s">
        <v>1051</v>
      </c>
      <c r="I2768" t="s">
        <v>98</v>
      </c>
      <c r="J2768" t="s">
        <v>185</v>
      </c>
      <c r="K2768" t="s">
        <v>285</v>
      </c>
      <c r="L2768" t="s">
        <v>327</v>
      </c>
    </row>
    <row r="2769" spans="1:12">
      <c r="A2769" t="s">
        <v>318</v>
      </c>
      <c r="B2769" t="s">
        <v>2363</v>
      </c>
      <c r="C2769" t="s">
        <v>2444</v>
      </c>
      <c r="D2769" s="28">
        <v>7600100100661</v>
      </c>
      <c r="E2769" s="29" t="s">
        <v>1045</v>
      </c>
      <c r="F2769" s="29" t="s">
        <v>372</v>
      </c>
      <c r="G2769">
        <v>15</v>
      </c>
      <c r="H2769" t="s">
        <v>1051</v>
      </c>
      <c r="I2769" t="s">
        <v>98</v>
      </c>
      <c r="J2769" t="s">
        <v>185</v>
      </c>
      <c r="K2769" t="s">
        <v>1226</v>
      </c>
      <c r="L2769" t="s">
        <v>327</v>
      </c>
    </row>
    <row r="2770" spans="1:12">
      <c r="A2770" t="s">
        <v>318</v>
      </c>
      <c r="B2770" t="s">
        <v>2363</v>
      </c>
      <c r="C2770" t="s">
        <v>892</v>
      </c>
      <c r="D2770" s="28">
        <v>7600100012584</v>
      </c>
      <c r="E2770" s="29" t="s">
        <v>1045</v>
      </c>
      <c r="F2770" s="29" t="s">
        <v>372</v>
      </c>
      <c r="G2770">
        <v>15</v>
      </c>
      <c r="H2770" t="s">
        <v>1051</v>
      </c>
      <c r="I2770" t="s">
        <v>98</v>
      </c>
      <c r="J2770" t="s">
        <v>185</v>
      </c>
      <c r="K2770" t="s">
        <v>285</v>
      </c>
      <c r="L2770" t="s">
        <v>327</v>
      </c>
    </row>
    <row r="2771" spans="1:12">
      <c r="A2771" t="s">
        <v>318</v>
      </c>
      <c r="B2771" t="s">
        <v>2363</v>
      </c>
      <c r="C2771" t="s">
        <v>2445</v>
      </c>
      <c r="D2771" s="28">
        <v>7600100017802</v>
      </c>
      <c r="E2771" s="29" t="s">
        <v>371</v>
      </c>
      <c r="F2771" s="29" t="s">
        <v>372</v>
      </c>
      <c r="G2771">
        <v>13</v>
      </c>
      <c r="H2771" t="s">
        <v>1051</v>
      </c>
      <c r="I2771" t="s">
        <v>98</v>
      </c>
      <c r="J2771" t="s">
        <v>185</v>
      </c>
      <c r="K2771" t="s">
        <v>285</v>
      </c>
      <c r="L2771" t="s">
        <v>327</v>
      </c>
    </row>
    <row r="2772" spans="1:12">
      <c r="A2772" t="s">
        <v>318</v>
      </c>
      <c r="B2772" t="s">
        <v>2363</v>
      </c>
      <c r="C2772" t="s">
        <v>2446</v>
      </c>
      <c r="D2772" s="28">
        <v>7600100018383</v>
      </c>
      <c r="E2772" s="29" t="s">
        <v>371</v>
      </c>
      <c r="F2772" s="29" t="s">
        <v>372</v>
      </c>
      <c r="G2772">
        <v>13</v>
      </c>
      <c r="H2772" t="s">
        <v>1051</v>
      </c>
      <c r="I2772" t="s">
        <v>98</v>
      </c>
      <c r="J2772" t="s">
        <v>185</v>
      </c>
      <c r="K2772" t="s">
        <v>285</v>
      </c>
      <c r="L2772" t="s">
        <v>327</v>
      </c>
    </row>
    <row r="2773" spans="1:12">
      <c r="A2773" t="s">
        <v>318</v>
      </c>
      <c r="B2773" t="s">
        <v>2363</v>
      </c>
      <c r="C2773" t="s">
        <v>377</v>
      </c>
      <c r="D2773" s="28">
        <v>7600100018394</v>
      </c>
      <c r="E2773" s="29" t="s">
        <v>371</v>
      </c>
      <c r="F2773" s="29" t="s">
        <v>372</v>
      </c>
      <c r="G2773">
        <v>13</v>
      </c>
      <c r="H2773" t="s">
        <v>1051</v>
      </c>
      <c r="I2773" t="s">
        <v>98</v>
      </c>
      <c r="J2773" t="s">
        <v>185</v>
      </c>
      <c r="K2773" t="s">
        <v>285</v>
      </c>
      <c r="L2773" t="s">
        <v>327</v>
      </c>
    </row>
    <row r="2774" spans="1:12">
      <c r="A2774" t="s">
        <v>318</v>
      </c>
      <c r="B2774" t="s">
        <v>2363</v>
      </c>
      <c r="C2774" t="s">
        <v>2447</v>
      </c>
      <c r="D2774" s="28">
        <v>7600100018550</v>
      </c>
      <c r="E2774" s="29" t="s">
        <v>371</v>
      </c>
      <c r="F2774" s="29" t="s">
        <v>372</v>
      </c>
      <c r="G2774">
        <v>13</v>
      </c>
      <c r="H2774" t="s">
        <v>1051</v>
      </c>
      <c r="I2774" t="s">
        <v>98</v>
      </c>
      <c r="J2774" t="s">
        <v>185</v>
      </c>
      <c r="K2774" t="s">
        <v>285</v>
      </c>
      <c r="L2774" t="s">
        <v>327</v>
      </c>
    </row>
    <row r="2775" spans="1:12">
      <c r="A2775" t="s">
        <v>318</v>
      </c>
      <c r="B2775" t="s">
        <v>2363</v>
      </c>
      <c r="C2775" t="s">
        <v>2448</v>
      </c>
      <c r="D2775" s="28">
        <v>7600100018764</v>
      </c>
      <c r="E2775" s="29" t="s">
        <v>371</v>
      </c>
      <c r="F2775" s="29" t="s">
        <v>372</v>
      </c>
      <c r="G2775">
        <v>13</v>
      </c>
      <c r="H2775" t="s">
        <v>1051</v>
      </c>
      <c r="I2775" t="s">
        <v>98</v>
      </c>
      <c r="J2775" t="s">
        <v>185</v>
      </c>
      <c r="K2775" t="s">
        <v>285</v>
      </c>
      <c r="L2775" t="s">
        <v>327</v>
      </c>
    </row>
    <row r="2776" spans="1:12">
      <c r="A2776" t="s">
        <v>318</v>
      </c>
      <c r="B2776" t="s">
        <v>2363</v>
      </c>
      <c r="C2776" t="s">
        <v>940</v>
      </c>
      <c r="D2776" s="28">
        <v>7600100019076</v>
      </c>
      <c r="E2776" s="29" t="s">
        <v>371</v>
      </c>
      <c r="F2776" s="29" t="s">
        <v>372</v>
      </c>
      <c r="G2776">
        <v>13</v>
      </c>
      <c r="H2776" t="s">
        <v>1051</v>
      </c>
      <c r="I2776" t="s">
        <v>98</v>
      </c>
      <c r="J2776" t="s">
        <v>185</v>
      </c>
      <c r="K2776" t="s">
        <v>285</v>
      </c>
      <c r="L2776" t="s">
        <v>327</v>
      </c>
    </row>
    <row r="2777" spans="1:12">
      <c r="A2777" t="s">
        <v>318</v>
      </c>
      <c r="B2777" t="s">
        <v>2363</v>
      </c>
      <c r="C2777" t="s">
        <v>2449</v>
      </c>
      <c r="D2777" s="28">
        <v>7600100019221</v>
      </c>
      <c r="E2777" s="29" t="s">
        <v>371</v>
      </c>
      <c r="F2777" s="29" t="s">
        <v>372</v>
      </c>
      <c r="G2777">
        <v>13</v>
      </c>
      <c r="H2777" t="s">
        <v>1051</v>
      </c>
      <c r="I2777" t="s">
        <v>98</v>
      </c>
      <c r="J2777" t="s">
        <v>185</v>
      </c>
      <c r="K2777" t="s">
        <v>285</v>
      </c>
      <c r="L2777" t="s">
        <v>327</v>
      </c>
    </row>
    <row r="2778" spans="1:12">
      <c r="A2778" t="s">
        <v>318</v>
      </c>
      <c r="B2778" t="s">
        <v>2363</v>
      </c>
      <c r="C2778" t="s">
        <v>2450</v>
      </c>
      <c r="D2778" s="28">
        <v>7600100019637</v>
      </c>
      <c r="E2778" s="29" t="s">
        <v>1045</v>
      </c>
      <c r="F2778" s="29" t="s">
        <v>372</v>
      </c>
      <c r="G2778">
        <v>15</v>
      </c>
      <c r="H2778" t="s">
        <v>1051</v>
      </c>
      <c r="I2778" t="s">
        <v>98</v>
      </c>
      <c r="J2778" t="s">
        <v>185</v>
      </c>
      <c r="K2778" t="s">
        <v>285</v>
      </c>
      <c r="L2778" t="s">
        <v>327</v>
      </c>
    </row>
    <row r="2779" spans="1:12">
      <c r="A2779" t="s">
        <v>318</v>
      </c>
      <c r="B2779" t="s">
        <v>2363</v>
      </c>
      <c r="C2779" t="s">
        <v>2451</v>
      </c>
      <c r="D2779" s="28">
        <v>7600100019642</v>
      </c>
      <c r="E2779" s="29" t="s">
        <v>371</v>
      </c>
      <c r="F2779" s="29" t="s">
        <v>372</v>
      </c>
      <c r="G2779">
        <v>15</v>
      </c>
      <c r="H2779" t="s">
        <v>1051</v>
      </c>
      <c r="I2779" t="s">
        <v>98</v>
      </c>
      <c r="J2779" t="s">
        <v>185</v>
      </c>
      <c r="K2779" t="s">
        <v>285</v>
      </c>
      <c r="L2779" t="s">
        <v>327</v>
      </c>
    </row>
    <row r="2780" spans="1:12">
      <c r="A2780" t="s">
        <v>318</v>
      </c>
      <c r="B2780" t="s">
        <v>2363</v>
      </c>
      <c r="C2780" t="s">
        <v>2452</v>
      </c>
      <c r="D2780" s="28">
        <v>7600100019647</v>
      </c>
      <c r="E2780" s="29" t="s">
        <v>1045</v>
      </c>
      <c r="F2780" s="29" t="s">
        <v>372</v>
      </c>
      <c r="G2780">
        <v>15</v>
      </c>
      <c r="H2780" t="s">
        <v>1051</v>
      </c>
      <c r="I2780" t="s">
        <v>98</v>
      </c>
      <c r="J2780" t="s">
        <v>185</v>
      </c>
      <c r="K2780" t="s">
        <v>285</v>
      </c>
      <c r="L2780" t="s">
        <v>327</v>
      </c>
    </row>
    <row r="2781" spans="1:12">
      <c r="A2781" t="s">
        <v>318</v>
      </c>
      <c r="B2781" t="s">
        <v>2363</v>
      </c>
      <c r="C2781" t="s">
        <v>1963</v>
      </c>
      <c r="D2781" s="28">
        <v>7600100019730</v>
      </c>
      <c r="E2781" s="29" t="s">
        <v>1045</v>
      </c>
      <c r="F2781" s="29" t="s">
        <v>372</v>
      </c>
      <c r="G2781">
        <v>15</v>
      </c>
      <c r="H2781" t="s">
        <v>1051</v>
      </c>
      <c r="I2781" t="s">
        <v>98</v>
      </c>
      <c r="J2781" t="s">
        <v>185</v>
      </c>
      <c r="K2781" t="s">
        <v>285</v>
      </c>
      <c r="L2781" t="s">
        <v>327</v>
      </c>
    </row>
    <row r="2782" spans="1:12">
      <c r="A2782" t="s">
        <v>318</v>
      </c>
      <c r="B2782" t="s">
        <v>2363</v>
      </c>
      <c r="C2782" t="s">
        <v>1669</v>
      </c>
      <c r="D2782" s="28">
        <v>7600100049845</v>
      </c>
      <c r="E2782" s="29" t="s">
        <v>371</v>
      </c>
      <c r="F2782" s="29" t="s">
        <v>372</v>
      </c>
      <c r="G2782">
        <v>13</v>
      </c>
      <c r="H2782" t="s">
        <v>1051</v>
      </c>
      <c r="I2782" t="s">
        <v>98</v>
      </c>
      <c r="J2782" t="s">
        <v>185</v>
      </c>
      <c r="K2782" t="s">
        <v>285</v>
      </c>
      <c r="L2782" t="s">
        <v>327</v>
      </c>
    </row>
    <row r="2783" spans="1:12">
      <c r="A2783" t="s">
        <v>318</v>
      </c>
      <c r="B2783" t="s">
        <v>2363</v>
      </c>
      <c r="C2783" t="s">
        <v>1184</v>
      </c>
      <c r="D2783" s="28">
        <v>7600100131929</v>
      </c>
      <c r="E2783" s="29" t="s">
        <v>371</v>
      </c>
      <c r="F2783" s="29" t="s">
        <v>372</v>
      </c>
      <c r="G2783">
        <v>13</v>
      </c>
      <c r="H2783" t="s">
        <v>1051</v>
      </c>
      <c r="I2783" t="s">
        <v>98</v>
      </c>
      <c r="J2783" t="s">
        <v>185</v>
      </c>
      <c r="K2783" t="s">
        <v>285</v>
      </c>
      <c r="L2783" t="s">
        <v>327</v>
      </c>
    </row>
    <row r="2784" spans="1:12">
      <c r="A2784" t="s">
        <v>318</v>
      </c>
      <c r="B2784" t="s">
        <v>2363</v>
      </c>
      <c r="C2784" t="s">
        <v>2453</v>
      </c>
      <c r="D2784" s="28">
        <v>7600100132053</v>
      </c>
      <c r="E2784" s="29" t="s">
        <v>371</v>
      </c>
      <c r="F2784" s="29" t="s">
        <v>372</v>
      </c>
      <c r="G2784">
        <v>13</v>
      </c>
      <c r="H2784" t="s">
        <v>1051</v>
      </c>
      <c r="I2784" t="s">
        <v>98</v>
      </c>
      <c r="J2784" t="s">
        <v>185</v>
      </c>
      <c r="K2784" t="s">
        <v>285</v>
      </c>
      <c r="L2784" t="s">
        <v>327</v>
      </c>
    </row>
    <row r="2785" spans="1:12">
      <c r="A2785" t="s">
        <v>318</v>
      </c>
      <c r="B2785" t="s">
        <v>2363</v>
      </c>
      <c r="C2785" t="s">
        <v>2454</v>
      </c>
      <c r="D2785" s="28">
        <v>760011122852</v>
      </c>
      <c r="E2785" s="29" t="s">
        <v>371</v>
      </c>
      <c r="F2785" s="29" t="s">
        <v>372</v>
      </c>
      <c r="G2785">
        <v>13</v>
      </c>
      <c r="H2785" t="s">
        <v>1051</v>
      </c>
      <c r="I2785" t="s">
        <v>98</v>
      </c>
      <c r="J2785" t="s">
        <v>185</v>
      </c>
      <c r="K2785" t="s">
        <v>285</v>
      </c>
      <c r="L2785" t="s">
        <v>327</v>
      </c>
    </row>
    <row r="2786" spans="1:12">
      <c r="A2786" t="s">
        <v>318</v>
      </c>
      <c r="B2786" t="s">
        <v>2363</v>
      </c>
      <c r="C2786" t="s">
        <v>2455</v>
      </c>
      <c r="D2786" s="28">
        <v>7600100017873</v>
      </c>
      <c r="E2786" s="29" t="s">
        <v>987</v>
      </c>
      <c r="F2786" s="29" t="s">
        <v>364</v>
      </c>
      <c r="G2786">
        <v>101</v>
      </c>
      <c r="H2786" t="s">
        <v>1051</v>
      </c>
      <c r="I2786" t="s">
        <v>45</v>
      </c>
      <c r="J2786" t="s">
        <v>185</v>
      </c>
      <c r="K2786" t="s">
        <v>989</v>
      </c>
      <c r="L2786" t="s">
        <v>327</v>
      </c>
    </row>
    <row r="2787" spans="1:12">
      <c r="A2787" t="s">
        <v>318</v>
      </c>
      <c r="B2787" t="s">
        <v>2363</v>
      </c>
      <c r="C2787" t="s">
        <v>2456</v>
      </c>
      <c r="D2787" s="28">
        <v>7600100029567</v>
      </c>
      <c r="E2787" s="29" t="s">
        <v>987</v>
      </c>
      <c r="F2787" s="29" t="s">
        <v>364</v>
      </c>
      <c r="G2787">
        <v>141</v>
      </c>
      <c r="H2787" t="s">
        <v>1051</v>
      </c>
      <c r="I2787" t="s">
        <v>45</v>
      </c>
      <c r="J2787" t="s">
        <v>185</v>
      </c>
      <c r="K2787" t="s">
        <v>394</v>
      </c>
      <c r="L2787" t="s">
        <v>327</v>
      </c>
    </row>
    <row r="2788" spans="1:12">
      <c r="A2788" t="s">
        <v>318</v>
      </c>
      <c r="B2788" t="s">
        <v>2363</v>
      </c>
      <c r="C2788" t="s">
        <v>818</v>
      </c>
      <c r="D2788" s="28">
        <v>760011148344</v>
      </c>
      <c r="E2788" s="29" t="s">
        <v>393</v>
      </c>
      <c r="F2788" s="29" t="s">
        <v>372</v>
      </c>
      <c r="G2788">
        <v>14</v>
      </c>
      <c r="H2788" t="s">
        <v>1051</v>
      </c>
      <c r="I2788" t="s">
        <v>98</v>
      </c>
      <c r="J2788" t="s">
        <v>185</v>
      </c>
      <c r="K2788" t="s">
        <v>365</v>
      </c>
      <c r="L2788" t="s">
        <v>327</v>
      </c>
    </row>
    <row r="2789" spans="1:12">
      <c r="A2789" t="s">
        <v>318</v>
      </c>
      <c r="B2789" t="s">
        <v>2363</v>
      </c>
      <c r="C2789" t="s">
        <v>2457</v>
      </c>
      <c r="D2789" s="28">
        <v>760011148345</v>
      </c>
      <c r="E2789" s="29" t="s">
        <v>393</v>
      </c>
      <c r="F2789" s="29" t="s">
        <v>372</v>
      </c>
      <c r="G2789">
        <v>48</v>
      </c>
      <c r="H2789" t="s">
        <v>1051</v>
      </c>
      <c r="I2789" t="s">
        <v>98</v>
      </c>
      <c r="J2789" t="s">
        <v>185</v>
      </c>
      <c r="K2789" t="s">
        <v>365</v>
      </c>
      <c r="L2789" t="s">
        <v>327</v>
      </c>
    </row>
    <row r="2790" spans="1:12">
      <c r="A2790" t="s">
        <v>318</v>
      </c>
      <c r="B2790" t="s">
        <v>2363</v>
      </c>
      <c r="C2790" t="s">
        <v>1801</v>
      </c>
      <c r="D2790" s="28">
        <v>760011148346</v>
      </c>
      <c r="E2790" s="29" t="s">
        <v>393</v>
      </c>
      <c r="F2790" s="29" t="s">
        <v>372</v>
      </c>
      <c r="G2790">
        <v>48</v>
      </c>
      <c r="H2790" t="s">
        <v>1051</v>
      </c>
      <c r="I2790" t="s">
        <v>98</v>
      </c>
      <c r="J2790" t="s">
        <v>185</v>
      </c>
      <c r="K2790" t="s">
        <v>365</v>
      </c>
      <c r="L2790" t="s">
        <v>327</v>
      </c>
    </row>
    <row r="2791" spans="1:12">
      <c r="A2791" t="s">
        <v>318</v>
      </c>
      <c r="B2791" t="s">
        <v>2363</v>
      </c>
      <c r="C2791" t="s">
        <v>1642</v>
      </c>
      <c r="D2791" s="28">
        <v>760011148347</v>
      </c>
      <c r="E2791" s="29" t="s">
        <v>393</v>
      </c>
      <c r="F2791" s="29" t="s">
        <v>372</v>
      </c>
      <c r="G2791">
        <v>47</v>
      </c>
      <c r="H2791" t="s">
        <v>1051</v>
      </c>
      <c r="I2791" t="s">
        <v>98</v>
      </c>
      <c r="J2791" t="s">
        <v>185</v>
      </c>
      <c r="K2791" t="s">
        <v>337</v>
      </c>
      <c r="L2791" t="s">
        <v>327</v>
      </c>
    </row>
    <row r="2792" spans="1:12">
      <c r="A2792" t="s">
        <v>318</v>
      </c>
      <c r="B2792" t="s">
        <v>2363</v>
      </c>
      <c r="C2792" t="s">
        <v>902</v>
      </c>
      <c r="D2792" s="28">
        <v>760011148348</v>
      </c>
      <c r="E2792" s="29" t="s">
        <v>393</v>
      </c>
      <c r="F2792" s="29" t="s">
        <v>372</v>
      </c>
      <c r="G2792">
        <v>47</v>
      </c>
      <c r="H2792" t="s">
        <v>1051</v>
      </c>
      <c r="I2792" t="s">
        <v>98</v>
      </c>
      <c r="J2792" t="s">
        <v>185</v>
      </c>
      <c r="K2792" t="s">
        <v>337</v>
      </c>
      <c r="L2792" t="s">
        <v>327</v>
      </c>
    </row>
    <row r="2793" spans="1:12">
      <c r="A2793" t="s">
        <v>318</v>
      </c>
      <c r="B2793" t="s">
        <v>2363</v>
      </c>
      <c r="C2793" t="s">
        <v>2458</v>
      </c>
      <c r="D2793" s="28">
        <v>7600100077274</v>
      </c>
      <c r="E2793" s="29" t="s">
        <v>368</v>
      </c>
      <c r="F2793" s="29" t="s">
        <v>364</v>
      </c>
      <c r="G2793">
        <v>85</v>
      </c>
      <c r="H2793" t="s">
        <v>1051</v>
      </c>
      <c r="I2793" t="s">
        <v>45</v>
      </c>
      <c r="J2793" t="s">
        <v>185</v>
      </c>
      <c r="K2793" t="s">
        <v>394</v>
      </c>
      <c r="L2793" t="s">
        <v>327</v>
      </c>
    </row>
    <row r="2794" spans="1:12">
      <c r="A2794" t="s">
        <v>318</v>
      </c>
      <c r="B2794" t="s">
        <v>2363</v>
      </c>
      <c r="C2794" t="s">
        <v>2459</v>
      </c>
      <c r="D2794" s="28">
        <v>7600100078376</v>
      </c>
      <c r="E2794" s="29" t="s">
        <v>368</v>
      </c>
      <c r="F2794" s="29" t="s">
        <v>364</v>
      </c>
      <c r="G2794">
        <v>93</v>
      </c>
      <c r="H2794" t="s">
        <v>1051</v>
      </c>
      <c r="I2794" t="s">
        <v>45</v>
      </c>
      <c r="J2794" t="s">
        <v>185</v>
      </c>
      <c r="K2794" t="s">
        <v>394</v>
      </c>
      <c r="L2794" t="s">
        <v>327</v>
      </c>
    </row>
    <row r="2795" spans="1:12">
      <c r="A2795" t="s">
        <v>318</v>
      </c>
      <c r="B2795" t="s">
        <v>2363</v>
      </c>
      <c r="C2795" t="s">
        <v>2460</v>
      </c>
      <c r="D2795" s="28">
        <v>7600100105839</v>
      </c>
      <c r="E2795" s="29" t="s">
        <v>363</v>
      </c>
      <c r="F2795" s="29" t="s">
        <v>364</v>
      </c>
      <c r="G2795">
        <v>149</v>
      </c>
      <c r="H2795" t="s">
        <v>1051</v>
      </c>
      <c r="I2795" t="s">
        <v>45</v>
      </c>
      <c r="J2795" t="s">
        <v>185</v>
      </c>
      <c r="K2795" t="s">
        <v>365</v>
      </c>
      <c r="L2795" t="s">
        <v>327</v>
      </c>
    </row>
    <row r="2796" spans="1:12">
      <c r="A2796" t="s">
        <v>318</v>
      </c>
      <c r="B2796" t="s">
        <v>2363</v>
      </c>
      <c r="C2796" t="s">
        <v>2461</v>
      </c>
      <c r="D2796" s="28">
        <v>7600100135980</v>
      </c>
      <c r="E2796" s="29" t="s">
        <v>363</v>
      </c>
      <c r="F2796" s="29" t="s">
        <v>364</v>
      </c>
      <c r="G2796">
        <v>119</v>
      </c>
      <c r="H2796" t="s">
        <v>1051</v>
      </c>
      <c r="I2796" t="s">
        <v>98</v>
      </c>
      <c r="J2796" t="s">
        <v>185</v>
      </c>
      <c r="K2796" t="s">
        <v>365</v>
      </c>
      <c r="L2796" t="s">
        <v>327</v>
      </c>
    </row>
    <row r="2797" spans="1:12">
      <c r="A2797" t="s">
        <v>318</v>
      </c>
      <c r="B2797" t="s">
        <v>2363</v>
      </c>
      <c r="C2797" t="s">
        <v>1464</v>
      </c>
      <c r="D2797" s="28">
        <v>760011126475</v>
      </c>
      <c r="E2797" s="29" t="s">
        <v>363</v>
      </c>
      <c r="F2797" s="29" t="s">
        <v>364</v>
      </c>
      <c r="G2797">
        <v>80</v>
      </c>
      <c r="H2797" t="s">
        <v>1051</v>
      </c>
      <c r="I2797" t="s">
        <v>45</v>
      </c>
      <c r="J2797" t="s">
        <v>185</v>
      </c>
      <c r="K2797" t="s">
        <v>365</v>
      </c>
      <c r="L2797" t="s">
        <v>327</v>
      </c>
    </row>
    <row r="2798" spans="1:12">
      <c r="A2798" t="s">
        <v>318</v>
      </c>
      <c r="B2798" t="s">
        <v>2363</v>
      </c>
      <c r="C2798" t="s">
        <v>511</v>
      </c>
      <c r="D2798" s="28">
        <v>7600100022556</v>
      </c>
      <c r="E2798" s="29" t="s">
        <v>1045</v>
      </c>
      <c r="F2798" s="29" t="s">
        <v>372</v>
      </c>
      <c r="G2798">
        <v>13</v>
      </c>
      <c r="H2798" t="s">
        <v>1051</v>
      </c>
      <c r="I2798" t="s">
        <v>98</v>
      </c>
      <c r="J2798" t="s">
        <v>185</v>
      </c>
      <c r="K2798" t="s">
        <v>1226</v>
      </c>
      <c r="L2798" t="s">
        <v>327</v>
      </c>
    </row>
    <row r="2799" spans="1:12">
      <c r="A2799" t="s">
        <v>318</v>
      </c>
      <c r="B2799" t="s">
        <v>2363</v>
      </c>
      <c r="C2799" t="s">
        <v>2462</v>
      </c>
      <c r="D2799" s="28">
        <v>7600100029523</v>
      </c>
      <c r="E2799" s="29" t="s">
        <v>1045</v>
      </c>
      <c r="F2799" s="29" t="s">
        <v>372</v>
      </c>
      <c r="G2799">
        <v>13</v>
      </c>
      <c r="H2799" t="s">
        <v>1051</v>
      </c>
      <c r="I2799" t="s">
        <v>98</v>
      </c>
      <c r="J2799" t="s">
        <v>185</v>
      </c>
      <c r="K2799" t="s">
        <v>1226</v>
      </c>
      <c r="L2799" t="s">
        <v>327</v>
      </c>
    </row>
    <row r="2800" spans="1:12">
      <c r="A2800" t="s">
        <v>318</v>
      </c>
      <c r="B2800" t="s">
        <v>2363</v>
      </c>
      <c r="C2800" t="s">
        <v>435</v>
      </c>
      <c r="D2800" s="28">
        <v>7600100031204</v>
      </c>
      <c r="E2800" s="29" t="s">
        <v>371</v>
      </c>
      <c r="F2800" s="29" t="s">
        <v>372</v>
      </c>
      <c r="G2800">
        <v>13</v>
      </c>
      <c r="H2800" t="s">
        <v>1051</v>
      </c>
      <c r="I2800" t="s">
        <v>98</v>
      </c>
      <c r="J2800" t="s">
        <v>185</v>
      </c>
      <c r="K2800" t="s">
        <v>1226</v>
      </c>
      <c r="L2800" t="s">
        <v>327</v>
      </c>
    </row>
    <row r="2801" spans="1:12">
      <c r="A2801" t="s">
        <v>318</v>
      </c>
      <c r="B2801" t="s">
        <v>2363</v>
      </c>
      <c r="C2801" t="s">
        <v>602</v>
      </c>
      <c r="D2801" s="28">
        <v>7600100031274</v>
      </c>
      <c r="E2801" s="29" t="s">
        <v>371</v>
      </c>
      <c r="F2801" s="29" t="s">
        <v>372</v>
      </c>
      <c r="G2801">
        <v>13</v>
      </c>
      <c r="H2801" t="s">
        <v>1051</v>
      </c>
      <c r="I2801" t="s">
        <v>98</v>
      </c>
      <c r="J2801" t="s">
        <v>185</v>
      </c>
      <c r="K2801" t="s">
        <v>1226</v>
      </c>
      <c r="L2801" t="s">
        <v>327</v>
      </c>
    </row>
    <row r="2802" spans="1:12">
      <c r="A2802" t="s">
        <v>318</v>
      </c>
      <c r="B2802" t="s">
        <v>2363</v>
      </c>
      <c r="C2802" t="s">
        <v>2463</v>
      </c>
      <c r="D2802" s="28">
        <v>7600100034476</v>
      </c>
      <c r="E2802" s="29" t="s">
        <v>371</v>
      </c>
      <c r="F2802" s="29" t="s">
        <v>372</v>
      </c>
      <c r="G2802">
        <v>13</v>
      </c>
      <c r="H2802" t="s">
        <v>1051</v>
      </c>
      <c r="I2802" t="s">
        <v>98</v>
      </c>
      <c r="J2802" t="s">
        <v>185</v>
      </c>
      <c r="K2802" t="s">
        <v>1226</v>
      </c>
      <c r="L2802" t="s">
        <v>327</v>
      </c>
    </row>
    <row r="2803" spans="1:12">
      <c r="A2803" t="s">
        <v>318</v>
      </c>
      <c r="B2803" t="s">
        <v>2363</v>
      </c>
      <c r="C2803" t="s">
        <v>377</v>
      </c>
      <c r="D2803" s="28">
        <v>7600100034811</v>
      </c>
      <c r="E2803" s="29" t="s">
        <v>371</v>
      </c>
      <c r="F2803" s="29" t="s">
        <v>372</v>
      </c>
      <c r="G2803">
        <v>13</v>
      </c>
      <c r="H2803" t="s">
        <v>1051</v>
      </c>
      <c r="I2803" t="s">
        <v>98</v>
      </c>
      <c r="J2803" t="s">
        <v>185</v>
      </c>
      <c r="K2803" t="s">
        <v>1226</v>
      </c>
      <c r="L2803" t="s">
        <v>327</v>
      </c>
    </row>
    <row r="2804" spans="1:12">
      <c r="A2804" t="s">
        <v>318</v>
      </c>
      <c r="B2804" t="s">
        <v>2363</v>
      </c>
      <c r="C2804" t="s">
        <v>1946</v>
      </c>
      <c r="D2804" s="28">
        <v>7600100034839</v>
      </c>
      <c r="E2804" s="29" t="s">
        <v>371</v>
      </c>
      <c r="F2804" s="29" t="s">
        <v>372</v>
      </c>
      <c r="G2804">
        <v>13</v>
      </c>
      <c r="H2804" t="s">
        <v>1051</v>
      </c>
      <c r="I2804" t="s">
        <v>98</v>
      </c>
      <c r="J2804" t="s">
        <v>185</v>
      </c>
      <c r="K2804" t="s">
        <v>1226</v>
      </c>
      <c r="L2804" t="s">
        <v>327</v>
      </c>
    </row>
    <row r="2805" spans="1:12">
      <c r="A2805" t="s">
        <v>318</v>
      </c>
      <c r="B2805" t="s">
        <v>2363</v>
      </c>
      <c r="C2805" t="s">
        <v>1745</v>
      </c>
      <c r="D2805" s="28">
        <v>7600100034935</v>
      </c>
      <c r="E2805" s="29" t="s">
        <v>371</v>
      </c>
      <c r="F2805" s="29" t="s">
        <v>372</v>
      </c>
      <c r="G2805">
        <v>13</v>
      </c>
      <c r="H2805" t="s">
        <v>1051</v>
      </c>
      <c r="I2805" t="s">
        <v>98</v>
      </c>
      <c r="J2805" t="s">
        <v>185</v>
      </c>
      <c r="K2805" t="s">
        <v>1226</v>
      </c>
      <c r="L2805" t="s">
        <v>327</v>
      </c>
    </row>
    <row r="2806" spans="1:12">
      <c r="A2806" t="s">
        <v>318</v>
      </c>
      <c r="B2806" t="s">
        <v>2363</v>
      </c>
      <c r="C2806" t="s">
        <v>2464</v>
      </c>
      <c r="D2806" s="28">
        <v>7600100036225</v>
      </c>
      <c r="E2806" s="29" t="s">
        <v>371</v>
      </c>
      <c r="F2806" s="29" t="s">
        <v>372</v>
      </c>
      <c r="G2806">
        <v>13</v>
      </c>
      <c r="H2806" t="s">
        <v>1051</v>
      </c>
      <c r="I2806" t="s">
        <v>98</v>
      </c>
      <c r="J2806" t="s">
        <v>185</v>
      </c>
      <c r="K2806" t="s">
        <v>1226</v>
      </c>
      <c r="L2806" t="s">
        <v>327</v>
      </c>
    </row>
    <row r="2807" spans="1:12">
      <c r="A2807" t="s">
        <v>318</v>
      </c>
      <c r="B2807" t="s">
        <v>2363</v>
      </c>
      <c r="C2807" t="s">
        <v>2465</v>
      </c>
      <c r="D2807" s="28">
        <v>7600100077131</v>
      </c>
      <c r="E2807" s="29" t="s">
        <v>1045</v>
      </c>
      <c r="F2807" s="29" t="s">
        <v>372</v>
      </c>
      <c r="G2807">
        <v>13</v>
      </c>
      <c r="H2807" t="s">
        <v>1051</v>
      </c>
      <c r="I2807" t="s">
        <v>98</v>
      </c>
      <c r="J2807" t="s">
        <v>185</v>
      </c>
      <c r="K2807" t="s">
        <v>1226</v>
      </c>
      <c r="L2807" t="s">
        <v>327</v>
      </c>
    </row>
    <row r="2808" spans="1:12">
      <c r="A2808" t="s">
        <v>318</v>
      </c>
      <c r="B2808" t="s">
        <v>2363</v>
      </c>
      <c r="C2808" t="s">
        <v>2466</v>
      </c>
      <c r="D2808" s="28">
        <v>7600100078162</v>
      </c>
      <c r="E2808" s="29" t="s">
        <v>371</v>
      </c>
      <c r="F2808" s="29" t="s">
        <v>372</v>
      </c>
      <c r="G2808">
        <v>13</v>
      </c>
      <c r="H2808" t="s">
        <v>1051</v>
      </c>
      <c r="I2808" t="s">
        <v>98</v>
      </c>
      <c r="J2808" t="s">
        <v>185</v>
      </c>
      <c r="K2808" t="s">
        <v>1226</v>
      </c>
      <c r="L2808" t="s">
        <v>327</v>
      </c>
    </row>
    <row r="2809" spans="1:12">
      <c r="A2809" t="s">
        <v>318</v>
      </c>
      <c r="B2809" t="s">
        <v>2363</v>
      </c>
      <c r="C2809" t="s">
        <v>791</v>
      </c>
      <c r="D2809" s="28">
        <v>7600100013943</v>
      </c>
      <c r="E2809" s="29" t="s">
        <v>371</v>
      </c>
      <c r="F2809" s="29" t="s">
        <v>372</v>
      </c>
      <c r="G2809">
        <v>11</v>
      </c>
      <c r="H2809" t="s">
        <v>1051</v>
      </c>
      <c r="I2809" t="s">
        <v>98</v>
      </c>
      <c r="J2809" t="s">
        <v>185</v>
      </c>
      <c r="K2809" t="s">
        <v>285</v>
      </c>
      <c r="L2809" t="s">
        <v>327</v>
      </c>
    </row>
    <row r="2810" spans="1:12">
      <c r="A2810" t="s">
        <v>318</v>
      </c>
      <c r="B2810" t="s">
        <v>2363</v>
      </c>
      <c r="C2810" t="s">
        <v>2467</v>
      </c>
      <c r="D2810" s="28">
        <v>7600100014026</v>
      </c>
      <c r="E2810" s="29" t="s">
        <v>371</v>
      </c>
      <c r="F2810" s="29" t="s">
        <v>372</v>
      </c>
      <c r="G2810">
        <v>9</v>
      </c>
      <c r="H2810" t="s">
        <v>1051</v>
      </c>
      <c r="I2810" t="s">
        <v>98</v>
      </c>
      <c r="J2810" t="s">
        <v>185</v>
      </c>
      <c r="K2810" t="s">
        <v>1226</v>
      </c>
      <c r="L2810" t="s">
        <v>327</v>
      </c>
    </row>
    <row r="2811" spans="1:12">
      <c r="A2811" t="s">
        <v>318</v>
      </c>
      <c r="B2811" t="s">
        <v>2363</v>
      </c>
      <c r="C2811" t="s">
        <v>2468</v>
      </c>
      <c r="D2811" s="28">
        <v>7600100014883</v>
      </c>
      <c r="E2811" s="29" t="s">
        <v>371</v>
      </c>
      <c r="F2811" s="29" t="s">
        <v>372</v>
      </c>
      <c r="G2811">
        <v>13</v>
      </c>
      <c r="H2811" t="s">
        <v>1051</v>
      </c>
      <c r="I2811" t="s">
        <v>98</v>
      </c>
      <c r="J2811" t="s">
        <v>185</v>
      </c>
      <c r="K2811" t="s">
        <v>1226</v>
      </c>
      <c r="L2811" t="s">
        <v>327</v>
      </c>
    </row>
    <row r="2812" spans="1:12">
      <c r="A2812" t="s">
        <v>318</v>
      </c>
      <c r="B2812" t="s">
        <v>2363</v>
      </c>
      <c r="C2812" t="s">
        <v>940</v>
      </c>
      <c r="D2812" s="28">
        <v>7600100018150</v>
      </c>
      <c r="E2812" s="29" t="s">
        <v>371</v>
      </c>
      <c r="F2812" s="29" t="s">
        <v>372</v>
      </c>
      <c r="G2812">
        <v>13</v>
      </c>
      <c r="H2812" t="s">
        <v>1051</v>
      </c>
      <c r="I2812" t="s">
        <v>98</v>
      </c>
      <c r="J2812" t="s">
        <v>185</v>
      </c>
      <c r="K2812" t="s">
        <v>1226</v>
      </c>
      <c r="L2812" t="s">
        <v>327</v>
      </c>
    </row>
    <row r="2813" spans="1:12">
      <c r="A2813" t="s">
        <v>318</v>
      </c>
      <c r="B2813" t="s">
        <v>2363</v>
      </c>
      <c r="C2813" t="s">
        <v>513</v>
      </c>
      <c r="D2813" s="28">
        <v>7600100018164</v>
      </c>
      <c r="E2813" s="29" t="s">
        <v>371</v>
      </c>
      <c r="F2813" s="29" t="s">
        <v>372</v>
      </c>
      <c r="G2813">
        <v>5</v>
      </c>
      <c r="H2813" t="s">
        <v>1051</v>
      </c>
      <c r="I2813" t="s">
        <v>98</v>
      </c>
      <c r="J2813" t="s">
        <v>185</v>
      </c>
      <c r="K2813" t="s">
        <v>1226</v>
      </c>
      <c r="L2813" t="s">
        <v>327</v>
      </c>
    </row>
    <row r="2814" spans="1:12">
      <c r="A2814" t="s">
        <v>318</v>
      </c>
      <c r="B2814" t="s">
        <v>2363</v>
      </c>
      <c r="C2814" t="s">
        <v>1973</v>
      </c>
      <c r="D2814" s="28">
        <v>7600100018198</v>
      </c>
      <c r="E2814" s="29" t="s">
        <v>371</v>
      </c>
      <c r="F2814" s="29" t="s">
        <v>372</v>
      </c>
      <c r="G2814">
        <v>12</v>
      </c>
      <c r="H2814" t="s">
        <v>1051</v>
      </c>
      <c r="I2814" t="s">
        <v>98</v>
      </c>
      <c r="J2814" t="s">
        <v>185</v>
      </c>
      <c r="K2814" t="s">
        <v>1226</v>
      </c>
      <c r="L2814" t="s">
        <v>327</v>
      </c>
    </row>
    <row r="2815" spans="1:12">
      <c r="A2815" t="s">
        <v>318</v>
      </c>
      <c r="B2815" t="s">
        <v>2363</v>
      </c>
      <c r="C2815" t="s">
        <v>2469</v>
      </c>
      <c r="D2815" s="28">
        <v>7600100018204</v>
      </c>
      <c r="E2815" s="29" t="s">
        <v>371</v>
      </c>
      <c r="F2815" s="29" t="s">
        <v>372</v>
      </c>
      <c r="G2815">
        <v>13</v>
      </c>
      <c r="H2815" t="s">
        <v>1051</v>
      </c>
      <c r="I2815" t="s">
        <v>98</v>
      </c>
      <c r="J2815" t="s">
        <v>185</v>
      </c>
      <c r="K2815" t="s">
        <v>1226</v>
      </c>
      <c r="L2815" t="s">
        <v>327</v>
      </c>
    </row>
    <row r="2816" spans="1:12">
      <c r="A2816" t="s">
        <v>318</v>
      </c>
      <c r="B2816" t="s">
        <v>2363</v>
      </c>
      <c r="C2816" t="s">
        <v>2470</v>
      </c>
      <c r="D2816" s="28">
        <v>7600100018223</v>
      </c>
      <c r="E2816" s="29" t="s">
        <v>371</v>
      </c>
      <c r="F2816" s="29" t="s">
        <v>372</v>
      </c>
      <c r="G2816">
        <v>10</v>
      </c>
      <c r="H2816" t="s">
        <v>1051</v>
      </c>
      <c r="I2816" t="s">
        <v>98</v>
      </c>
      <c r="J2816" t="s">
        <v>185</v>
      </c>
      <c r="K2816" t="s">
        <v>1226</v>
      </c>
      <c r="L2816" t="s">
        <v>327</v>
      </c>
    </row>
    <row r="2817" spans="1:12">
      <c r="A2817" t="s">
        <v>318</v>
      </c>
      <c r="B2817" t="s">
        <v>2363</v>
      </c>
      <c r="C2817" t="s">
        <v>1162</v>
      </c>
      <c r="D2817" s="28">
        <v>7600100021651</v>
      </c>
      <c r="E2817" s="29" t="s">
        <v>371</v>
      </c>
      <c r="F2817" s="29" t="s">
        <v>372</v>
      </c>
      <c r="G2817">
        <v>7</v>
      </c>
      <c r="H2817" t="s">
        <v>1051</v>
      </c>
      <c r="I2817" t="s">
        <v>98</v>
      </c>
      <c r="J2817" t="s">
        <v>185</v>
      </c>
      <c r="K2817" t="s">
        <v>1226</v>
      </c>
      <c r="L2817" t="s">
        <v>327</v>
      </c>
    </row>
    <row r="2818" spans="1:12">
      <c r="A2818" t="s">
        <v>318</v>
      </c>
      <c r="B2818" t="s">
        <v>2363</v>
      </c>
      <c r="C2818" t="s">
        <v>2471</v>
      </c>
      <c r="D2818" s="28">
        <v>7600100022613</v>
      </c>
      <c r="E2818" s="29" t="s">
        <v>371</v>
      </c>
      <c r="F2818" s="29" t="s">
        <v>372</v>
      </c>
      <c r="G2818">
        <v>9</v>
      </c>
      <c r="H2818" t="s">
        <v>1051</v>
      </c>
      <c r="I2818" t="s">
        <v>98</v>
      </c>
      <c r="J2818" t="s">
        <v>185</v>
      </c>
      <c r="K2818" t="s">
        <v>1226</v>
      </c>
      <c r="L2818" t="s">
        <v>327</v>
      </c>
    </row>
    <row r="2819" spans="1:12">
      <c r="A2819" t="s">
        <v>318</v>
      </c>
      <c r="B2819" t="s">
        <v>2363</v>
      </c>
      <c r="C2819" t="s">
        <v>2472</v>
      </c>
      <c r="D2819" s="28">
        <v>7600100022864</v>
      </c>
      <c r="E2819" s="29" t="s">
        <v>371</v>
      </c>
      <c r="F2819" s="29" t="s">
        <v>372</v>
      </c>
      <c r="G2819">
        <v>11</v>
      </c>
      <c r="H2819" t="s">
        <v>1051</v>
      </c>
      <c r="I2819" t="s">
        <v>98</v>
      </c>
      <c r="J2819" t="s">
        <v>185</v>
      </c>
      <c r="K2819" t="s">
        <v>285</v>
      </c>
      <c r="L2819" t="s">
        <v>327</v>
      </c>
    </row>
    <row r="2820" spans="1:12">
      <c r="A2820" t="s">
        <v>318</v>
      </c>
      <c r="B2820" t="s">
        <v>2363</v>
      </c>
      <c r="C2820" t="s">
        <v>391</v>
      </c>
      <c r="D2820" s="28">
        <v>7600100027423</v>
      </c>
      <c r="E2820" s="29" t="s">
        <v>371</v>
      </c>
      <c r="F2820" s="29" t="s">
        <v>372</v>
      </c>
      <c r="G2820">
        <v>13</v>
      </c>
      <c r="H2820" t="s">
        <v>1051</v>
      </c>
      <c r="I2820" t="s">
        <v>98</v>
      </c>
      <c r="J2820" t="s">
        <v>185</v>
      </c>
      <c r="K2820" t="s">
        <v>1226</v>
      </c>
      <c r="L2820" t="s">
        <v>327</v>
      </c>
    </row>
    <row r="2821" spans="1:12">
      <c r="A2821" t="s">
        <v>318</v>
      </c>
      <c r="B2821" t="s">
        <v>2363</v>
      </c>
      <c r="C2821" t="s">
        <v>2473</v>
      </c>
      <c r="D2821" s="28">
        <v>7600100034748</v>
      </c>
      <c r="E2821" s="29" t="s">
        <v>371</v>
      </c>
      <c r="F2821" s="29" t="s">
        <v>372</v>
      </c>
      <c r="G2821">
        <v>11</v>
      </c>
      <c r="H2821" t="s">
        <v>1051</v>
      </c>
      <c r="I2821" t="s">
        <v>98</v>
      </c>
      <c r="J2821" t="s">
        <v>185</v>
      </c>
      <c r="K2821" t="s">
        <v>1226</v>
      </c>
      <c r="L2821" t="s">
        <v>327</v>
      </c>
    </row>
    <row r="2822" spans="1:12">
      <c r="A2822" t="s">
        <v>318</v>
      </c>
      <c r="B2822" t="s">
        <v>2363</v>
      </c>
      <c r="C2822" t="s">
        <v>2351</v>
      </c>
      <c r="D2822" s="28">
        <v>7600100037335</v>
      </c>
      <c r="E2822" s="29" t="s">
        <v>371</v>
      </c>
      <c r="F2822" s="29" t="s">
        <v>372</v>
      </c>
      <c r="G2822">
        <v>11</v>
      </c>
      <c r="H2822" t="s">
        <v>1051</v>
      </c>
      <c r="I2822" t="s">
        <v>98</v>
      </c>
      <c r="J2822" t="s">
        <v>185</v>
      </c>
      <c r="K2822" t="s">
        <v>285</v>
      </c>
      <c r="L2822" t="s">
        <v>327</v>
      </c>
    </row>
    <row r="2823" spans="1:12">
      <c r="A2823" t="s">
        <v>318</v>
      </c>
      <c r="B2823" t="s">
        <v>2363</v>
      </c>
      <c r="C2823" t="s">
        <v>2474</v>
      </c>
      <c r="D2823" s="28">
        <v>7600100037347</v>
      </c>
      <c r="E2823" s="29" t="s">
        <v>371</v>
      </c>
      <c r="F2823" s="29" t="s">
        <v>372</v>
      </c>
      <c r="G2823">
        <v>11</v>
      </c>
      <c r="H2823" t="s">
        <v>1051</v>
      </c>
      <c r="I2823" t="s">
        <v>98</v>
      </c>
      <c r="J2823" t="s">
        <v>185</v>
      </c>
      <c r="K2823" t="s">
        <v>1226</v>
      </c>
      <c r="L2823" t="s">
        <v>327</v>
      </c>
    </row>
    <row r="2824" spans="1:12">
      <c r="A2824" t="s">
        <v>318</v>
      </c>
      <c r="B2824" t="s">
        <v>2363</v>
      </c>
      <c r="C2824" t="s">
        <v>2475</v>
      </c>
      <c r="D2824" s="28">
        <v>7600100037358</v>
      </c>
      <c r="E2824" s="29" t="s">
        <v>371</v>
      </c>
      <c r="F2824" s="29" t="s">
        <v>372</v>
      </c>
      <c r="G2824">
        <v>10</v>
      </c>
      <c r="H2824" t="s">
        <v>1051</v>
      </c>
      <c r="I2824" t="s">
        <v>98</v>
      </c>
      <c r="J2824" t="s">
        <v>185</v>
      </c>
      <c r="K2824" t="s">
        <v>1226</v>
      </c>
      <c r="L2824" t="s">
        <v>327</v>
      </c>
    </row>
    <row r="2825" spans="1:12">
      <c r="A2825" t="s">
        <v>318</v>
      </c>
      <c r="B2825" t="s">
        <v>2363</v>
      </c>
      <c r="C2825" t="s">
        <v>422</v>
      </c>
      <c r="D2825" s="28">
        <v>7600100037361</v>
      </c>
      <c r="E2825" s="29" t="s">
        <v>371</v>
      </c>
      <c r="F2825" s="29" t="s">
        <v>372</v>
      </c>
      <c r="G2825">
        <v>10</v>
      </c>
      <c r="H2825" t="s">
        <v>1051</v>
      </c>
      <c r="I2825" t="s">
        <v>98</v>
      </c>
      <c r="J2825" t="s">
        <v>185</v>
      </c>
      <c r="K2825" t="s">
        <v>1226</v>
      </c>
      <c r="L2825" t="s">
        <v>327</v>
      </c>
    </row>
    <row r="2826" spans="1:12">
      <c r="A2826" t="s">
        <v>318</v>
      </c>
      <c r="B2826" t="s">
        <v>2363</v>
      </c>
      <c r="C2826" t="s">
        <v>2076</v>
      </c>
      <c r="D2826" s="28">
        <v>7600100037365</v>
      </c>
      <c r="E2826" s="29" t="s">
        <v>371</v>
      </c>
      <c r="F2826" s="29" t="s">
        <v>372</v>
      </c>
      <c r="G2826">
        <v>12</v>
      </c>
      <c r="H2826" t="s">
        <v>1051</v>
      </c>
      <c r="I2826" t="s">
        <v>98</v>
      </c>
      <c r="J2826" t="s">
        <v>185</v>
      </c>
      <c r="K2826" t="s">
        <v>1226</v>
      </c>
      <c r="L2826" t="s">
        <v>327</v>
      </c>
    </row>
    <row r="2827" spans="1:12">
      <c r="A2827" t="s">
        <v>318</v>
      </c>
      <c r="B2827" t="s">
        <v>2363</v>
      </c>
      <c r="C2827" t="s">
        <v>2476</v>
      </c>
      <c r="D2827" s="28">
        <v>7600100037369</v>
      </c>
      <c r="E2827" s="29" t="s">
        <v>371</v>
      </c>
      <c r="F2827" s="29" t="s">
        <v>372</v>
      </c>
      <c r="G2827">
        <v>9</v>
      </c>
      <c r="H2827" t="s">
        <v>1051</v>
      </c>
      <c r="I2827" t="s">
        <v>98</v>
      </c>
      <c r="J2827" t="s">
        <v>185</v>
      </c>
      <c r="K2827" t="s">
        <v>1226</v>
      </c>
      <c r="L2827" t="s">
        <v>327</v>
      </c>
    </row>
    <row r="2828" spans="1:12">
      <c r="A2828" t="s">
        <v>318</v>
      </c>
      <c r="B2828" t="s">
        <v>2363</v>
      </c>
      <c r="C2828" t="s">
        <v>488</v>
      </c>
      <c r="D2828" s="28">
        <v>7600100037381</v>
      </c>
      <c r="E2828" s="29" t="s">
        <v>371</v>
      </c>
      <c r="F2828" s="29" t="s">
        <v>372</v>
      </c>
      <c r="G2828">
        <v>8</v>
      </c>
      <c r="H2828" t="s">
        <v>1051</v>
      </c>
      <c r="I2828" t="s">
        <v>98</v>
      </c>
      <c r="J2828" t="s">
        <v>185</v>
      </c>
      <c r="K2828" t="s">
        <v>285</v>
      </c>
      <c r="L2828" t="s">
        <v>327</v>
      </c>
    </row>
    <row r="2829" spans="1:12">
      <c r="A2829" t="s">
        <v>318</v>
      </c>
      <c r="B2829" t="s">
        <v>2363</v>
      </c>
      <c r="C2829" t="s">
        <v>377</v>
      </c>
      <c r="D2829" s="28">
        <v>7600100037412</v>
      </c>
      <c r="E2829" s="29" t="s">
        <v>371</v>
      </c>
      <c r="F2829" s="29" t="s">
        <v>372</v>
      </c>
      <c r="G2829">
        <v>12</v>
      </c>
      <c r="H2829" t="s">
        <v>1051</v>
      </c>
      <c r="I2829" t="s">
        <v>98</v>
      </c>
      <c r="J2829" t="s">
        <v>185</v>
      </c>
      <c r="K2829" t="s">
        <v>1226</v>
      </c>
      <c r="L2829" t="s">
        <v>327</v>
      </c>
    </row>
    <row r="2830" spans="1:12">
      <c r="A2830" t="s">
        <v>318</v>
      </c>
      <c r="B2830" t="s">
        <v>2363</v>
      </c>
      <c r="C2830" t="s">
        <v>2477</v>
      </c>
      <c r="D2830" s="28">
        <v>7600100044069</v>
      </c>
      <c r="E2830" s="29" t="s">
        <v>371</v>
      </c>
      <c r="F2830" s="29" t="s">
        <v>372</v>
      </c>
      <c r="G2830">
        <v>12</v>
      </c>
      <c r="H2830" t="s">
        <v>1051</v>
      </c>
      <c r="I2830" t="s">
        <v>98</v>
      </c>
      <c r="J2830" t="s">
        <v>185</v>
      </c>
      <c r="K2830" t="s">
        <v>1226</v>
      </c>
      <c r="L2830" t="s">
        <v>327</v>
      </c>
    </row>
    <row r="2831" spans="1:12">
      <c r="A2831" t="s">
        <v>318</v>
      </c>
      <c r="B2831" t="s">
        <v>2363</v>
      </c>
      <c r="C2831" t="s">
        <v>2478</v>
      </c>
      <c r="D2831" s="28">
        <v>7600100044862</v>
      </c>
      <c r="E2831" s="29" t="s">
        <v>371</v>
      </c>
      <c r="F2831" s="29" t="s">
        <v>372</v>
      </c>
      <c r="G2831">
        <v>12</v>
      </c>
      <c r="H2831" t="s">
        <v>1051</v>
      </c>
      <c r="I2831" t="s">
        <v>98</v>
      </c>
      <c r="J2831" t="s">
        <v>185</v>
      </c>
      <c r="K2831" t="s">
        <v>1226</v>
      </c>
      <c r="L2831" t="s">
        <v>327</v>
      </c>
    </row>
    <row r="2832" spans="1:12">
      <c r="A2832" t="s">
        <v>318</v>
      </c>
      <c r="B2832" t="s">
        <v>2363</v>
      </c>
      <c r="C2832" t="s">
        <v>2479</v>
      </c>
      <c r="D2832" s="28">
        <v>7600100044886</v>
      </c>
      <c r="E2832" s="29" t="s">
        <v>371</v>
      </c>
      <c r="F2832" s="29" t="s">
        <v>372</v>
      </c>
      <c r="G2832">
        <v>11</v>
      </c>
      <c r="H2832" t="s">
        <v>1051</v>
      </c>
      <c r="I2832" t="s">
        <v>98</v>
      </c>
      <c r="J2832" t="s">
        <v>185</v>
      </c>
      <c r="K2832" t="s">
        <v>1226</v>
      </c>
      <c r="L2832" t="s">
        <v>327</v>
      </c>
    </row>
    <row r="2833" spans="1:12">
      <c r="A2833" t="s">
        <v>318</v>
      </c>
      <c r="B2833" t="s">
        <v>2363</v>
      </c>
      <c r="C2833" t="s">
        <v>572</v>
      </c>
      <c r="D2833" s="28">
        <v>7600100045263</v>
      </c>
      <c r="E2833" s="29" t="s">
        <v>371</v>
      </c>
      <c r="F2833" s="29" t="s">
        <v>372</v>
      </c>
      <c r="G2833">
        <v>7</v>
      </c>
      <c r="H2833" t="s">
        <v>1051</v>
      </c>
      <c r="I2833" t="s">
        <v>98</v>
      </c>
      <c r="J2833" t="s">
        <v>185</v>
      </c>
      <c r="K2833" t="s">
        <v>1226</v>
      </c>
      <c r="L2833" t="s">
        <v>327</v>
      </c>
    </row>
    <row r="2834" spans="1:12">
      <c r="A2834" t="s">
        <v>318</v>
      </c>
      <c r="B2834" t="s">
        <v>2363</v>
      </c>
      <c r="C2834" t="s">
        <v>2480</v>
      </c>
      <c r="D2834" s="28">
        <v>7600100046917</v>
      </c>
      <c r="E2834" s="29" t="s">
        <v>371</v>
      </c>
      <c r="F2834" s="29" t="s">
        <v>372</v>
      </c>
      <c r="G2834">
        <v>9</v>
      </c>
      <c r="H2834" t="s">
        <v>1051</v>
      </c>
      <c r="I2834" t="s">
        <v>98</v>
      </c>
      <c r="J2834" t="s">
        <v>185</v>
      </c>
      <c r="K2834" t="s">
        <v>285</v>
      </c>
      <c r="L2834" t="s">
        <v>327</v>
      </c>
    </row>
    <row r="2835" spans="1:12">
      <c r="A2835" t="s">
        <v>318</v>
      </c>
      <c r="B2835" t="s">
        <v>2363</v>
      </c>
      <c r="C2835" t="s">
        <v>382</v>
      </c>
      <c r="D2835" s="28">
        <v>7600100047798</v>
      </c>
      <c r="E2835" s="29" t="s">
        <v>371</v>
      </c>
      <c r="F2835" s="29" t="s">
        <v>372</v>
      </c>
      <c r="G2835">
        <v>10</v>
      </c>
      <c r="H2835" t="s">
        <v>1051</v>
      </c>
      <c r="I2835" t="s">
        <v>98</v>
      </c>
      <c r="J2835" t="s">
        <v>185</v>
      </c>
      <c r="K2835" t="s">
        <v>1226</v>
      </c>
      <c r="L2835" t="s">
        <v>327</v>
      </c>
    </row>
    <row r="2836" spans="1:12">
      <c r="A2836" t="s">
        <v>318</v>
      </c>
      <c r="B2836" t="s">
        <v>2363</v>
      </c>
      <c r="C2836" t="s">
        <v>2481</v>
      </c>
      <c r="D2836" s="28">
        <v>7600100047834</v>
      </c>
      <c r="E2836" s="29" t="s">
        <v>1045</v>
      </c>
      <c r="F2836" s="29" t="s">
        <v>372</v>
      </c>
      <c r="G2836">
        <v>12</v>
      </c>
      <c r="H2836" t="s">
        <v>1051</v>
      </c>
      <c r="I2836" t="s">
        <v>45</v>
      </c>
      <c r="J2836" t="s">
        <v>185</v>
      </c>
      <c r="K2836" t="s">
        <v>1226</v>
      </c>
      <c r="L2836" t="s">
        <v>327</v>
      </c>
    </row>
    <row r="2837" spans="1:12">
      <c r="A2837" t="s">
        <v>318</v>
      </c>
      <c r="B2837" t="s">
        <v>2363</v>
      </c>
      <c r="C2837" t="s">
        <v>2482</v>
      </c>
      <c r="D2837" s="28">
        <v>760011112674</v>
      </c>
      <c r="E2837" s="29" t="s">
        <v>1045</v>
      </c>
      <c r="F2837" s="29" t="s">
        <v>372</v>
      </c>
      <c r="G2837">
        <v>15</v>
      </c>
      <c r="H2837" t="s">
        <v>1051</v>
      </c>
      <c r="I2837" t="s">
        <v>98</v>
      </c>
      <c r="J2837" t="s">
        <v>185</v>
      </c>
      <c r="K2837" t="s">
        <v>285</v>
      </c>
      <c r="L2837" t="s">
        <v>327</v>
      </c>
    </row>
    <row r="2838" spans="1:12">
      <c r="A2838" t="s">
        <v>318</v>
      </c>
      <c r="B2838" t="s">
        <v>2363</v>
      </c>
      <c r="C2838" t="s">
        <v>2483</v>
      </c>
      <c r="D2838" s="28">
        <v>760011116727</v>
      </c>
      <c r="E2838" s="29" t="s">
        <v>371</v>
      </c>
      <c r="F2838" s="29" t="s">
        <v>372</v>
      </c>
      <c r="G2838">
        <v>10</v>
      </c>
      <c r="H2838" t="s">
        <v>1051</v>
      </c>
      <c r="I2838" t="s">
        <v>98</v>
      </c>
      <c r="J2838" t="s">
        <v>185</v>
      </c>
      <c r="K2838" t="s">
        <v>1226</v>
      </c>
      <c r="L2838" t="s">
        <v>327</v>
      </c>
    </row>
    <row r="2839" spans="1:12">
      <c r="A2839" t="s">
        <v>318</v>
      </c>
      <c r="B2839" t="s">
        <v>2363</v>
      </c>
      <c r="C2839" t="s">
        <v>2484</v>
      </c>
      <c r="D2839" s="28">
        <v>760011116765</v>
      </c>
      <c r="E2839" s="29" t="s">
        <v>371</v>
      </c>
      <c r="F2839" s="29" t="s">
        <v>372</v>
      </c>
      <c r="G2839">
        <v>11</v>
      </c>
      <c r="H2839" t="s">
        <v>1051</v>
      </c>
      <c r="I2839" t="s">
        <v>98</v>
      </c>
      <c r="J2839" t="s">
        <v>185</v>
      </c>
      <c r="K2839" t="s">
        <v>285</v>
      </c>
      <c r="L2839" t="s">
        <v>327</v>
      </c>
    </row>
    <row r="2840" spans="1:12">
      <c r="A2840" t="s">
        <v>318</v>
      </c>
      <c r="B2840" t="s">
        <v>2363</v>
      </c>
      <c r="C2840" t="s">
        <v>2485</v>
      </c>
      <c r="D2840" s="28">
        <v>760011116790</v>
      </c>
      <c r="E2840" s="29" t="s">
        <v>371</v>
      </c>
      <c r="F2840" s="29" t="s">
        <v>372</v>
      </c>
      <c r="G2840">
        <v>12</v>
      </c>
      <c r="H2840" t="s">
        <v>1051</v>
      </c>
      <c r="I2840" t="s">
        <v>98</v>
      </c>
      <c r="J2840" t="s">
        <v>185</v>
      </c>
      <c r="K2840" t="s">
        <v>1226</v>
      </c>
      <c r="L2840" t="s">
        <v>327</v>
      </c>
    </row>
    <row r="2841" spans="1:12">
      <c r="A2841" t="s">
        <v>318</v>
      </c>
      <c r="B2841" t="s">
        <v>2363</v>
      </c>
      <c r="C2841" t="s">
        <v>2486</v>
      </c>
      <c r="D2841" s="28">
        <v>760011116805</v>
      </c>
      <c r="E2841" s="29" t="s">
        <v>371</v>
      </c>
      <c r="F2841" s="29" t="s">
        <v>372</v>
      </c>
      <c r="G2841">
        <v>10</v>
      </c>
      <c r="H2841" t="s">
        <v>1051</v>
      </c>
      <c r="I2841" t="s">
        <v>98</v>
      </c>
      <c r="J2841" t="s">
        <v>185</v>
      </c>
      <c r="K2841" t="s">
        <v>1226</v>
      </c>
      <c r="L2841" t="s">
        <v>327</v>
      </c>
    </row>
    <row r="2842" spans="1:12">
      <c r="A2842" t="s">
        <v>318</v>
      </c>
      <c r="B2842" t="s">
        <v>2363</v>
      </c>
      <c r="C2842" t="s">
        <v>2487</v>
      </c>
      <c r="D2842" s="28">
        <v>760011116808</v>
      </c>
      <c r="E2842" s="29" t="s">
        <v>371</v>
      </c>
      <c r="F2842" s="29" t="s">
        <v>372</v>
      </c>
      <c r="G2842">
        <v>11</v>
      </c>
      <c r="H2842" t="s">
        <v>1051</v>
      </c>
      <c r="I2842" t="s">
        <v>98</v>
      </c>
      <c r="J2842" t="s">
        <v>185</v>
      </c>
      <c r="K2842" t="s">
        <v>285</v>
      </c>
      <c r="L2842" t="s">
        <v>327</v>
      </c>
    </row>
    <row r="2843" spans="1:12">
      <c r="A2843" t="s">
        <v>318</v>
      </c>
      <c r="B2843" t="s">
        <v>2363</v>
      </c>
      <c r="C2843" t="s">
        <v>2488</v>
      </c>
      <c r="D2843" s="28">
        <v>760011116860</v>
      </c>
      <c r="E2843" s="29" t="s">
        <v>371</v>
      </c>
      <c r="F2843" s="29" t="s">
        <v>372</v>
      </c>
      <c r="G2843">
        <v>10</v>
      </c>
      <c r="H2843" t="s">
        <v>1051</v>
      </c>
      <c r="I2843" t="s">
        <v>98</v>
      </c>
      <c r="J2843" t="s">
        <v>185</v>
      </c>
      <c r="K2843" t="s">
        <v>1226</v>
      </c>
      <c r="L2843" t="s">
        <v>327</v>
      </c>
    </row>
    <row r="2844" spans="1:12">
      <c r="A2844" t="s">
        <v>318</v>
      </c>
      <c r="B2844" t="s">
        <v>2363</v>
      </c>
      <c r="C2844" t="s">
        <v>2489</v>
      </c>
      <c r="D2844" s="28">
        <v>760011116879</v>
      </c>
      <c r="E2844" s="29" t="s">
        <v>371</v>
      </c>
      <c r="F2844" s="29" t="s">
        <v>372</v>
      </c>
      <c r="G2844">
        <v>13</v>
      </c>
      <c r="H2844" t="s">
        <v>1051</v>
      </c>
      <c r="I2844" t="s">
        <v>98</v>
      </c>
      <c r="J2844" t="s">
        <v>185</v>
      </c>
      <c r="K2844" t="s">
        <v>1226</v>
      </c>
      <c r="L2844" t="s">
        <v>327</v>
      </c>
    </row>
    <row r="2845" spans="1:12">
      <c r="A2845" t="s">
        <v>318</v>
      </c>
      <c r="B2845" t="s">
        <v>2363</v>
      </c>
      <c r="C2845" t="s">
        <v>1777</v>
      </c>
      <c r="D2845" s="28">
        <v>760011116884</v>
      </c>
      <c r="E2845" s="29" t="s">
        <v>371</v>
      </c>
      <c r="F2845" s="29" t="s">
        <v>372</v>
      </c>
      <c r="G2845">
        <v>13</v>
      </c>
      <c r="H2845" t="s">
        <v>1051</v>
      </c>
      <c r="I2845" t="s">
        <v>98</v>
      </c>
      <c r="J2845" t="s">
        <v>185</v>
      </c>
      <c r="K2845" t="s">
        <v>285</v>
      </c>
      <c r="L2845" t="s">
        <v>327</v>
      </c>
    </row>
    <row r="2846" spans="1:12">
      <c r="A2846" t="s">
        <v>318</v>
      </c>
      <c r="B2846" t="s">
        <v>2363</v>
      </c>
      <c r="C2846" t="s">
        <v>2490</v>
      </c>
      <c r="D2846" s="28">
        <v>760011116888</v>
      </c>
      <c r="E2846" s="29" t="s">
        <v>371</v>
      </c>
      <c r="F2846" s="29" t="s">
        <v>372</v>
      </c>
      <c r="G2846">
        <v>13</v>
      </c>
      <c r="H2846" t="s">
        <v>1051</v>
      </c>
      <c r="I2846" t="s">
        <v>98</v>
      </c>
      <c r="J2846" t="s">
        <v>185</v>
      </c>
      <c r="K2846" t="s">
        <v>1226</v>
      </c>
      <c r="L2846" t="s">
        <v>327</v>
      </c>
    </row>
    <row r="2847" spans="1:12">
      <c r="A2847" t="s">
        <v>318</v>
      </c>
      <c r="B2847" t="s">
        <v>2363</v>
      </c>
      <c r="C2847" t="s">
        <v>2491</v>
      </c>
      <c r="D2847" s="28">
        <v>760011116892</v>
      </c>
      <c r="E2847" s="29" t="s">
        <v>371</v>
      </c>
      <c r="F2847" s="29" t="s">
        <v>372</v>
      </c>
      <c r="G2847">
        <v>13</v>
      </c>
      <c r="H2847" t="s">
        <v>1051</v>
      </c>
      <c r="I2847" t="s">
        <v>98</v>
      </c>
      <c r="J2847" t="s">
        <v>185</v>
      </c>
      <c r="K2847" t="s">
        <v>1226</v>
      </c>
      <c r="L2847" t="s">
        <v>327</v>
      </c>
    </row>
    <row r="2848" spans="1:12">
      <c r="A2848" t="s">
        <v>318</v>
      </c>
      <c r="B2848" t="s">
        <v>2363</v>
      </c>
      <c r="C2848" t="s">
        <v>2229</v>
      </c>
      <c r="D2848" s="28">
        <v>760011116895</v>
      </c>
      <c r="E2848" s="29" t="s">
        <v>371</v>
      </c>
      <c r="F2848" s="29" t="s">
        <v>372</v>
      </c>
      <c r="G2848">
        <v>9</v>
      </c>
      <c r="H2848" t="s">
        <v>1051</v>
      </c>
      <c r="I2848" t="s">
        <v>98</v>
      </c>
      <c r="J2848" t="s">
        <v>185</v>
      </c>
      <c r="K2848" t="s">
        <v>1226</v>
      </c>
      <c r="L2848" t="s">
        <v>327</v>
      </c>
    </row>
    <row r="2849" spans="1:12">
      <c r="A2849" t="s">
        <v>318</v>
      </c>
      <c r="B2849" t="s">
        <v>2363</v>
      </c>
      <c r="C2849" t="s">
        <v>2492</v>
      </c>
      <c r="D2849" s="28">
        <v>760011116965</v>
      </c>
      <c r="E2849" s="29" t="s">
        <v>371</v>
      </c>
      <c r="F2849" s="29" t="s">
        <v>372</v>
      </c>
      <c r="G2849">
        <v>13</v>
      </c>
      <c r="H2849" t="s">
        <v>1051</v>
      </c>
      <c r="I2849" t="s">
        <v>98</v>
      </c>
      <c r="J2849" t="s">
        <v>185</v>
      </c>
      <c r="K2849" t="s">
        <v>285</v>
      </c>
      <c r="L2849" t="s">
        <v>327</v>
      </c>
    </row>
    <row r="2850" spans="1:12">
      <c r="A2850" t="s">
        <v>318</v>
      </c>
      <c r="B2850" t="s">
        <v>2363</v>
      </c>
      <c r="C2850" t="s">
        <v>1006</v>
      </c>
      <c r="D2850" s="28">
        <v>760011116974</v>
      </c>
      <c r="E2850" s="29" t="s">
        <v>371</v>
      </c>
      <c r="F2850" s="29" t="s">
        <v>372</v>
      </c>
      <c r="G2850">
        <v>13</v>
      </c>
      <c r="H2850" t="s">
        <v>1051</v>
      </c>
      <c r="I2850" t="s">
        <v>98</v>
      </c>
      <c r="J2850" t="s">
        <v>185</v>
      </c>
      <c r="K2850" t="s">
        <v>1226</v>
      </c>
      <c r="L2850" t="s">
        <v>327</v>
      </c>
    </row>
    <row r="2851" spans="1:12">
      <c r="A2851" t="s">
        <v>318</v>
      </c>
      <c r="B2851" t="s">
        <v>2363</v>
      </c>
      <c r="C2851" t="s">
        <v>391</v>
      </c>
      <c r="D2851" s="28">
        <v>760011116992</v>
      </c>
      <c r="E2851" s="29" t="s">
        <v>371</v>
      </c>
      <c r="F2851" s="29" t="s">
        <v>372</v>
      </c>
      <c r="G2851">
        <v>12</v>
      </c>
      <c r="H2851" t="s">
        <v>1051</v>
      </c>
      <c r="I2851" t="s">
        <v>98</v>
      </c>
      <c r="J2851" t="s">
        <v>185</v>
      </c>
      <c r="K2851" t="s">
        <v>1226</v>
      </c>
      <c r="L2851" t="s">
        <v>327</v>
      </c>
    </row>
    <row r="2852" spans="1:12">
      <c r="A2852" t="s">
        <v>318</v>
      </c>
      <c r="B2852" t="s">
        <v>2363</v>
      </c>
      <c r="C2852" t="s">
        <v>2493</v>
      </c>
      <c r="D2852" s="28">
        <v>760011116995</v>
      </c>
      <c r="E2852" s="29" t="s">
        <v>371</v>
      </c>
      <c r="F2852" s="29" t="s">
        <v>372</v>
      </c>
      <c r="G2852">
        <v>12</v>
      </c>
      <c r="H2852" t="s">
        <v>1051</v>
      </c>
      <c r="I2852" t="s">
        <v>98</v>
      </c>
      <c r="J2852" t="s">
        <v>185</v>
      </c>
      <c r="K2852" t="s">
        <v>1226</v>
      </c>
      <c r="L2852" t="s">
        <v>327</v>
      </c>
    </row>
    <row r="2853" spans="1:12">
      <c r="A2853" t="s">
        <v>318</v>
      </c>
      <c r="B2853" t="s">
        <v>2363</v>
      </c>
      <c r="C2853" t="s">
        <v>1702</v>
      </c>
      <c r="D2853" s="28">
        <v>760011117003</v>
      </c>
      <c r="E2853" s="29" t="s">
        <v>371</v>
      </c>
      <c r="F2853" s="29" t="s">
        <v>372</v>
      </c>
      <c r="G2853">
        <v>12</v>
      </c>
      <c r="H2853" t="s">
        <v>1051</v>
      </c>
      <c r="I2853" t="s">
        <v>98</v>
      </c>
      <c r="J2853" t="s">
        <v>185</v>
      </c>
      <c r="K2853" t="s">
        <v>285</v>
      </c>
      <c r="L2853" t="s">
        <v>327</v>
      </c>
    </row>
    <row r="2854" spans="1:12">
      <c r="A2854" t="s">
        <v>318</v>
      </c>
      <c r="B2854" t="s">
        <v>2363</v>
      </c>
      <c r="C2854" t="s">
        <v>2494</v>
      </c>
      <c r="D2854" s="28">
        <v>760011118811</v>
      </c>
      <c r="E2854" s="29" t="s">
        <v>1045</v>
      </c>
      <c r="F2854" s="29" t="s">
        <v>372</v>
      </c>
      <c r="G2854">
        <v>13</v>
      </c>
      <c r="H2854" t="s">
        <v>1051</v>
      </c>
      <c r="I2854" t="s">
        <v>98</v>
      </c>
      <c r="J2854" t="s">
        <v>185</v>
      </c>
      <c r="K2854" t="s">
        <v>1226</v>
      </c>
      <c r="L2854" t="s">
        <v>327</v>
      </c>
    </row>
    <row r="2855" spans="1:12">
      <c r="A2855" t="s">
        <v>318</v>
      </c>
      <c r="B2855" t="s">
        <v>2363</v>
      </c>
      <c r="C2855" t="s">
        <v>2495</v>
      </c>
      <c r="D2855" s="28">
        <v>760011118813</v>
      </c>
      <c r="E2855" s="29" t="s">
        <v>1045</v>
      </c>
      <c r="F2855" s="29" t="s">
        <v>372</v>
      </c>
      <c r="G2855">
        <v>10</v>
      </c>
      <c r="H2855" t="s">
        <v>1051</v>
      </c>
      <c r="I2855" t="s">
        <v>98</v>
      </c>
      <c r="J2855" t="s">
        <v>185</v>
      </c>
      <c r="K2855" t="s">
        <v>1226</v>
      </c>
      <c r="L2855" t="s">
        <v>327</v>
      </c>
    </row>
    <row r="2856" spans="1:12">
      <c r="A2856" t="s">
        <v>318</v>
      </c>
      <c r="B2856" t="s">
        <v>2363</v>
      </c>
      <c r="C2856" t="s">
        <v>2496</v>
      </c>
      <c r="D2856" s="28">
        <v>760011118816</v>
      </c>
      <c r="E2856" s="29" t="s">
        <v>1045</v>
      </c>
      <c r="F2856" s="29" t="s">
        <v>372</v>
      </c>
      <c r="G2856">
        <v>12</v>
      </c>
      <c r="H2856" t="s">
        <v>1051</v>
      </c>
      <c r="I2856" t="s">
        <v>98</v>
      </c>
      <c r="J2856" t="s">
        <v>185</v>
      </c>
      <c r="K2856" t="s">
        <v>1226</v>
      </c>
      <c r="L2856" t="s">
        <v>327</v>
      </c>
    </row>
    <row r="2857" spans="1:12">
      <c r="A2857" t="s">
        <v>318</v>
      </c>
      <c r="B2857" t="s">
        <v>2363</v>
      </c>
      <c r="C2857" t="s">
        <v>2497</v>
      </c>
      <c r="D2857" s="28">
        <v>760011119512</v>
      </c>
      <c r="E2857" s="29" t="s">
        <v>1045</v>
      </c>
      <c r="F2857" s="29" t="s">
        <v>372</v>
      </c>
      <c r="G2857">
        <v>12</v>
      </c>
      <c r="H2857" t="s">
        <v>1051</v>
      </c>
      <c r="I2857" t="s">
        <v>98</v>
      </c>
      <c r="J2857" t="s">
        <v>185</v>
      </c>
      <c r="K2857" t="s">
        <v>1226</v>
      </c>
      <c r="L2857" t="s">
        <v>327</v>
      </c>
    </row>
    <row r="2858" spans="1:12">
      <c r="A2858" t="s">
        <v>318</v>
      </c>
      <c r="B2858" t="s">
        <v>2363</v>
      </c>
      <c r="C2858" t="s">
        <v>2273</v>
      </c>
      <c r="D2858" s="28">
        <v>760011120149</v>
      </c>
      <c r="E2858" s="29" t="s">
        <v>371</v>
      </c>
      <c r="F2858" s="29" t="s">
        <v>372</v>
      </c>
      <c r="G2858">
        <v>10</v>
      </c>
      <c r="H2858" t="s">
        <v>1051</v>
      </c>
      <c r="I2858" t="s">
        <v>98</v>
      </c>
      <c r="J2858" t="s">
        <v>185</v>
      </c>
      <c r="K2858" t="s">
        <v>1226</v>
      </c>
      <c r="L2858" t="s">
        <v>327</v>
      </c>
    </row>
    <row r="2859" spans="1:12">
      <c r="A2859" t="s">
        <v>318</v>
      </c>
      <c r="B2859" t="s">
        <v>2363</v>
      </c>
      <c r="C2859" t="s">
        <v>2498</v>
      </c>
      <c r="D2859" s="28">
        <v>760011120549</v>
      </c>
      <c r="E2859" s="29" t="s">
        <v>371</v>
      </c>
      <c r="F2859" s="29" t="s">
        <v>372</v>
      </c>
      <c r="G2859">
        <v>9</v>
      </c>
      <c r="H2859" t="s">
        <v>1051</v>
      </c>
      <c r="I2859" t="s">
        <v>98</v>
      </c>
      <c r="J2859" t="s">
        <v>185</v>
      </c>
      <c r="K2859" t="s">
        <v>285</v>
      </c>
      <c r="L2859" t="s">
        <v>327</v>
      </c>
    </row>
    <row r="2860" spans="1:12">
      <c r="A2860" t="s">
        <v>318</v>
      </c>
      <c r="B2860" t="s">
        <v>2363</v>
      </c>
      <c r="C2860" t="s">
        <v>2499</v>
      </c>
      <c r="D2860" s="28">
        <v>760011120589</v>
      </c>
      <c r="E2860" s="29" t="s">
        <v>371</v>
      </c>
      <c r="F2860" s="29" t="s">
        <v>372</v>
      </c>
      <c r="G2860">
        <v>9</v>
      </c>
      <c r="H2860" t="s">
        <v>1051</v>
      </c>
      <c r="I2860" t="s">
        <v>98</v>
      </c>
      <c r="J2860" t="s">
        <v>185</v>
      </c>
      <c r="K2860" t="s">
        <v>1226</v>
      </c>
      <c r="L2860" t="s">
        <v>327</v>
      </c>
    </row>
    <row r="2861" spans="1:12">
      <c r="A2861" t="s">
        <v>318</v>
      </c>
      <c r="B2861" t="s">
        <v>2363</v>
      </c>
      <c r="C2861" t="s">
        <v>711</v>
      </c>
      <c r="D2861" s="28">
        <v>760011121753</v>
      </c>
      <c r="E2861" s="29" t="s">
        <v>371</v>
      </c>
      <c r="F2861" s="29" t="s">
        <v>372</v>
      </c>
      <c r="G2861">
        <v>7</v>
      </c>
      <c r="H2861" t="s">
        <v>1051</v>
      </c>
      <c r="I2861" t="s">
        <v>98</v>
      </c>
      <c r="J2861" t="s">
        <v>185</v>
      </c>
      <c r="K2861" t="s">
        <v>285</v>
      </c>
      <c r="L2861" t="s">
        <v>327</v>
      </c>
    </row>
    <row r="2862" spans="1:12">
      <c r="A2862" t="s">
        <v>318</v>
      </c>
      <c r="B2862" t="s">
        <v>2363</v>
      </c>
      <c r="C2862" t="s">
        <v>382</v>
      </c>
      <c r="D2862" s="28">
        <v>760011121758</v>
      </c>
      <c r="E2862" s="29" t="s">
        <v>371</v>
      </c>
      <c r="F2862" s="29" t="s">
        <v>372</v>
      </c>
      <c r="G2862">
        <v>9</v>
      </c>
      <c r="H2862" t="s">
        <v>323</v>
      </c>
      <c r="I2862" t="s">
        <v>98</v>
      </c>
      <c r="J2862" t="s">
        <v>185</v>
      </c>
      <c r="K2862" t="s">
        <v>285</v>
      </c>
      <c r="L2862" t="s">
        <v>327</v>
      </c>
    </row>
    <row r="2863" spans="1:12">
      <c r="A2863" t="s">
        <v>318</v>
      </c>
      <c r="B2863" t="s">
        <v>2363</v>
      </c>
      <c r="C2863" t="s">
        <v>2500</v>
      </c>
      <c r="D2863" s="28">
        <v>760011122484</v>
      </c>
      <c r="E2863" s="29" t="s">
        <v>371</v>
      </c>
      <c r="F2863" s="29" t="s">
        <v>372</v>
      </c>
      <c r="G2863">
        <v>12</v>
      </c>
      <c r="H2863" t="s">
        <v>1051</v>
      </c>
      <c r="I2863" t="s">
        <v>45</v>
      </c>
      <c r="J2863" t="s">
        <v>185</v>
      </c>
      <c r="K2863" t="s">
        <v>285</v>
      </c>
      <c r="L2863" t="s">
        <v>327</v>
      </c>
    </row>
    <row r="2864" spans="1:12">
      <c r="A2864" t="s">
        <v>318</v>
      </c>
      <c r="B2864" t="s">
        <v>2363</v>
      </c>
      <c r="C2864" t="s">
        <v>2501</v>
      </c>
      <c r="D2864" s="28">
        <v>760011123956</v>
      </c>
      <c r="E2864" s="29" t="s">
        <v>1045</v>
      </c>
      <c r="F2864" s="29" t="s">
        <v>372</v>
      </c>
      <c r="G2864">
        <v>12</v>
      </c>
      <c r="H2864" t="s">
        <v>323</v>
      </c>
      <c r="I2864" t="s">
        <v>98</v>
      </c>
      <c r="J2864" t="s">
        <v>185</v>
      </c>
      <c r="K2864" t="s">
        <v>1226</v>
      </c>
    </row>
    <row r="2865" spans="1:12">
      <c r="A2865" t="s">
        <v>318</v>
      </c>
      <c r="B2865" t="s">
        <v>2363</v>
      </c>
      <c r="C2865" t="s">
        <v>855</v>
      </c>
      <c r="D2865" s="28">
        <v>760011147326</v>
      </c>
      <c r="E2865" s="29" t="s">
        <v>371</v>
      </c>
      <c r="F2865" s="29" t="s">
        <v>372</v>
      </c>
      <c r="G2865">
        <v>12</v>
      </c>
      <c r="H2865" t="s">
        <v>1051</v>
      </c>
      <c r="I2865" t="s">
        <v>98</v>
      </c>
      <c r="J2865" t="s">
        <v>185</v>
      </c>
      <c r="K2865" t="s">
        <v>285</v>
      </c>
      <c r="L2865" t="s">
        <v>327</v>
      </c>
    </row>
    <row r="2866" spans="1:12">
      <c r="A2866" t="s">
        <v>318</v>
      </c>
      <c r="B2866" t="s">
        <v>2363</v>
      </c>
      <c r="C2866" t="s">
        <v>440</v>
      </c>
      <c r="D2866" s="28">
        <v>7600100051851</v>
      </c>
      <c r="E2866" s="29" t="s">
        <v>371</v>
      </c>
      <c r="F2866" s="29" t="s">
        <v>372</v>
      </c>
      <c r="G2866">
        <v>12</v>
      </c>
      <c r="H2866" t="s">
        <v>1051</v>
      </c>
      <c r="I2866" t="s">
        <v>98</v>
      </c>
      <c r="J2866" t="s">
        <v>185</v>
      </c>
      <c r="K2866" t="s">
        <v>1226</v>
      </c>
      <c r="L2866" t="s">
        <v>327</v>
      </c>
    </row>
    <row r="2867" spans="1:12">
      <c r="A2867" t="s">
        <v>318</v>
      </c>
      <c r="B2867" t="s">
        <v>2363</v>
      </c>
      <c r="C2867" t="s">
        <v>2502</v>
      </c>
      <c r="D2867" s="28">
        <v>7600100051884</v>
      </c>
      <c r="E2867" s="29" t="s">
        <v>371</v>
      </c>
      <c r="F2867" s="29" t="s">
        <v>372</v>
      </c>
      <c r="G2867">
        <v>11</v>
      </c>
      <c r="H2867" t="s">
        <v>1051</v>
      </c>
      <c r="I2867" t="s">
        <v>98</v>
      </c>
      <c r="J2867" t="s">
        <v>185</v>
      </c>
      <c r="K2867" t="s">
        <v>1226</v>
      </c>
      <c r="L2867" t="s">
        <v>327</v>
      </c>
    </row>
    <row r="2868" spans="1:12">
      <c r="A2868" t="s">
        <v>318</v>
      </c>
      <c r="B2868" t="s">
        <v>2363</v>
      </c>
      <c r="C2868" t="s">
        <v>1991</v>
      </c>
      <c r="D2868" s="28">
        <v>7600100051910</v>
      </c>
      <c r="E2868" s="29" t="s">
        <v>371</v>
      </c>
      <c r="F2868" s="29" t="s">
        <v>372</v>
      </c>
      <c r="G2868">
        <v>12</v>
      </c>
      <c r="H2868" t="s">
        <v>1051</v>
      </c>
      <c r="I2868" t="s">
        <v>98</v>
      </c>
      <c r="J2868" t="s">
        <v>185</v>
      </c>
      <c r="K2868" t="s">
        <v>1226</v>
      </c>
      <c r="L2868" t="s">
        <v>327</v>
      </c>
    </row>
    <row r="2869" spans="1:12">
      <c r="A2869" t="s">
        <v>318</v>
      </c>
      <c r="B2869" t="s">
        <v>2363</v>
      </c>
      <c r="C2869" t="s">
        <v>536</v>
      </c>
      <c r="D2869" s="28">
        <v>7600100051986</v>
      </c>
      <c r="E2869" s="29" t="s">
        <v>371</v>
      </c>
      <c r="F2869" s="29" t="s">
        <v>372</v>
      </c>
      <c r="G2869">
        <v>9</v>
      </c>
      <c r="H2869" t="s">
        <v>1051</v>
      </c>
      <c r="I2869" t="s">
        <v>98</v>
      </c>
      <c r="J2869" t="s">
        <v>185</v>
      </c>
      <c r="K2869" t="s">
        <v>1226</v>
      </c>
      <c r="L2869" t="s">
        <v>327</v>
      </c>
    </row>
    <row r="2870" spans="1:12">
      <c r="A2870" t="s">
        <v>318</v>
      </c>
      <c r="B2870" t="s">
        <v>2363</v>
      </c>
      <c r="C2870" t="s">
        <v>2503</v>
      </c>
      <c r="D2870" s="28">
        <v>7600100052039</v>
      </c>
      <c r="E2870" s="29" t="s">
        <v>371</v>
      </c>
      <c r="F2870" s="29" t="s">
        <v>372</v>
      </c>
      <c r="G2870">
        <v>6</v>
      </c>
      <c r="H2870" t="s">
        <v>1051</v>
      </c>
      <c r="I2870" t="s">
        <v>98</v>
      </c>
      <c r="J2870" t="s">
        <v>185</v>
      </c>
      <c r="K2870" t="s">
        <v>1226</v>
      </c>
      <c r="L2870" t="s">
        <v>327</v>
      </c>
    </row>
    <row r="2871" spans="1:12">
      <c r="A2871" t="s">
        <v>318</v>
      </c>
      <c r="B2871" t="s">
        <v>2363</v>
      </c>
      <c r="C2871" t="s">
        <v>2504</v>
      </c>
      <c r="D2871" s="28">
        <v>7600100052080</v>
      </c>
      <c r="E2871" s="29" t="s">
        <v>371</v>
      </c>
      <c r="F2871" s="29" t="s">
        <v>372</v>
      </c>
      <c r="G2871">
        <v>10</v>
      </c>
      <c r="H2871" t="s">
        <v>1051</v>
      </c>
      <c r="I2871" t="s">
        <v>98</v>
      </c>
      <c r="J2871" t="s">
        <v>185</v>
      </c>
      <c r="K2871" t="s">
        <v>1226</v>
      </c>
      <c r="L2871" t="s">
        <v>327</v>
      </c>
    </row>
    <row r="2872" spans="1:12">
      <c r="A2872" t="s">
        <v>318</v>
      </c>
      <c r="B2872" t="s">
        <v>2363</v>
      </c>
      <c r="C2872" t="s">
        <v>377</v>
      </c>
      <c r="D2872" s="28">
        <v>7600100056541</v>
      </c>
      <c r="E2872" s="29" t="s">
        <v>1045</v>
      </c>
      <c r="F2872" s="29" t="s">
        <v>372</v>
      </c>
      <c r="G2872">
        <v>15</v>
      </c>
      <c r="H2872" t="s">
        <v>1051</v>
      </c>
      <c r="I2872" t="s">
        <v>98</v>
      </c>
      <c r="J2872" t="s">
        <v>185</v>
      </c>
      <c r="K2872" t="s">
        <v>1226</v>
      </c>
    </row>
    <row r="2873" spans="1:12">
      <c r="A2873" t="s">
        <v>318</v>
      </c>
      <c r="B2873" t="s">
        <v>2363</v>
      </c>
      <c r="C2873" t="s">
        <v>2505</v>
      </c>
      <c r="D2873" s="28">
        <v>7600100059000</v>
      </c>
      <c r="E2873" s="29" t="s">
        <v>371</v>
      </c>
      <c r="F2873" s="29" t="s">
        <v>372</v>
      </c>
      <c r="G2873">
        <v>9</v>
      </c>
      <c r="H2873" t="s">
        <v>1051</v>
      </c>
      <c r="I2873" t="s">
        <v>98</v>
      </c>
      <c r="J2873" t="s">
        <v>185</v>
      </c>
      <c r="K2873" t="s">
        <v>1226</v>
      </c>
      <c r="L2873" t="s">
        <v>327</v>
      </c>
    </row>
    <row r="2874" spans="1:12">
      <c r="A2874" t="s">
        <v>318</v>
      </c>
      <c r="B2874" t="s">
        <v>2363</v>
      </c>
      <c r="C2874" t="s">
        <v>2506</v>
      </c>
      <c r="D2874" s="28">
        <v>7600100059005</v>
      </c>
      <c r="E2874" s="29" t="s">
        <v>1045</v>
      </c>
      <c r="F2874" s="29" t="s">
        <v>372</v>
      </c>
      <c r="G2874">
        <v>15</v>
      </c>
      <c r="H2874" t="s">
        <v>1051</v>
      </c>
      <c r="I2874" t="s">
        <v>98</v>
      </c>
      <c r="J2874" t="s">
        <v>185</v>
      </c>
      <c r="K2874" t="s">
        <v>1226</v>
      </c>
    </row>
    <row r="2875" spans="1:12">
      <c r="A2875" t="s">
        <v>318</v>
      </c>
      <c r="B2875" t="s">
        <v>2363</v>
      </c>
      <c r="C2875" t="s">
        <v>2507</v>
      </c>
      <c r="D2875" s="28">
        <v>7600100060413</v>
      </c>
      <c r="E2875" s="29" t="s">
        <v>371</v>
      </c>
      <c r="F2875" s="29" t="s">
        <v>372</v>
      </c>
      <c r="G2875">
        <v>12</v>
      </c>
      <c r="H2875" t="s">
        <v>1051</v>
      </c>
      <c r="I2875" t="s">
        <v>98</v>
      </c>
      <c r="J2875" t="s">
        <v>185</v>
      </c>
      <c r="K2875" t="s">
        <v>1226</v>
      </c>
    </row>
    <row r="2876" spans="1:12">
      <c r="A2876" t="s">
        <v>318</v>
      </c>
      <c r="B2876" t="s">
        <v>2363</v>
      </c>
      <c r="C2876" t="s">
        <v>2489</v>
      </c>
      <c r="D2876" s="28">
        <v>7600100061083</v>
      </c>
      <c r="E2876" s="29" t="s">
        <v>371</v>
      </c>
      <c r="F2876" s="29" t="s">
        <v>372</v>
      </c>
      <c r="G2876">
        <v>13</v>
      </c>
      <c r="H2876" t="s">
        <v>1051</v>
      </c>
      <c r="I2876" t="s">
        <v>98</v>
      </c>
      <c r="J2876" t="s">
        <v>185</v>
      </c>
      <c r="K2876" t="s">
        <v>1226</v>
      </c>
      <c r="L2876" t="s">
        <v>327</v>
      </c>
    </row>
    <row r="2877" spans="1:12">
      <c r="A2877" t="s">
        <v>318</v>
      </c>
      <c r="B2877" t="s">
        <v>2363</v>
      </c>
      <c r="C2877" t="s">
        <v>2508</v>
      </c>
      <c r="D2877" s="28">
        <v>7600100061096</v>
      </c>
      <c r="E2877" s="29" t="s">
        <v>371</v>
      </c>
      <c r="F2877" s="29" t="s">
        <v>372</v>
      </c>
      <c r="G2877">
        <v>13</v>
      </c>
      <c r="H2877" t="s">
        <v>1051</v>
      </c>
      <c r="I2877" t="s">
        <v>98</v>
      </c>
      <c r="J2877" t="s">
        <v>185</v>
      </c>
      <c r="K2877" t="s">
        <v>1226</v>
      </c>
      <c r="L2877" t="s">
        <v>327</v>
      </c>
    </row>
    <row r="2878" spans="1:12">
      <c r="A2878" t="s">
        <v>318</v>
      </c>
      <c r="B2878" t="s">
        <v>2363</v>
      </c>
      <c r="C2878" t="s">
        <v>2509</v>
      </c>
      <c r="D2878" s="28">
        <v>7600100061099</v>
      </c>
      <c r="E2878" s="29" t="s">
        <v>371</v>
      </c>
      <c r="F2878" s="29" t="s">
        <v>372</v>
      </c>
      <c r="G2878">
        <v>13</v>
      </c>
      <c r="H2878" t="s">
        <v>1051</v>
      </c>
      <c r="I2878" t="s">
        <v>98</v>
      </c>
      <c r="J2878" t="s">
        <v>185</v>
      </c>
      <c r="K2878" t="s">
        <v>1226</v>
      </c>
      <c r="L2878" t="s">
        <v>327</v>
      </c>
    </row>
    <row r="2879" spans="1:12">
      <c r="A2879" t="s">
        <v>318</v>
      </c>
      <c r="B2879" t="s">
        <v>2363</v>
      </c>
      <c r="C2879" t="s">
        <v>2510</v>
      </c>
      <c r="D2879" s="28">
        <v>7600100061157</v>
      </c>
      <c r="E2879" s="29" t="s">
        <v>371</v>
      </c>
      <c r="F2879" s="29" t="s">
        <v>372</v>
      </c>
      <c r="G2879">
        <v>10</v>
      </c>
      <c r="H2879" t="s">
        <v>1051</v>
      </c>
      <c r="I2879" t="s">
        <v>98</v>
      </c>
      <c r="J2879" t="s">
        <v>185</v>
      </c>
      <c r="K2879" t="s">
        <v>1226</v>
      </c>
      <c r="L2879" t="s">
        <v>327</v>
      </c>
    </row>
    <row r="2880" spans="1:12">
      <c r="A2880" t="s">
        <v>318</v>
      </c>
      <c r="B2880" t="s">
        <v>2363</v>
      </c>
      <c r="C2880" t="s">
        <v>2511</v>
      </c>
      <c r="D2880" s="28">
        <v>7600100061453</v>
      </c>
      <c r="E2880" s="29" t="s">
        <v>371</v>
      </c>
      <c r="F2880" s="29" t="s">
        <v>372</v>
      </c>
      <c r="G2880">
        <v>11</v>
      </c>
      <c r="H2880" t="s">
        <v>1051</v>
      </c>
      <c r="I2880" t="s">
        <v>98</v>
      </c>
      <c r="J2880" t="s">
        <v>185</v>
      </c>
      <c r="K2880" t="s">
        <v>1226</v>
      </c>
      <c r="L2880" t="s">
        <v>327</v>
      </c>
    </row>
    <row r="2881" spans="1:12">
      <c r="A2881" t="s">
        <v>318</v>
      </c>
      <c r="B2881" t="s">
        <v>2363</v>
      </c>
      <c r="C2881" t="s">
        <v>2512</v>
      </c>
      <c r="D2881" s="28">
        <v>7600100061794</v>
      </c>
      <c r="E2881" s="29" t="s">
        <v>371</v>
      </c>
      <c r="F2881" s="29" t="s">
        <v>372</v>
      </c>
      <c r="G2881">
        <v>8</v>
      </c>
      <c r="H2881" t="s">
        <v>1051</v>
      </c>
      <c r="I2881" t="s">
        <v>98</v>
      </c>
      <c r="J2881" t="s">
        <v>185</v>
      </c>
      <c r="K2881" t="s">
        <v>1226</v>
      </c>
      <c r="L2881" t="s">
        <v>327</v>
      </c>
    </row>
    <row r="2882" spans="1:12">
      <c r="A2882" t="s">
        <v>318</v>
      </c>
      <c r="B2882" t="s">
        <v>2363</v>
      </c>
      <c r="C2882" t="s">
        <v>377</v>
      </c>
      <c r="D2882" s="28">
        <v>7600100061816</v>
      </c>
      <c r="E2882" s="29" t="s">
        <v>371</v>
      </c>
      <c r="F2882" s="29" t="s">
        <v>372</v>
      </c>
      <c r="G2882">
        <v>7</v>
      </c>
      <c r="H2882" t="s">
        <v>1051</v>
      </c>
      <c r="I2882" t="s">
        <v>98</v>
      </c>
      <c r="J2882" t="s">
        <v>185</v>
      </c>
      <c r="K2882" t="s">
        <v>1226</v>
      </c>
      <c r="L2882" t="s">
        <v>327</v>
      </c>
    </row>
    <row r="2883" spans="1:12">
      <c r="A2883" t="s">
        <v>318</v>
      </c>
      <c r="B2883" t="s">
        <v>2363</v>
      </c>
      <c r="C2883" t="s">
        <v>972</v>
      </c>
      <c r="D2883" s="28">
        <v>7600100061851</v>
      </c>
      <c r="E2883" s="29" t="s">
        <v>371</v>
      </c>
      <c r="F2883" s="29" t="s">
        <v>372</v>
      </c>
      <c r="G2883">
        <v>11</v>
      </c>
      <c r="H2883" t="s">
        <v>1051</v>
      </c>
      <c r="I2883" t="s">
        <v>98</v>
      </c>
      <c r="J2883" t="s">
        <v>185</v>
      </c>
      <c r="K2883" t="s">
        <v>1226</v>
      </c>
      <c r="L2883" t="s">
        <v>327</v>
      </c>
    </row>
    <row r="2884" spans="1:12">
      <c r="A2884" t="s">
        <v>318</v>
      </c>
      <c r="B2884" t="s">
        <v>2363</v>
      </c>
      <c r="C2884" t="s">
        <v>382</v>
      </c>
      <c r="D2884" s="28">
        <v>7600100062177</v>
      </c>
      <c r="E2884" s="29" t="s">
        <v>1045</v>
      </c>
      <c r="F2884" s="29" t="s">
        <v>372</v>
      </c>
      <c r="G2884">
        <v>14</v>
      </c>
      <c r="H2884" t="s">
        <v>1051</v>
      </c>
      <c r="I2884" t="s">
        <v>45</v>
      </c>
      <c r="J2884" t="s">
        <v>185</v>
      </c>
      <c r="K2884" t="s">
        <v>1226</v>
      </c>
      <c r="L2884" t="s">
        <v>327</v>
      </c>
    </row>
    <row r="2885" spans="1:12">
      <c r="A2885" t="s">
        <v>318</v>
      </c>
      <c r="B2885" t="s">
        <v>2363</v>
      </c>
      <c r="C2885" t="s">
        <v>2513</v>
      </c>
      <c r="D2885" s="28">
        <v>7600100062182</v>
      </c>
      <c r="E2885" s="29" t="s">
        <v>1045</v>
      </c>
      <c r="F2885" s="29" t="s">
        <v>372</v>
      </c>
      <c r="G2885">
        <v>15</v>
      </c>
      <c r="H2885" t="s">
        <v>1051</v>
      </c>
      <c r="I2885" t="s">
        <v>98</v>
      </c>
      <c r="J2885" t="s">
        <v>185</v>
      </c>
      <c r="K2885" t="s">
        <v>1226</v>
      </c>
      <c r="L2885" t="s">
        <v>327</v>
      </c>
    </row>
    <row r="2886" spans="1:12">
      <c r="A2886" t="s">
        <v>318</v>
      </c>
      <c r="B2886" t="s">
        <v>2363</v>
      </c>
      <c r="C2886" t="s">
        <v>2514</v>
      </c>
      <c r="D2886" s="28">
        <v>7600100062249</v>
      </c>
      <c r="E2886" s="29" t="s">
        <v>371</v>
      </c>
      <c r="F2886" s="29" t="s">
        <v>372</v>
      </c>
      <c r="G2886">
        <v>13</v>
      </c>
      <c r="H2886" t="s">
        <v>1051</v>
      </c>
      <c r="I2886" t="s">
        <v>98</v>
      </c>
      <c r="J2886" t="s">
        <v>185</v>
      </c>
      <c r="K2886" t="s">
        <v>1226</v>
      </c>
      <c r="L2886" t="s">
        <v>327</v>
      </c>
    </row>
    <row r="2887" spans="1:12">
      <c r="A2887" t="s">
        <v>318</v>
      </c>
      <c r="B2887" t="s">
        <v>2363</v>
      </c>
      <c r="C2887" t="s">
        <v>2515</v>
      </c>
      <c r="D2887" s="28">
        <v>7600100062277</v>
      </c>
      <c r="E2887" s="29" t="s">
        <v>371</v>
      </c>
      <c r="F2887" s="29" t="s">
        <v>372</v>
      </c>
      <c r="G2887">
        <v>12</v>
      </c>
      <c r="H2887" t="s">
        <v>1051</v>
      </c>
      <c r="I2887" t="s">
        <v>98</v>
      </c>
      <c r="J2887" t="s">
        <v>185</v>
      </c>
      <c r="K2887" t="s">
        <v>1226</v>
      </c>
      <c r="L2887" t="s">
        <v>327</v>
      </c>
    </row>
    <row r="2888" spans="1:12">
      <c r="A2888" t="s">
        <v>318</v>
      </c>
      <c r="B2888" t="s">
        <v>2363</v>
      </c>
      <c r="C2888" t="s">
        <v>2516</v>
      </c>
      <c r="D2888" s="28">
        <v>7600100062798</v>
      </c>
      <c r="E2888" s="29" t="s">
        <v>371</v>
      </c>
      <c r="F2888" s="29" t="s">
        <v>372</v>
      </c>
      <c r="G2888">
        <v>11</v>
      </c>
      <c r="H2888" t="s">
        <v>1051</v>
      </c>
      <c r="I2888" t="s">
        <v>98</v>
      </c>
      <c r="J2888" t="s">
        <v>185</v>
      </c>
      <c r="K2888" t="s">
        <v>1226</v>
      </c>
      <c r="L2888" t="s">
        <v>327</v>
      </c>
    </row>
    <row r="2889" spans="1:12">
      <c r="A2889" t="s">
        <v>318</v>
      </c>
      <c r="B2889" t="s">
        <v>2363</v>
      </c>
      <c r="C2889" t="s">
        <v>889</v>
      </c>
      <c r="D2889" s="28">
        <v>7600100063119</v>
      </c>
      <c r="E2889" s="29" t="s">
        <v>371</v>
      </c>
      <c r="F2889" s="29" t="s">
        <v>372</v>
      </c>
      <c r="G2889">
        <v>9</v>
      </c>
      <c r="H2889" t="s">
        <v>1051</v>
      </c>
      <c r="I2889" t="s">
        <v>98</v>
      </c>
      <c r="J2889" t="s">
        <v>185</v>
      </c>
      <c r="K2889" t="s">
        <v>1226</v>
      </c>
      <c r="L2889" t="s">
        <v>327</v>
      </c>
    </row>
    <row r="2890" spans="1:12">
      <c r="A2890" t="s">
        <v>318</v>
      </c>
      <c r="B2890" t="s">
        <v>2363</v>
      </c>
      <c r="C2890" t="s">
        <v>1745</v>
      </c>
      <c r="D2890" s="28">
        <v>7600100063125</v>
      </c>
      <c r="E2890" s="29" t="s">
        <v>371</v>
      </c>
      <c r="F2890" s="29" t="s">
        <v>372</v>
      </c>
      <c r="G2890">
        <v>9</v>
      </c>
      <c r="H2890" t="s">
        <v>1051</v>
      </c>
      <c r="I2890" t="s">
        <v>98</v>
      </c>
      <c r="J2890" t="s">
        <v>185</v>
      </c>
      <c r="K2890" t="s">
        <v>1226</v>
      </c>
      <c r="L2890" t="s">
        <v>327</v>
      </c>
    </row>
    <row r="2891" spans="1:12">
      <c r="A2891" t="s">
        <v>318</v>
      </c>
      <c r="B2891" t="s">
        <v>2363</v>
      </c>
      <c r="C2891" t="s">
        <v>377</v>
      </c>
      <c r="D2891" s="28">
        <v>7600100063150</v>
      </c>
      <c r="E2891" s="29" t="s">
        <v>371</v>
      </c>
      <c r="F2891" s="29" t="s">
        <v>372</v>
      </c>
      <c r="G2891">
        <v>7</v>
      </c>
      <c r="H2891" t="s">
        <v>1051</v>
      </c>
      <c r="I2891" t="s">
        <v>98</v>
      </c>
      <c r="J2891" t="s">
        <v>185</v>
      </c>
      <c r="K2891" t="s">
        <v>1226</v>
      </c>
      <c r="L2891" t="s">
        <v>327</v>
      </c>
    </row>
    <row r="2892" spans="1:12">
      <c r="A2892" t="s">
        <v>318</v>
      </c>
      <c r="B2892" t="s">
        <v>2363</v>
      </c>
      <c r="C2892" t="s">
        <v>2517</v>
      </c>
      <c r="D2892" s="28">
        <v>7600100063172</v>
      </c>
      <c r="E2892" s="29" t="s">
        <v>371</v>
      </c>
      <c r="F2892" s="29" t="s">
        <v>372</v>
      </c>
      <c r="G2892">
        <v>8</v>
      </c>
      <c r="H2892" t="s">
        <v>1051</v>
      </c>
      <c r="I2892" t="s">
        <v>98</v>
      </c>
      <c r="J2892" t="s">
        <v>185</v>
      </c>
      <c r="K2892" t="s">
        <v>1226</v>
      </c>
      <c r="L2892" t="s">
        <v>327</v>
      </c>
    </row>
    <row r="2893" spans="1:12">
      <c r="A2893" t="s">
        <v>318</v>
      </c>
      <c r="B2893" t="s">
        <v>2363</v>
      </c>
      <c r="C2893" t="s">
        <v>2518</v>
      </c>
      <c r="D2893" s="28">
        <v>7600100063282</v>
      </c>
      <c r="E2893" s="29" t="s">
        <v>371</v>
      </c>
      <c r="F2893" s="29" t="s">
        <v>372</v>
      </c>
      <c r="G2893">
        <v>13</v>
      </c>
      <c r="H2893" t="s">
        <v>1051</v>
      </c>
      <c r="I2893" t="s">
        <v>45</v>
      </c>
      <c r="J2893" t="s">
        <v>185</v>
      </c>
      <c r="K2893" t="s">
        <v>1226</v>
      </c>
      <c r="L2893" t="s">
        <v>327</v>
      </c>
    </row>
    <row r="2894" spans="1:12">
      <c r="A2894" t="s">
        <v>318</v>
      </c>
      <c r="B2894" t="s">
        <v>2363</v>
      </c>
      <c r="C2894" t="s">
        <v>2440</v>
      </c>
      <c r="D2894" s="28">
        <v>7600100063616</v>
      </c>
      <c r="E2894" s="29" t="s">
        <v>441</v>
      </c>
      <c r="F2894" s="29" t="s">
        <v>372</v>
      </c>
      <c r="G2894">
        <v>12</v>
      </c>
      <c r="H2894" t="s">
        <v>1051</v>
      </c>
      <c r="I2894" t="s">
        <v>98</v>
      </c>
      <c r="J2894" t="s">
        <v>185</v>
      </c>
      <c r="K2894" t="s">
        <v>1226</v>
      </c>
      <c r="L2894" t="s">
        <v>327</v>
      </c>
    </row>
    <row r="2895" spans="1:12">
      <c r="A2895" t="s">
        <v>318</v>
      </c>
      <c r="B2895" t="s">
        <v>2363</v>
      </c>
      <c r="C2895" t="s">
        <v>2519</v>
      </c>
      <c r="D2895" s="28">
        <v>7600100063666</v>
      </c>
      <c r="E2895" s="29" t="s">
        <v>371</v>
      </c>
      <c r="F2895" s="29" t="s">
        <v>372</v>
      </c>
      <c r="G2895">
        <v>10</v>
      </c>
      <c r="H2895" t="s">
        <v>1051</v>
      </c>
      <c r="I2895" t="s">
        <v>98</v>
      </c>
      <c r="J2895" t="s">
        <v>185</v>
      </c>
      <c r="K2895" t="s">
        <v>1226</v>
      </c>
      <c r="L2895" t="s">
        <v>327</v>
      </c>
    </row>
    <row r="2896" spans="1:12">
      <c r="A2896" t="s">
        <v>318</v>
      </c>
      <c r="B2896" t="s">
        <v>2363</v>
      </c>
      <c r="C2896" t="s">
        <v>1676</v>
      </c>
      <c r="D2896" s="28">
        <v>7600100063713</v>
      </c>
      <c r="E2896" s="29" t="s">
        <v>1045</v>
      </c>
      <c r="F2896" s="29" t="s">
        <v>372</v>
      </c>
      <c r="G2896">
        <v>15</v>
      </c>
      <c r="H2896" t="s">
        <v>1051</v>
      </c>
      <c r="I2896" t="s">
        <v>98</v>
      </c>
      <c r="J2896" t="s">
        <v>185</v>
      </c>
      <c r="K2896" t="s">
        <v>1226</v>
      </c>
      <c r="L2896" t="s">
        <v>327</v>
      </c>
    </row>
    <row r="2897" spans="1:12">
      <c r="A2897" t="s">
        <v>318</v>
      </c>
      <c r="B2897" t="s">
        <v>2363</v>
      </c>
      <c r="C2897" t="s">
        <v>2520</v>
      </c>
      <c r="D2897" s="28">
        <v>7600100063717</v>
      </c>
      <c r="E2897" s="29" t="s">
        <v>1045</v>
      </c>
      <c r="F2897" s="29" t="s">
        <v>372</v>
      </c>
      <c r="G2897">
        <v>15</v>
      </c>
      <c r="H2897" t="s">
        <v>1051</v>
      </c>
      <c r="I2897" t="s">
        <v>98</v>
      </c>
      <c r="J2897" t="s">
        <v>185</v>
      </c>
      <c r="K2897" t="s">
        <v>1226</v>
      </c>
      <c r="L2897" t="s">
        <v>327</v>
      </c>
    </row>
    <row r="2898" spans="1:12">
      <c r="A2898" t="s">
        <v>318</v>
      </c>
      <c r="B2898" t="s">
        <v>2363</v>
      </c>
      <c r="C2898" t="s">
        <v>2521</v>
      </c>
      <c r="D2898" s="28">
        <v>7600100063733</v>
      </c>
      <c r="E2898" s="29" t="s">
        <v>1045</v>
      </c>
      <c r="F2898" s="29" t="s">
        <v>372</v>
      </c>
      <c r="G2898">
        <v>15</v>
      </c>
      <c r="H2898" t="s">
        <v>1051</v>
      </c>
      <c r="I2898" t="s">
        <v>98</v>
      </c>
      <c r="J2898" t="s">
        <v>185</v>
      </c>
      <c r="K2898" t="s">
        <v>1226</v>
      </c>
      <c r="L2898" t="s">
        <v>327</v>
      </c>
    </row>
    <row r="2899" spans="1:12">
      <c r="A2899" t="s">
        <v>318</v>
      </c>
      <c r="B2899" t="s">
        <v>2363</v>
      </c>
      <c r="C2899" t="s">
        <v>2441</v>
      </c>
      <c r="D2899" s="28">
        <v>7600100063735</v>
      </c>
      <c r="E2899" s="29" t="s">
        <v>441</v>
      </c>
      <c r="F2899" s="29" t="s">
        <v>372</v>
      </c>
      <c r="G2899">
        <v>12</v>
      </c>
      <c r="H2899" t="s">
        <v>1051</v>
      </c>
      <c r="I2899" t="s">
        <v>98</v>
      </c>
      <c r="J2899" t="s">
        <v>185</v>
      </c>
      <c r="K2899" t="s">
        <v>285</v>
      </c>
      <c r="L2899" t="s">
        <v>327</v>
      </c>
    </row>
    <row r="2900" spans="1:12">
      <c r="A2900" t="s">
        <v>318</v>
      </c>
      <c r="B2900" t="s">
        <v>2363</v>
      </c>
      <c r="C2900" t="s">
        <v>2522</v>
      </c>
      <c r="D2900" s="28">
        <v>7600100064169</v>
      </c>
      <c r="E2900" s="29" t="s">
        <v>371</v>
      </c>
      <c r="F2900" s="29" t="s">
        <v>372</v>
      </c>
      <c r="G2900">
        <v>11</v>
      </c>
      <c r="H2900" t="s">
        <v>1051</v>
      </c>
      <c r="I2900" t="s">
        <v>98</v>
      </c>
      <c r="J2900" t="s">
        <v>185</v>
      </c>
      <c r="K2900" t="s">
        <v>1226</v>
      </c>
      <c r="L2900" t="s">
        <v>327</v>
      </c>
    </row>
    <row r="2901" spans="1:12">
      <c r="A2901" t="s">
        <v>318</v>
      </c>
      <c r="B2901" t="s">
        <v>2363</v>
      </c>
      <c r="C2901" t="s">
        <v>1428</v>
      </c>
      <c r="D2901" s="28">
        <v>7600100064261</v>
      </c>
      <c r="E2901" s="29" t="s">
        <v>371</v>
      </c>
      <c r="F2901" s="29" t="s">
        <v>372</v>
      </c>
      <c r="G2901">
        <v>10</v>
      </c>
      <c r="H2901" t="s">
        <v>1051</v>
      </c>
      <c r="I2901" t="s">
        <v>98</v>
      </c>
      <c r="J2901" t="s">
        <v>185</v>
      </c>
      <c r="K2901" t="s">
        <v>1226</v>
      </c>
      <c r="L2901" t="s">
        <v>327</v>
      </c>
    </row>
    <row r="2902" spans="1:12">
      <c r="A2902" t="s">
        <v>318</v>
      </c>
      <c r="B2902" t="s">
        <v>2363</v>
      </c>
      <c r="C2902" t="s">
        <v>348</v>
      </c>
      <c r="D2902" s="28">
        <v>7600100064266</v>
      </c>
      <c r="E2902" s="29" t="s">
        <v>371</v>
      </c>
      <c r="F2902" s="29" t="s">
        <v>372</v>
      </c>
      <c r="G2902">
        <v>10</v>
      </c>
      <c r="H2902" t="s">
        <v>1051</v>
      </c>
      <c r="I2902" t="s">
        <v>45</v>
      </c>
      <c r="J2902" t="s">
        <v>185</v>
      </c>
      <c r="K2902" t="s">
        <v>1226</v>
      </c>
      <c r="L2902" t="s">
        <v>327</v>
      </c>
    </row>
    <row r="2903" spans="1:12">
      <c r="A2903" t="s">
        <v>318</v>
      </c>
      <c r="B2903" t="s">
        <v>2363</v>
      </c>
      <c r="C2903" t="s">
        <v>411</v>
      </c>
      <c r="D2903" s="28">
        <v>7600100064369</v>
      </c>
      <c r="E2903" s="29" t="s">
        <v>1045</v>
      </c>
      <c r="F2903" s="29" t="s">
        <v>372</v>
      </c>
      <c r="G2903">
        <v>13</v>
      </c>
      <c r="H2903" t="s">
        <v>1051</v>
      </c>
      <c r="I2903" t="s">
        <v>45</v>
      </c>
      <c r="J2903" t="s">
        <v>185</v>
      </c>
      <c r="K2903" t="s">
        <v>1226</v>
      </c>
      <c r="L2903" t="s">
        <v>327</v>
      </c>
    </row>
    <row r="2904" spans="1:12">
      <c r="A2904" t="s">
        <v>318</v>
      </c>
      <c r="B2904" t="s">
        <v>2363</v>
      </c>
      <c r="C2904" t="s">
        <v>454</v>
      </c>
      <c r="D2904" s="28">
        <v>7600100064459</v>
      </c>
      <c r="E2904" s="29" t="s">
        <v>1045</v>
      </c>
      <c r="F2904" s="29" t="s">
        <v>372</v>
      </c>
      <c r="G2904">
        <v>11</v>
      </c>
      <c r="H2904" t="s">
        <v>1051</v>
      </c>
      <c r="I2904" t="s">
        <v>98</v>
      </c>
      <c r="J2904" t="s">
        <v>185</v>
      </c>
      <c r="K2904" t="s">
        <v>1226</v>
      </c>
      <c r="L2904" t="s">
        <v>327</v>
      </c>
    </row>
    <row r="2905" spans="1:12">
      <c r="A2905" t="s">
        <v>318</v>
      </c>
      <c r="B2905" t="s">
        <v>2363</v>
      </c>
      <c r="C2905" t="s">
        <v>2523</v>
      </c>
      <c r="D2905" s="28">
        <v>7600100064487</v>
      </c>
      <c r="E2905" s="29" t="s">
        <v>1045</v>
      </c>
      <c r="F2905" s="29" t="s">
        <v>372</v>
      </c>
      <c r="G2905">
        <v>14</v>
      </c>
      <c r="H2905" t="s">
        <v>1051</v>
      </c>
      <c r="I2905" t="s">
        <v>45</v>
      </c>
      <c r="J2905" t="s">
        <v>185</v>
      </c>
      <c r="K2905" t="s">
        <v>1226</v>
      </c>
      <c r="L2905" t="s">
        <v>327</v>
      </c>
    </row>
    <row r="2906" spans="1:12">
      <c r="A2906" t="s">
        <v>318</v>
      </c>
      <c r="B2906" t="s">
        <v>2363</v>
      </c>
      <c r="C2906" t="s">
        <v>2524</v>
      </c>
      <c r="D2906" s="28">
        <v>7600100064493</v>
      </c>
      <c r="E2906" s="29" t="s">
        <v>1045</v>
      </c>
      <c r="F2906" s="29" t="s">
        <v>372</v>
      </c>
      <c r="G2906">
        <v>15</v>
      </c>
      <c r="H2906" t="s">
        <v>1051</v>
      </c>
      <c r="I2906" t="s">
        <v>45</v>
      </c>
      <c r="J2906" t="s">
        <v>185</v>
      </c>
      <c r="K2906" t="s">
        <v>1226</v>
      </c>
      <c r="L2906" t="s">
        <v>327</v>
      </c>
    </row>
    <row r="2907" spans="1:12">
      <c r="A2907" t="s">
        <v>318</v>
      </c>
      <c r="B2907" t="s">
        <v>2363</v>
      </c>
      <c r="C2907" t="s">
        <v>2525</v>
      </c>
      <c r="D2907" s="28">
        <v>7600100064498</v>
      </c>
      <c r="E2907" s="29" t="s">
        <v>1045</v>
      </c>
      <c r="F2907" s="29" t="s">
        <v>372</v>
      </c>
      <c r="G2907">
        <v>11</v>
      </c>
      <c r="H2907" t="s">
        <v>1051</v>
      </c>
      <c r="I2907" t="s">
        <v>98</v>
      </c>
      <c r="J2907" t="s">
        <v>185</v>
      </c>
      <c r="K2907" t="s">
        <v>1226</v>
      </c>
      <c r="L2907" t="s">
        <v>327</v>
      </c>
    </row>
    <row r="2908" spans="1:12">
      <c r="A2908" t="s">
        <v>318</v>
      </c>
      <c r="B2908" t="s">
        <v>2363</v>
      </c>
      <c r="C2908" t="s">
        <v>2526</v>
      </c>
      <c r="D2908" s="28">
        <v>7600100065917</v>
      </c>
      <c r="E2908" s="29" t="s">
        <v>371</v>
      </c>
      <c r="F2908" s="29" t="s">
        <v>372</v>
      </c>
      <c r="G2908">
        <v>11</v>
      </c>
      <c r="H2908" t="s">
        <v>1051</v>
      </c>
      <c r="I2908" t="s">
        <v>98</v>
      </c>
      <c r="J2908" t="s">
        <v>185</v>
      </c>
      <c r="K2908" t="s">
        <v>1226</v>
      </c>
      <c r="L2908" t="s">
        <v>327</v>
      </c>
    </row>
    <row r="2909" spans="1:12">
      <c r="A2909" t="s">
        <v>318</v>
      </c>
      <c r="B2909" t="s">
        <v>2363</v>
      </c>
      <c r="C2909" t="s">
        <v>2527</v>
      </c>
      <c r="D2909" s="28">
        <v>7600100067423</v>
      </c>
      <c r="E2909" s="29" t="s">
        <v>371</v>
      </c>
      <c r="F2909" s="29" t="s">
        <v>372</v>
      </c>
      <c r="G2909">
        <v>12</v>
      </c>
      <c r="H2909" t="s">
        <v>1051</v>
      </c>
      <c r="I2909" t="s">
        <v>98</v>
      </c>
      <c r="J2909" t="s">
        <v>185</v>
      </c>
      <c r="K2909" t="s">
        <v>1226</v>
      </c>
      <c r="L2909" t="s">
        <v>327</v>
      </c>
    </row>
    <row r="2910" spans="1:12">
      <c r="A2910" t="s">
        <v>318</v>
      </c>
      <c r="B2910" t="s">
        <v>2363</v>
      </c>
      <c r="C2910" t="s">
        <v>2528</v>
      </c>
      <c r="D2910" s="28">
        <v>7600100079066</v>
      </c>
      <c r="E2910" s="29" t="s">
        <v>368</v>
      </c>
      <c r="F2910" s="29" t="s">
        <v>364</v>
      </c>
      <c r="G2910">
        <v>456</v>
      </c>
      <c r="H2910" t="s">
        <v>1051</v>
      </c>
      <c r="I2910" t="s">
        <v>45</v>
      </c>
      <c r="J2910" t="s">
        <v>185</v>
      </c>
      <c r="K2910" t="s">
        <v>337</v>
      </c>
      <c r="L2910" t="s">
        <v>327</v>
      </c>
    </row>
    <row r="2911" spans="1:12">
      <c r="A2911" t="s">
        <v>318</v>
      </c>
      <c r="B2911" t="s">
        <v>2363</v>
      </c>
      <c r="C2911" t="s">
        <v>2529</v>
      </c>
      <c r="D2911" s="28">
        <v>7600100030891</v>
      </c>
      <c r="E2911" s="29" t="s">
        <v>987</v>
      </c>
      <c r="F2911" s="29" t="s">
        <v>364</v>
      </c>
      <c r="G2911">
        <v>155</v>
      </c>
      <c r="H2911" t="s">
        <v>1051</v>
      </c>
      <c r="I2911" t="s">
        <v>98</v>
      </c>
      <c r="J2911" t="s">
        <v>185</v>
      </c>
      <c r="K2911" t="s">
        <v>337</v>
      </c>
      <c r="L2911" t="s">
        <v>327</v>
      </c>
    </row>
    <row r="2912" spans="1:12">
      <c r="A2912" t="s">
        <v>318</v>
      </c>
      <c r="B2912" t="s">
        <v>2363</v>
      </c>
      <c r="C2912" t="s">
        <v>2530</v>
      </c>
      <c r="D2912" s="28">
        <v>7600100076993</v>
      </c>
      <c r="E2912" s="29" t="s">
        <v>987</v>
      </c>
      <c r="F2912" s="29" t="s">
        <v>364</v>
      </c>
      <c r="G2912">
        <v>245</v>
      </c>
      <c r="H2912" t="s">
        <v>1051</v>
      </c>
      <c r="I2912" t="s">
        <v>98</v>
      </c>
      <c r="J2912" t="s">
        <v>185</v>
      </c>
      <c r="K2912" t="s">
        <v>337</v>
      </c>
      <c r="L2912" t="s">
        <v>327</v>
      </c>
    </row>
    <row r="2913" spans="1:12">
      <c r="A2913" t="s">
        <v>318</v>
      </c>
      <c r="B2913" t="s">
        <v>2363</v>
      </c>
      <c r="C2913" t="s">
        <v>2531</v>
      </c>
      <c r="D2913" s="28">
        <v>7600100079041</v>
      </c>
      <c r="E2913" s="29" t="s">
        <v>368</v>
      </c>
      <c r="F2913" s="29" t="s">
        <v>364</v>
      </c>
      <c r="G2913">
        <v>190</v>
      </c>
      <c r="H2913" t="s">
        <v>1051</v>
      </c>
      <c r="I2913" t="s">
        <v>45</v>
      </c>
      <c r="J2913" t="s">
        <v>185</v>
      </c>
      <c r="K2913" t="s">
        <v>337</v>
      </c>
      <c r="L2913" t="s">
        <v>327</v>
      </c>
    </row>
    <row r="2914" spans="1:12">
      <c r="A2914" t="s">
        <v>318</v>
      </c>
      <c r="B2914" t="s">
        <v>2363</v>
      </c>
      <c r="C2914" t="s">
        <v>2532</v>
      </c>
      <c r="D2914" s="28">
        <v>7600100114790</v>
      </c>
      <c r="E2914" s="29" t="s">
        <v>368</v>
      </c>
      <c r="F2914" s="29" t="s">
        <v>364</v>
      </c>
      <c r="G2914">
        <v>135</v>
      </c>
      <c r="H2914" t="s">
        <v>1051</v>
      </c>
      <c r="I2914" t="s">
        <v>45</v>
      </c>
      <c r="J2914" t="s">
        <v>185</v>
      </c>
      <c r="K2914" t="s">
        <v>337</v>
      </c>
      <c r="L2914" t="s">
        <v>327</v>
      </c>
    </row>
    <row r="2915" spans="1:12">
      <c r="A2915" t="s">
        <v>318</v>
      </c>
      <c r="B2915" t="s">
        <v>2533</v>
      </c>
      <c r="C2915" t="s">
        <v>454</v>
      </c>
      <c r="D2915" s="28">
        <v>7689200012652</v>
      </c>
      <c r="E2915" s="29" t="s">
        <v>371</v>
      </c>
      <c r="F2915" s="29" t="s">
        <v>372</v>
      </c>
      <c r="G2915">
        <v>12</v>
      </c>
      <c r="H2915" t="s">
        <v>323</v>
      </c>
      <c r="I2915" t="s">
        <v>45</v>
      </c>
      <c r="J2915" t="s">
        <v>239</v>
      </c>
      <c r="K2915" t="s">
        <v>285</v>
      </c>
      <c r="L2915" t="s">
        <v>327</v>
      </c>
    </row>
    <row r="2916" spans="1:12">
      <c r="A2916" t="s">
        <v>318</v>
      </c>
      <c r="B2916" t="s">
        <v>2533</v>
      </c>
      <c r="C2916" t="s">
        <v>2534</v>
      </c>
      <c r="D2916" s="28">
        <v>7689200018796</v>
      </c>
      <c r="E2916" s="29" t="s">
        <v>371</v>
      </c>
      <c r="F2916" s="29" t="s">
        <v>372</v>
      </c>
      <c r="G2916">
        <v>12</v>
      </c>
      <c r="H2916" t="s">
        <v>323</v>
      </c>
      <c r="I2916" t="s">
        <v>45</v>
      </c>
      <c r="J2916" t="s">
        <v>239</v>
      </c>
      <c r="K2916" t="s">
        <v>285</v>
      </c>
      <c r="L2916" t="s">
        <v>327</v>
      </c>
    </row>
    <row r="2917" spans="1:12">
      <c r="A2917" t="s">
        <v>318</v>
      </c>
      <c r="B2917" t="s">
        <v>2533</v>
      </c>
      <c r="C2917" t="s">
        <v>2535</v>
      </c>
      <c r="D2917" s="28">
        <v>7689200018802</v>
      </c>
      <c r="E2917" s="29" t="s">
        <v>371</v>
      </c>
      <c r="F2917" s="29" t="s">
        <v>372</v>
      </c>
      <c r="G2917">
        <v>13</v>
      </c>
      <c r="H2917" t="s">
        <v>323</v>
      </c>
      <c r="I2917" t="s">
        <v>45</v>
      </c>
      <c r="J2917" t="s">
        <v>239</v>
      </c>
      <c r="K2917" t="s">
        <v>285</v>
      </c>
      <c r="L2917" t="s">
        <v>327</v>
      </c>
    </row>
    <row r="2918" spans="1:12">
      <c r="A2918" t="s">
        <v>318</v>
      </c>
      <c r="B2918" t="s">
        <v>2533</v>
      </c>
      <c r="C2918" t="s">
        <v>2536</v>
      </c>
      <c r="D2918" s="28">
        <v>7689200018809</v>
      </c>
      <c r="E2918" s="29" t="s">
        <v>371</v>
      </c>
      <c r="F2918" s="29" t="s">
        <v>372</v>
      </c>
      <c r="G2918">
        <v>12</v>
      </c>
      <c r="H2918" t="s">
        <v>323</v>
      </c>
      <c r="I2918" t="s">
        <v>45</v>
      </c>
      <c r="J2918" t="s">
        <v>239</v>
      </c>
      <c r="K2918" t="s">
        <v>285</v>
      </c>
      <c r="L2918" t="s">
        <v>327</v>
      </c>
    </row>
    <row r="2919" spans="1:12">
      <c r="A2919" t="s">
        <v>318</v>
      </c>
      <c r="B2919" t="s">
        <v>2533</v>
      </c>
      <c r="C2919" t="s">
        <v>2537</v>
      </c>
      <c r="D2919" s="28">
        <v>7689200018812</v>
      </c>
      <c r="E2919" s="29" t="s">
        <v>371</v>
      </c>
      <c r="F2919" s="29" t="s">
        <v>372</v>
      </c>
      <c r="G2919">
        <v>12</v>
      </c>
      <c r="H2919" t="s">
        <v>323</v>
      </c>
      <c r="I2919" t="s">
        <v>45</v>
      </c>
      <c r="J2919" t="s">
        <v>239</v>
      </c>
      <c r="K2919" t="s">
        <v>285</v>
      </c>
      <c r="L2919" t="s">
        <v>327</v>
      </c>
    </row>
    <row r="2920" spans="1:12">
      <c r="A2920" t="s">
        <v>318</v>
      </c>
      <c r="B2920" t="s">
        <v>2533</v>
      </c>
      <c r="C2920" t="s">
        <v>511</v>
      </c>
      <c r="D2920" s="28">
        <v>7689200018818</v>
      </c>
      <c r="E2920" s="29" t="s">
        <v>371</v>
      </c>
      <c r="F2920" s="29" t="s">
        <v>372</v>
      </c>
      <c r="G2920">
        <v>12</v>
      </c>
      <c r="H2920" t="s">
        <v>323</v>
      </c>
      <c r="I2920" t="s">
        <v>45</v>
      </c>
      <c r="J2920" t="s">
        <v>239</v>
      </c>
      <c r="K2920" t="s">
        <v>285</v>
      </c>
      <c r="L2920" t="s">
        <v>327</v>
      </c>
    </row>
    <row r="2921" spans="1:12">
      <c r="A2921" t="s">
        <v>318</v>
      </c>
      <c r="B2921" t="s">
        <v>2533</v>
      </c>
      <c r="C2921" t="s">
        <v>389</v>
      </c>
      <c r="D2921" s="28">
        <v>7689200041447</v>
      </c>
      <c r="E2921" s="29" t="s">
        <v>371</v>
      </c>
      <c r="F2921" s="29" t="s">
        <v>372</v>
      </c>
      <c r="G2921">
        <v>12</v>
      </c>
      <c r="H2921" t="s">
        <v>323</v>
      </c>
      <c r="I2921" t="s">
        <v>45</v>
      </c>
      <c r="J2921" t="s">
        <v>239</v>
      </c>
      <c r="K2921" t="s">
        <v>285</v>
      </c>
      <c r="L2921" t="s">
        <v>327</v>
      </c>
    </row>
    <row r="2922" spans="1:12">
      <c r="A2922" t="s">
        <v>318</v>
      </c>
      <c r="B2922" t="s">
        <v>2533</v>
      </c>
      <c r="C2922" t="s">
        <v>377</v>
      </c>
      <c r="D2922" s="28">
        <v>7689200041660</v>
      </c>
      <c r="E2922" s="29" t="s">
        <v>371</v>
      </c>
      <c r="F2922" s="29" t="s">
        <v>372</v>
      </c>
      <c r="G2922">
        <v>12</v>
      </c>
      <c r="H2922" t="s">
        <v>323</v>
      </c>
      <c r="I2922" t="s">
        <v>45</v>
      </c>
      <c r="J2922" t="s">
        <v>239</v>
      </c>
      <c r="K2922" t="s">
        <v>285</v>
      </c>
      <c r="L2922" t="s">
        <v>327</v>
      </c>
    </row>
    <row r="2923" spans="1:12">
      <c r="A2923" t="s">
        <v>318</v>
      </c>
      <c r="B2923" t="s">
        <v>2533</v>
      </c>
      <c r="C2923" t="s">
        <v>417</v>
      </c>
      <c r="D2923" s="28">
        <v>7689200044880</v>
      </c>
      <c r="E2923" s="29" t="s">
        <v>371</v>
      </c>
      <c r="F2923" s="29" t="s">
        <v>372</v>
      </c>
      <c r="G2923">
        <v>12</v>
      </c>
      <c r="H2923" t="s">
        <v>323</v>
      </c>
      <c r="I2923" t="s">
        <v>45</v>
      </c>
      <c r="J2923" t="s">
        <v>239</v>
      </c>
      <c r="K2923" t="s">
        <v>285</v>
      </c>
      <c r="L2923" t="s">
        <v>327</v>
      </c>
    </row>
    <row r="2924" spans="1:12">
      <c r="A2924" t="s">
        <v>318</v>
      </c>
      <c r="B2924" t="s">
        <v>2533</v>
      </c>
      <c r="C2924" t="s">
        <v>2538</v>
      </c>
      <c r="D2924" s="28">
        <v>7689200044895</v>
      </c>
      <c r="E2924" s="29" t="s">
        <v>371</v>
      </c>
      <c r="F2924" s="29" t="s">
        <v>372</v>
      </c>
      <c r="G2924">
        <v>12</v>
      </c>
      <c r="H2924" t="s">
        <v>323</v>
      </c>
      <c r="I2924" t="s">
        <v>45</v>
      </c>
      <c r="J2924" t="s">
        <v>239</v>
      </c>
      <c r="K2924" t="s">
        <v>285</v>
      </c>
      <c r="L2924" t="s">
        <v>327</v>
      </c>
    </row>
    <row r="2925" spans="1:12">
      <c r="A2925" t="s">
        <v>318</v>
      </c>
      <c r="B2925" t="s">
        <v>2533</v>
      </c>
      <c r="C2925" t="s">
        <v>1596</v>
      </c>
      <c r="D2925" s="28">
        <v>7689200044906</v>
      </c>
      <c r="E2925" s="29" t="s">
        <v>371</v>
      </c>
      <c r="F2925" s="29" t="s">
        <v>372</v>
      </c>
      <c r="G2925">
        <v>12</v>
      </c>
      <c r="H2925" t="s">
        <v>323</v>
      </c>
      <c r="I2925" t="s">
        <v>45</v>
      </c>
      <c r="J2925" t="s">
        <v>239</v>
      </c>
      <c r="K2925" t="s">
        <v>285</v>
      </c>
      <c r="L2925" t="s">
        <v>327</v>
      </c>
    </row>
    <row r="2926" spans="1:12">
      <c r="A2926" t="s">
        <v>318</v>
      </c>
      <c r="B2926" t="s">
        <v>2533</v>
      </c>
      <c r="C2926" t="s">
        <v>951</v>
      </c>
      <c r="D2926" s="28">
        <v>7689200044913</v>
      </c>
      <c r="E2926" s="29" t="s">
        <v>371</v>
      </c>
      <c r="F2926" s="29" t="s">
        <v>372</v>
      </c>
      <c r="G2926">
        <v>12</v>
      </c>
      <c r="H2926" t="s">
        <v>323</v>
      </c>
      <c r="I2926" t="s">
        <v>45</v>
      </c>
      <c r="J2926" t="s">
        <v>239</v>
      </c>
      <c r="K2926" t="s">
        <v>285</v>
      </c>
      <c r="L2926" t="s">
        <v>327</v>
      </c>
    </row>
    <row r="2927" spans="1:12">
      <c r="A2927" t="s">
        <v>318</v>
      </c>
      <c r="B2927" t="s">
        <v>2533</v>
      </c>
      <c r="C2927" t="s">
        <v>711</v>
      </c>
      <c r="D2927" s="28">
        <v>7689200044921</v>
      </c>
      <c r="E2927" s="29" t="s">
        <v>371</v>
      </c>
      <c r="F2927" s="29" t="s">
        <v>372</v>
      </c>
      <c r="G2927">
        <v>12</v>
      </c>
      <c r="H2927" t="s">
        <v>323</v>
      </c>
      <c r="I2927" t="s">
        <v>45</v>
      </c>
      <c r="J2927" t="s">
        <v>239</v>
      </c>
      <c r="K2927" t="s">
        <v>285</v>
      </c>
      <c r="L2927" t="s">
        <v>327</v>
      </c>
    </row>
    <row r="2928" spans="1:12">
      <c r="A2928" t="s">
        <v>318</v>
      </c>
      <c r="B2928" t="s">
        <v>2533</v>
      </c>
      <c r="C2928" t="s">
        <v>602</v>
      </c>
      <c r="D2928" s="28">
        <v>7689200044930</v>
      </c>
      <c r="E2928" s="29" t="s">
        <v>371</v>
      </c>
      <c r="F2928" s="29" t="s">
        <v>372</v>
      </c>
      <c r="G2928">
        <v>12</v>
      </c>
      <c r="H2928" t="s">
        <v>323</v>
      </c>
      <c r="I2928" t="s">
        <v>45</v>
      </c>
      <c r="J2928" t="s">
        <v>239</v>
      </c>
      <c r="K2928" t="s">
        <v>285</v>
      </c>
      <c r="L2928" t="s">
        <v>327</v>
      </c>
    </row>
    <row r="2929" spans="1:12">
      <c r="A2929" t="s">
        <v>318</v>
      </c>
      <c r="B2929" t="s">
        <v>2533</v>
      </c>
      <c r="C2929" t="s">
        <v>2539</v>
      </c>
      <c r="D2929" s="28">
        <v>7689200044935</v>
      </c>
      <c r="E2929" s="29" t="s">
        <v>371</v>
      </c>
      <c r="F2929" s="29" t="s">
        <v>372</v>
      </c>
      <c r="G2929">
        <v>12</v>
      </c>
      <c r="H2929" t="s">
        <v>323</v>
      </c>
      <c r="I2929" t="s">
        <v>45</v>
      </c>
      <c r="J2929" t="s">
        <v>239</v>
      </c>
      <c r="K2929" t="s">
        <v>1226</v>
      </c>
      <c r="L2929" t="s">
        <v>327</v>
      </c>
    </row>
    <row r="2930" spans="1:12">
      <c r="A2930" t="s">
        <v>318</v>
      </c>
      <c r="B2930" t="s">
        <v>2533</v>
      </c>
      <c r="C2930" t="s">
        <v>2540</v>
      </c>
      <c r="D2930" s="28">
        <v>7689200044940</v>
      </c>
      <c r="E2930" s="29" t="s">
        <v>371</v>
      </c>
      <c r="F2930" s="29" t="s">
        <v>372</v>
      </c>
      <c r="G2930">
        <v>12</v>
      </c>
      <c r="H2930" t="s">
        <v>323</v>
      </c>
      <c r="I2930" t="s">
        <v>45</v>
      </c>
      <c r="J2930" t="s">
        <v>239</v>
      </c>
      <c r="K2930" t="s">
        <v>285</v>
      </c>
      <c r="L2930" t="s">
        <v>327</v>
      </c>
    </row>
    <row r="2931" spans="1:12">
      <c r="A2931" t="s">
        <v>318</v>
      </c>
      <c r="B2931" t="s">
        <v>2533</v>
      </c>
      <c r="C2931" t="s">
        <v>383</v>
      </c>
      <c r="D2931" s="28">
        <v>7689200044942</v>
      </c>
      <c r="E2931" s="29" t="s">
        <v>371</v>
      </c>
      <c r="F2931" s="29" t="s">
        <v>372</v>
      </c>
      <c r="G2931">
        <v>12</v>
      </c>
      <c r="H2931" t="s">
        <v>323</v>
      </c>
      <c r="I2931" t="s">
        <v>45</v>
      </c>
      <c r="J2931" t="s">
        <v>239</v>
      </c>
      <c r="K2931" t="s">
        <v>285</v>
      </c>
      <c r="L2931" t="s">
        <v>327</v>
      </c>
    </row>
    <row r="2932" spans="1:12">
      <c r="A2932" t="s">
        <v>318</v>
      </c>
      <c r="B2932" t="s">
        <v>2533</v>
      </c>
      <c r="C2932" t="s">
        <v>1028</v>
      </c>
      <c r="D2932" s="28">
        <v>7689200044951</v>
      </c>
      <c r="E2932" s="29" t="s">
        <v>371</v>
      </c>
      <c r="F2932" s="29" t="s">
        <v>372</v>
      </c>
      <c r="G2932">
        <v>12</v>
      </c>
      <c r="H2932" t="s">
        <v>323</v>
      </c>
      <c r="I2932" t="s">
        <v>45</v>
      </c>
      <c r="J2932" t="s">
        <v>239</v>
      </c>
      <c r="K2932" t="s">
        <v>285</v>
      </c>
      <c r="L2932" t="s">
        <v>327</v>
      </c>
    </row>
    <row r="2933" spans="1:12">
      <c r="A2933" t="s">
        <v>318</v>
      </c>
      <c r="B2933" t="s">
        <v>2533</v>
      </c>
      <c r="C2933" t="s">
        <v>387</v>
      </c>
      <c r="D2933" s="28">
        <v>7689200044957</v>
      </c>
      <c r="E2933" s="29" t="s">
        <v>371</v>
      </c>
      <c r="F2933" s="29" t="s">
        <v>372</v>
      </c>
      <c r="G2933">
        <v>12</v>
      </c>
      <c r="H2933" t="s">
        <v>323</v>
      </c>
      <c r="I2933" t="s">
        <v>45</v>
      </c>
      <c r="J2933" t="s">
        <v>239</v>
      </c>
      <c r="K2933" t="s">
        <v>285</v>
      </c>
      <c r="L2933" t="s">
        <v>327</v>
      </c>
    </row>
    <row r="2934" spans="1:12">
      <c r="A2934" t="s">
        <v>318</v>
      </c>
      <c r="B2934" t="s">
        <v>2533</v>
      </c>
      <c r="C2934" t="s">
        <v>1635</v>
      </c>
      <c r="D2934" s="28">
        <v>7689200044959</v>
      </c>
      <c r="E2934" s="29" t="s">
        <v>371</v>
      </c>
      <c r="F2934" s="29" t="s">
        <v>372</v>
      </c>
      <c r="G2934">
        <v>12</v>
      </c>
      <c r="H2934" t="s">
        <v>323</v>
      </c>
      <c r="I2934" t="s">
        <v>45</v>
      </c>
      <c r="J2934" t="s">
        <v>239</v>
      </c>
      <c r="K2934" t="s">
        <v>285</v>
      </c>
      <c r="L2934" t="s">
        <v>327</v>
      </c>
    </row>
    <row r="2935" spans="1:12">
      <c r="A2935" t="s">
        <v>318</v>
      </c>
      <c r="B2935" t="s">
        <v>2533</v>
      </c>
      <c r="C2935" t="s">
        <v>2174</v>
      </c>
      <c r="D2935" s="28">
        <v>7689200044962</v>
      </c>
      <c r="E2935" s="29" t="s">
        <v>371</v>
      </c>
      <c r="F2935" s="29" t="s">
        <v>372</v>
      </c>
      <c r="G2935">
        <v>12</v>
      </c>
      <c r="H2935" t="s">
        <v>323</v>
      </c>
      <c r="I2935" t="s">
        <v>45</v>
      </c>
      <c r="J2935" t="s">
        <v>239</v>
      </c>
      <c r="K2935" t="s">
        <v>285</v>
      </c>
      <c r="L2935" t="s">
        <v>327</v>
      </c>
    </row>
    <row r="2936" spans="1:12">
      <c r="A2936" t="s">
        <v>318</v>
      </c>
      <c r="B2936" t="s">
        <v>2533</v>
      </c>
      <c r="C2936" t="s">
        <v>2411</v>
      </c>
      <c r="D2936" s="28">
        <v>7689200045011</v>
      </c>
      <c r="E2936" s="29" t="s">
        <v>371</v>
      </c>
      <c r="F2936" s="29" t="s">
        <v>372</v>
      </c>
      <c r="G2936">
        <v>12</v>
      </c>
      <c r="H2936" t="s">
        <v>323</v>
      </c>
      <c r="I2936" t="s">
        <v>45</v>
      </c>
      <c r="J2936" t="s">
        <v>239</v>
      </c>
      <c r="K2936" t="s">
        <v>285</v>
      </c>
      <c r="L2936" t="s">
        <v>327</v>
      </c>
    </row>
    <row r="2937" spans="1:12">
      <c r="A2937" t="s">
        <v>318</v>
      </c>
      <c r="B2937" t="s">
        <v>2533</v>
      </c>
      <c r="C2937" t="s">
        <v>1410</v>
      </c>
      <c r="D2937" s="28">
        <v>7689200102050</v>
      </c>
      <c r="E2937" s="29" t="s">
        <v>371</v>
      </c>
      <c r="F2937" s="29" t="s">
        <v>372</v>
      </c>
      <c r="G2937">
        <v>12</v>
      </c>
      <c r="H2937" t="s">
        <v>323</v>
      </c>
      <c r="I2937" t="s">
        <v>45</v>
      </c>
      <c r="J2937" t="s">
        <v>239</v>
      </c>
      <c r="K2937" t="s">
        <v>285</v>
      </c>
      <c r="L2937" t="s">
        <v>327</v>
      </c>
    </row>
    <row r="2938" spans="1:12">
      <c r="A2938" t="s">
        <v>318</v>
      </c>
      <c r="B2938" t="s">
        <v>2533</v>
      </c>
      <c r="C2938" t="s">
        <v>2541</v>
      </c>
      <c r="D2938" s="28">
        <v>7689200102069</v>
      </c>
      <c r="E2938" s="29" t="s">
        <v>371</v>
      </c>
      <c r="F2938" s="29" t="s">
        <v>372</v>
      </c>
      <c r="G2938">
        <v>12</v>
      </c>
      <c r="H2938" t="s">
        <v>323</v>
      </c>
      <c r="I2938" t="s">
        <v>45</v>
      </c>
      <c r="J2938" t="s">
        <v>239</v>
      </c>
      <c r="K2938" t="s">
        <v>285</v>
      </c>
      <c r="L2938" t="s">
        <v>327</v>
      </c>
    </row>
    <row r="2939" spans="1:12">
      <c r="A2939" t="s">
        <v>318</v>
      </c>
      <c r="B2939" t="s">
        <v>2533</v>
      </c>
      <c r="C2939" t="s">
        <v>377</v>
      </c>
      <c r="D2939" s="28">
        <v>7689200019650</v>
      </c>
      <c r="E2939" s="29" t="s">
        <v>371</v>
      </c>
      <c r="F2939" s="29" t="s">
        <v>372</v>
      </c>
      <c r="G2939">
        <v>12</v>
      </c>
      <c r="H2939" t="s">
        <v>323</v>
      </c>
      <c r="I2939" t="s">
        <v>45</v>
      </c>
      <c r="J2939" t="s">
        <v>239</v>
      </c>
      <c r="K2939" t="s">
        <v>285</v>
      </c>
      <c r="L2939" t="s">
        <v>327</v>
      </c>
    </row>
    <row r="2940" spans="1:12">
      <c r="A2940" t="s">
        <v>318</v>
      </c>
      <c r="B2940" t="s">
        <v>2533</v>
      </c>
      <c r="C2940" t="s">
        <v>920</v>
      </c>
      <c r="D2940" s="28">
        <v>7689200022809</v>
      </c>
      <c r="E2940" s="29" t="s">
        <v>371</v>
      </c>
      <c r="F2940" s="29" t="s">
        <v>372</v>
      </c>
      <c r="G2940">
        <v>12</v>
      </c>
      <c r="H2940" t="s">
        <v>323</v>
      </c>
      <c r="I2940" t="s">
        <v>45</v>
      </c>
      <c r="J2940" t="s">
        <v>239</v>
      </c>
      <c r="K2940" t="s">
        <v>1226</v>
      </c>
      <c r="L2940" t="s">
        <v>327</v>
      </c>
    </row>
    <row r="2941" spans="1:12">
      <c r="A2941" t="s">
        <v>318</v>
      </c>
      <c r="B2941" t="s">
        <v>2533</v>
      </c>
      <c r="C2941" t="s">
        <v>348</v>
      </c>
      <c r="D2941" s="28">
        <v>7689200023200</v>
      </c>
      <c r="E2941" s="29" t="s">
        <v>371</v>
      </c>
      <c r="F2941" s="29" t="s">
        <v>372</v>
      </c>
      <c r="G2941">
        <v>12</v>
      </c>
      <c r="H2941" t="s">
        <v>323</v>
      </c>
      <c r="I2941" t="s">
        <v>45</v>
      </c>
      <c r="J2941" t="s">
        <v>239</v>
      </c>
      <c r="K2941" t="s">
        <v>285</v>
      </c>
      <c r="L2941" t="s">
        <v>327</v>
      </c>
    </row>
    <row r="2942" spans="1:12">
      <c r="A2942" t="s">
        <v>318</v>
      </c>
      <c r="B2942" t="s">
        <v>2533</v>
      </c>
      <c r="C2942" t="s">
        <v>1651</v>
      </c>
      <c r="D2942" s="28">
        <v>7689200023221</v>
      </c>
      <c r="E2942" s="29" t="s">
        <v>371</v>
      </c>
      <c r="F2942" s="29" t="s">
        <v>372</v>
      </c>
      <c r="G2942">
        <v>12</v>
      </c>
      <c r="H2942" t="s">
        <v>323</v>
      </c>
      <c r="I2942" t="s">
        <v>45</v>
      </c>
      <c r="J2942" t="s">
        <v>239</v>
      </c>
      <c r="K2942" t="s">
        <v>1226</v>
      </c>
      <c r="L2942" t="s">
        <v>327</v>
      </c>
    </row>
    <row r="2943" spans="1:12">
      <c r="A2943" t="s">
        <v>318</v>
      </c>
      <c r="B2943" t="s">
        <v>2533</v>
      </c>
      <c r="C2943" t="s">
        <v>2542</v>
      </c>
      <c r="D2943" s="28">
        <v>7689200023280</v>
      </c>
      <c r="E2943" s="29" t="s">
        <v>371</v>
      </c>
      <c r="F2943" s="29" t="s">
        <v>372</v>
      </c>
      <c r="G2943">
        <v>12</v>
      </c>
      <c r="H2943" t="s">
        <v>323</v>
      </c>
      <c r="I2943" t="s">
        <v>45</v>
      </c>
      <c r="J2943" t="s">
        <v>239</v>
      </c>
      <c r="K2943" t="s">
        <v>1226</v>
      </c>
      <c r="L2943" t="s">
        <v>327</v>
      </c>
    </row>
    <row r="2944" spans="1:12">
      <c r="A2944" t="s">
        <v>318</v>
      </c>
      <c r="B2944" t="s">
        <v>2533</v>
      </c>
      <c r="C2944" t="s">
        <v>2543</v>
      </c>
      <c r="D2944" s="28">
        <v>7689200023297</v>
      </c>
      <c r="E2944" s="29" t="s">
        <v>371</v>
      </c>
      <c r="F2944" s="29" t="s">
        <v>372</v>
      </c>
      <c r="G2944">
        <v>12</v>
      </c>
      <c r="H2944" t="s">
        <v>323</v>
      </c>
      <c r="I2944" t="s">
        <v>45</v>
      </c>
      <c r="J2944" t="s">
        <v>239</v>
      </c>
      <c r="K2944" t="s">
        <v>1226</v>
      </c>
      <c r="L2944" t="s">
        <v>327</v>
      </c>
    </row>
    <row r="2945" spans="1:12">
      <c r="A2945" t="s">
        <v>318</v>
      </c>
      <c r="B2945" t="s">
        <v>2533</v>
      </c>
      <c r="C2945" t="s">
        <v>437</v>
      </c>
      <c r="D2945" s="28">
        <v>7689200023313</v>
      </c>
      <c r="E2945" s="29" t="s">
        <v>371</v>
      </c>
      <c r="F2945" s="29" t="s">
        <v>372</v>
      </c>
      <c r="G2945">
        <v>12</v>
      </c>
      <c r="H2945" t="s">
        <v>323</v>
      </c>
      <c r="I2945" t="s">
        <v>45</v>
      </c>
      <c r="J2945" t="s">
        <v>239</v>
      </c>
      <c r="K2945" t="s">
        <v>1226</v>
      </c>
      <c r="L2945" t="s">
        <v>327</v>
      </c>
    </row>
    <row r="2946" spans="1:12">
      <c r="A2946" t="s">
        <v>318</v>
      </c>
      <c r="B2946" t="s">
        <v>2533</v>
      </c>
      <c r="C2946" t="s">
        <v>2544</v>
      </c>
      <c r="D2946" s="28">
        <v>7689200023334</v>
      </c>
      <c r="E2946" s="29" t="s">
        <v>371</v>
      </c>
      <c r="F2946" s="29" t="s">
        <v>372</v>
      </c>
      <c r="G2946">
        <v>12</v>
      </c>
      <c r="H2946" t="s">
        <v>323</v>
      </c>
      <c r="I2946" t="s">
        <v>45</v>
      </c>
      <c r="J2946" t="s">
        <v>239</v>
      </c>
      <c r="K2946" t="s">
        <v>1226</v>
      </c>
      <c r="L2946" t="s">
        <v>327</v>
      </c>
    </row>
    <row r="2947" spans="1:12">
      <c r="A2947" t="s">
        <v>318</v>
      </c>
      <c r="B2947" t="s">
        <v>2533</v>
      </c>
      <c r="C2947" t="s">
        <v>2545</v>
      </c>
      <c r="D2947" s="28">
        <v>7689200023401</v>
      </c>
      <c r="E2947" s="29" t="s">
        <v>371</v>
      </c>
      <c r="F2947" s="29" t="s">
        <v>372</v>
      </c>
      <c r="G2947">
        <v>12</v>
      </c>
      <c r="H2947" t="s">
        <v>323</v>
      </c>
      <c r="I2947" t="s">
        <v>45</v>
      </c>
      <c r="J2947" t="s">
        <v>239</v>
      </c>
      <c r="K2947" t="s">
        <v>1226</v>
      </c>
      <c r="L2947" t="s">
        <v>327</v>
      </c>
    </row>
    <row r="2948" spans="1:12">
      <c r="A2948" t="s">
        <v>318</v>
      </c>
      <c r="B2948" t="s">
        <v>2533</v>
      </c>
      <c r="C2948" t="s">
        <v>1392</v>
      </c>
      <c r="D2948" s="28">
        <v>7689200023454</v>
      </c>
      <c r="E2948" s="29" t="s">
        <v>371</v>
      </c>
      <c r="F2948" s="29" t="s">
        <v>372</v>
      </c>
      <c r="G2948">
        <v>12</v>
      </c>
      <c r="H2948" t="s">
        <v>323</v>
      </c>
      <c r="I2948" t="s">
        <v>45</v>
      </c>
      <c r="J2948" t="s">
        <v>239</v>
      </c>
      <c r="K2948" t="s">
        <v>285</v>
      </c>
      <c r="L2948" t="s">
        <v>327</v>
      </c>
    </row>
    <row r="2949" spans="1:12">
      <c r="A2949" t="s">
        <v>318</v>
      </c>
      <c r="B2949" t="s">
        <v>2533</v>
      </c>
      <c r="C2949" t="s">
        <v>2546</v>
      </c>
      <c r="D2949" s="28">
        <v>7689200023494</v>
      </c>
      <c r="E2949" s="29" t="s">
        <v>371</v>
      </c>
      <c r="F2949" s="29" t="s">
        <v>372</v>
      </c>
      <c r="G2949">
        <v>12</v>
      </c>
      <c r="H2949" t="s">
        <v>323</v>
      </c>
      <c r="I2949" t="s">
        <v>45</v>
      </c>
      <c r="J2949" t="s">
        <v>239</v>
      </c>
      <c r="K2949" t="s">
        <v>1226</v>
      </c>
      <c r="L2949" t="s">
        <v>327</v>
      </c>
    </row>
    <row r="2950" spans="1:12">
      <c r="A2950" t="s">
        <v>318</v>
      </c>
      <c r="B2950" t="s">
        <v>2533</v>
      </c>
      <c r="C2950" t="s">
        <v>2547</v>
      </c>
      <c r="D2950" s="28">
        <v>7689200023511</v>
      </c>
      <c r="E2950" s="29" t="s">
        <v>371</v>
      </c>
      <c r="F2950" s="29" t="s">
        <v>372</v>
      </c>
      <c r="G2950">
        <v>12</v>
      </c>
      <c r="H2950" t="s">
        <v>323</v>
      </c>
      <c r="I2950" t="s">
        <v>45</v>
      </c>
      <c r="J2950" t="s">
        <v>239</v>
      </c>
      <c r="K2950" t="s">
        <v>1226</v>
      </c>
      <c r="L2950" t="s">
        <v>327</v>
      </c>
    </row>
    <row r="2951" spans="1:12">
      <c r="A2951" t="s">
        <v>318</v>
      </c>
      <c r="B2951" t="s">
        <v>2533</v>
      </c>
      <c r="C2951" t="s">
        <v>2548</v>
      </c>
      <c r="D2951" s="28">
        <v>7689200023528</v>
      </c>
      <c r="E2951" s="29" t="s">
        <v>529</v>
      </c>
      <c r="F2951" s="29" t="s">
        <v>372</v>
      </c>
      <c r="G2951">
        <v>15</v>
      </c>
      <c r="H2951" t="s">
        <v>323</v>
      </c>
      <c r="I2951" t="s">
        <v>45</v>
      </c>
      <c r="J2951" t="s">
        <v>239</v>
      </c>
      <c r="K2951" t="s">
        <v>1226</v>
      </c>
      <c r="L2951" t="s">
        <v>327</v>
      </c>
    </row>
    <row r="2952" spans="1:12">
      <c r="A2952" t="s">
        <v>318</v>
      </c>
      <c r="B2952" t="s">
        <v>2533</v>
      </c>
      <c r="C2952" t="s">
        <v>786</v>
      </c>
      <c r="D2952" s="28">
        <v>7689200023547</v>
      </c>
      <c r="E2952" s="29" t="s">
        <v>529</v>
      </c>
      <c r="F2952" s="29" t="s">
        <v>372</v>
      </c>
      <c r="G2952">
        <v>15</v>
      </c>
      <c r="H2952" t="s">
        <v>323</v>
      </c>
      <c r="I2952" t="s">
        <v>45</v>
      </c>
      <c r="J2952" t="s">
        <v>239</v>
      </c>
      <c r="K2952" t="s">
        <v>1226</v>
      </c>
      <c r="L2952" t="s">
        <v>327</v>
      </c>
    </row>
    <row r="2953" spans="1:12">
      <c r="A2953" t="s">
        <v>318</v>
      </c>
      <c r="B2953" t="s">
        <v>2533</v>
      </c>
      <c r="C2953" t="s">
        <v>2549</v>
      </c>
      <c r="D2953" s="28">
        <v>7689200023566</v>
      </c>
      <c r="E2953" s="29" t="s">
        <v>529</v>
      </c>
      <c r="F2953" s="29" t="s">
        <v>372</v>
      </c>
      <c r="G2953">
        <v>14</v>
      </c>
      <c r="H2953" t="s">
        <v>323</v>
      </c>
      <c r="I2953" t="s">
        <v>45</v>
      </c>
      <c r="J2953" t="s">
        <v>239</v>
      </c>
      <c r="K2953" t="s">
        <v>1226</v>
      </c>
      <c r="L2953" t="s">
        <v>327</v>
      </c>
    </row>
    <row r="2954" spans="1:12">
      <c r="A2954" t="s">
        <v>318</v>
      </c>
      <c r="B2954" t="s">
        <v>2533</v>
      </c>
      <c r="C2954" t="s">
        <v>2550</v>
      </c>
      <c r="D2954" s="28">
        <v>7689200023582</v>
      </c>
      <c r="E2954" s="29" t="s">
        <v>529</v>
      </c>
      <c r="F2954" s="29" t="s">
        <v>372</v>
      </c>
      <c r="G2954">
        <v>14</v>
      </c>
      <c r="H2954" t="s">
        <v>323</v>
      </c>
      <c r="I2954" t="s">
        <v>45</v>
      </c>
      <c r="J2954" t="s">
        <v>239</v>
      </c>
      <c r="K2954" t="s">
        <v>1226</v>
      </c>
      <c r="L2954" t="s">
        <v>327</v>
      </c>
    </row>
    <row r="2955" spans="1:12">
      <c r="A2955" t="s">
        <v>318</v>
      </c>
      <c r="B2955" t="s">
        <v>2533</v>
      </c>
      <c r="C2955" t="s">
        <v>815</v>
      </c>
      <c r="D2955" s="28">
        <v>7689200026189</v>
      </c>
      <c r="E2955" s="29" t="s">
        <v>371</v>
      </c>
      <c r="F2955" s="29" t="s">
        <v>372</v>
      </c>
      <c r="G2955">
        <v>12</v>
      </c>
      <c r="H2955" t="s">
        <v>323</v>
      </c>
      <c r="I2955" t="s">
        <v>45</v>
      </c>
      <c r="J2955" t="s">
        <v>239</v>
      </c>
      <c r="K2955" t="s">
        <v>285</v>
      </c>
      <c r="L2955" t="s">
        <v>327</v>
      </c>
    </row>
    <row r="2956" spans="1:12">
      <c r="A2956" t="s">
        <v>318</v>
      </c>
      <c r="B2956" t="s">
        <v>2533</v>
      </c>
      <c r="C2956" t="s">
        <v>2551</v>
      </c>
      <c r="D2956" s="28">
        <v>7689200029432</v>
      </c>
      <c r="E2956" s="29" t="s">
        <v>371</v>
      </c>
      <c r="F2956" s="29" t="s">
        <v>372</v>
      </c>
      <c r="G2956">
        <v>12</v>
      </c>
      <c r="H2956" t="s">
        <v>323</v>
      </c>
      <c r="I2956" t="s">
        <v>45</v>
      </c>
      <c r="J2956" t="s">
        <v>239</v>
      </c>
      <c r="K2956" t="s">
        <v>1226</v>
      </c>
      <c r="L2956" t="s">
        <v>327</v>
      </c>
    </row>
    <row r="2957" spans="1:12">
      <c r="A2957" t="s">
        <v>318</v>
      </c>
      <c r="B2957" t="s">
        <v>2533</v>
      </c>
      <c r="C2957" t="s">
        <v>2552</v>
      </c>
      <c r="D2957" s="28">
        <v>7689200112069</v>
      </c>
      <c r="E2957" s="29" t="s">
        <v>371</v>
      </c>
      <c r="F2957" s="29" t="s">
        <v>372</v>
      </c>
      <c r="G2957">
        <v>12</v>
      </c>
      <c r="H2957" t="s">
        <v>323</v>
      </c>
      <c r="I2957" t="s">
        <v>45</v>
      </c>
      <c r="J2957" t="s">
        <v>239</v>
      </c>
      <c r="K2957" t="s">
        <v>285</v>
      </c>
      <c r="L2957" t="s">
        <v>327</v>
      </c>
    </row>
    <row r="2958" spans="1:12">
      <c r="A2958" t="s">
        <v>318</v>
      </c>
      <c r="B2958" t="s">
        <v>2533</v>
      </c>
      <c r="C2958" t="s">
        <v>2553</v>
      </c>
      <c r="D2958" s="28">
        <v>768921124164</v>
      </c>
      <c r="E2958" s="29" t="s">
        <v>371</v>
      </c>
      <c r="F2958" s="29" t="s">
        <v>372</v>
      </c>
      <c r="G2958">
        <v>12</v>
      </c>
      <c r="H2958" t="s">
        <v>323</v>
      </c>
      <c r="I2958" t="s">
        <v>45</v>
      </c>
      <c r="J2958" t="s">
        <v>239</v>
      </c>
      <c r="K2958" t="s">
        <v>285</v>
      </c>
      <c r="L2958" t="s">
        <v>327</v>
      </c>
    </row>
    <row r="2959" spans="1:12">
      <c r="A2959" t="s">
        <v>318</v>
      </c>
      <c r="B2959" t="s">
        <v>2533</v>
      </c>
      <c r="C2959" t="s">
        <v>2554</v>
      </c>
      <c r="D2959" s="28">
        <v>768921123983</v>
      </c>
      <c r="E2959" s="29" t="s">
        <v>393</v>
      </c>
      <c r="F2959" s="29" t="s">
        <v>372</v>
      </c>
      <c r="G2959">
        <v>16</v>
      </c>
      <c r="H2959" t="s">
        <v>323</v>
      </c>
      <c r="I2959" t="s">
        <v>45</v>
      </c>
      <c r="J2959" t="s">
        <v>239</v>
      </c>
      <c r="K2959" t="s">
        <v>394</v>
      </c>
      <c r="L2959" t="s">
        <v>327</v>
      </c>
    </row>
    <row r="2960" spans="1:12">
      <c r="A2960" t="s">
        <v>318</v>
      </c>
      <c r="B2960" t="s">
        <v>2533</v>
      </c>
      <c r="C2960" t="s">
        <v>2555</v>
      </c>
      <c r="D2960" s="28">
        <v>768921123984</v>
      </c>
      <c r="E2960" s="29" t="s">
        <v>393</v>
      </c>
      <c r="F2960" s="29" t="s">
        <v>372</v>
      </c>
      <c r="G2960">
        <v>36</v>
      </c>
      <c r="H2960" t="s">
        <v>323</v>
      </c>
      <c r="I2960" t="s">
        <v>45</v>
      </c>
      <c r="J2960" t="s">
        <v>239</v>
      </c>
      <c r="K2960" t="s">
        <v>394</v>
      </c>
      <c r="L2960" t="s">
        <v>327</v>
      </c>
    </row>
    <row r="2961" spans="1:12">
      <c r="A2961" t="s">
        <v>318</v>
      </c>
      <c r="B2961" t="s">
        <v>2533</v>
      </c>
      <c r="C2961" t="s">
        <v>2556</v>
      </c>
      <c r="D2961" s="28">
        <v>768921123986</v>
      </c>
      <c r="E2961" s="29" t="s">
        <v>393</v>
      </c>
      <c r="F2961" s="29" t="s">
        <v>372</v>
      </c>
      <c r="G2961">
        <v>20</v>
      </c>
      <c r="H2961" t="s">
        <v>1051</v>
      </c>
      <c r="I2961" t="s">
        <v>45</v>
      </c>
      <c r="J2961" t="s">
        <v>239</v>
      </c>
      <c r="K2961" t="s">
        <v>394</v>
      </c>
      <c r="L2961" t="s">
        <v>327</v>
      </c>
    </row>
    <row r="2962" spans="1:12">
      <c r="A2962" t="s">
        <v>318</v>
      </c>
      <c r="B2962" t="s">
        <v>2533</v>
      </c>
      <c r="C2962" t="s">
        <v>2557</v>
      </c>
      <c r="D2962" s="28">
        <v>768921123989</v>
      </c>
      <c r="E2962" s="29" t="s">
        <v>393</v>
      </c>
      <c r="F2962" s="29" t="s">
        <v>372</v>
      </c>
      <c r="G2962">
        <v>35</v>
      </c>
      <c r="H2962" t="s">
        <v>1051</v>
      </c>
      <c r="I2962" t="s">
        <v>45</v>
      </c>
      <c r="J2962" t="s">
        <v>239</v>
      </c>
      <c r="K2962" t="s">
        <v>394</v>
      </c>
      <c r="L2962" t="s">
        <v>327</v>
      </c>
    </row>
    <row r="2963" spans="1:12">
      <c r="A2963" t="s">
        <v>318</v>
      </c>
      <c r="B2963" t="s">
        <v>2533</v>
      </c>
      <c r="C2963" t="s">
        <v>2558</v>
      </c>
      <c r="D2963" s="28">
        <v>768921123990</v>
      </c>
      <c r="E2963" s="29" t="s">
        <v>393</v>
      </c>
      <c r="F2963" s="29" t="s">
        <v>372</v>
      </c>
      <c r="G2963">
        <v>32</v>
      </c>
      <c r="H2963" t="s">
        <v>323</v>
      </c>
      <c r="I2963" t="s">
        <v>45</v>
      </c>
      <c r="J2963" t="s">
        <v>239</v>
      </c>
      <c r="K2963" t="s">
        <v>394</v>
      </c>
      <c r="L2963" t="s">
        <v>327</v>
      </c>
    </row>
    <row r="2964" spans="1:12">
      <c r="A2964" t="s">
        <v>318</v>
      </c>
      <c r="B2964" t="s">
        <v>2533</v>
      </c>
      <c r="C2964" t="s">
        <v>2559</v>
      </c>
      <c r="D2964" s="28">
        <v>768921123991</v>
      </c>
      <c r="E2964" s="29" t="s">
        <v>393</v>
      </c>
      <c r="F2964" s="29" t="s">
        <v>372</v>
      </c>
      <c r="G2964">
        <v>15</v>
      </c>
      <c r="H2964" t="s">
        <v>323</v>
      </c>
      <c r="I2964" t="s">
        <v>45</v>
      </c>
      <c r="J2964" t="s">
        <v>239</v>
      </c>
      <c r="K2964" t="s">
        <v>394</v>
      </c>
      <c r="L2964" t="s">
        <v>327</v>
      </c>
    </row>
    <row r="2965" spans="1:12">
      <c r="A2965" t="s">
        <v>318</v>
      </c>
      <c r="B2965" t="s">
        <v>2533</v>
      </c>
      <c r="C2965" t="s">
        <v>2560</v>
      </c>
      <c r="D2965" s="28">
        <v>768921123992</v>
      </c>
      <c r="E2965" s="29" t="s">
        <v>393</v>
      </c>
      <c r="F2965" s="29" t="s">
        <v>372</v>
      </c>
      <c r="G2965">
        <v>35</v>
      </c>
      <c r="H2965" t="s">
        <v>1051</v>
      </c>
      <c r="I2965" t="s">
        <v>45</v>
      </c>
      <c r="J2965" t="s">
        <v>239</v>
      </c>
      <c r="K2965" t="s">
        <v>394</v>
      </c>
      <c r="L2965" t="s">
        <v>327</v>
      </c>
    </row>
    <row r="2966" spans="1:12">
      <c r="A2966" t="s">
        <v>318</v>
      </c>
      <c r="B2966" t="s">
        <v>2533</v>
      </c>
      <c r="C2966" t="s">
        <v>2561</v>
      </c>
      <c r="D2966" s="28">
        <v>768921123993</v>
      </c>
      <c r="E2966" s="29" t="s">
        <v>393</v>
      </c>
      <c r="F2966" s="29" t="s">
        <v>372</v>
      </c>
      <c r="G2966">
        <v>20</v>
      </c>
      <c r="H2966" t="s">
        <v>323</v>
      </c>
      <c r="I2966" t="s">
        <v>45</v>
      </c>
      <c r="J2966" t="s">
        <v>239</v>
      </c>
      <c r="K2966" t="s">
        <v>394</v>
      </c>
      <c r="L2966" t="s">
        <v>327</v>
      </c>
    </row>
    <row r="2967" spans="1:12">
      <c r="A2967" t="s">
        <v>318</v>
      </c>
      <c r="B2967" t="s">
        <v>2533</v>
      </c>
      <c r="C2967" t="s">
        <v>2562</v>
      </c>
      <c r="D2967" s="28">
        <v>768921123994</v>
      </c>
      <c r="E2967" s="29" t="s">
        <v>393</v>
      </c>
      <c r="F2967" s="29" t="s">
        <v>372</v>
      </c>
      <c r="G2967">
        <v>10</v>
      </c>
      <c r="H2967" t="s">
        <v>323</v>
      </c>
      <c r="I2967" t="s">
        <v>45</v>
      </c>
      <c r="J2967" t="s">
        <v>239</v>
      </c>
      <c r="K2967" t="s">
        <v>394</v>
      </c>
      <c r="L2967" t="s">
        <v>327</v>
      </c>
    </row>
    <row r="2968" spans="1:12">
      <c r="A2968" t="s">
        <v>318</v>
      </c>
      <c r="B2968" t="s">
        <v>2533</v>
      </c>
      <c r="C2968" t="s">
        <v>2563</v>
      </c>
      <c r="D2968" s="28">
        <v>768921123995</v>
      </c>
      <c r="E2968" s="29" t="s">
        <v>393</v>
      </c>
      <c r="F2968" s="29" t="s">
        <v>372</v>
      </c>
      <c r="G2968">
        <v>15</v>
      </c>
      <c r="H2968" t="s">
        <v>1051</v>
      </c>
      <c r="I2968" t="s">
        <v>45</v>
      </c>
      <c r="J2968" t="s">
        <v>239</v>
      </c>
      <c r="K2968" t="s">
        <v>394</v>
      </c>
      <c r="L2968" t="s">
        <v>327</v>
      </c>
    </row>
    <row r="2969" spans="1:12">
      <c r="A2969" t="s">
        <v>318</v>
      </c>
      <c r="B2969" t="s">
        <v>2533</v>
      </c>
      <c r="C2969" t="s">
        <v>2564</v>
      </c>
      <c r="D2969" s="28">
        <v>768921123999</v>
      </c>
      <c r="E2969" s="29" t="s">
        <v>393</v>
      </c>
      <c r="F2969" s="29" t="s">
        <v>372</v>
      </c>
      <c r="G2969">
        <v>20</v>
      </c>
      <c r="H2969" t="s">
        <v>1051</v>
      </c>
      <c r="I2969" t="s">
        <v>45</v>
      </c>
      <c r="J2969" t="s">
        <v>239</v>
      </c>
      <c r="K2969" t="s">
        <v>394</v>
      </c>
      <c r="L2969" t="s">
        <v>327</v>
      </c>
    </row>
    <row r="2970" spans="1:12">
      <c r="A2970" t="s">
        <v>318</v>
      </c>
      <c r="B2970" t="s">
        <v>2533</v>
      </c>
      <c r="C2970" t="s">
        <v>2565</v>
      </c>
      <c r="D2970" s="28">
        <v>768921124001</v>
      </c>
      <c r="E2970" s="29" t="s">
        <v>393</v>
      </c>
      <c r="F2970" s="29" t="s">
        <v>372</v>
      </c>
      <c r="G2970">
        <v>32</v>
      </c>
      <c r="H2970" t="s">
        <v>1051</v>
      </c>
      <c r="I2970" t="s">
        <v>45</v>
      </c>
      <c r="J2970" t="s">
        <v>239</v>
      </c>
      <c r="K2970" t="s">
        <v>394</v>
      </c>
      <c r="L2970" t="s">
        <v>327</v>
      </c>
    </row>
    <row r="2971" spans="1:12">
      <c r="A2971" t="s">
        <v>318</v>
      </c>
      <c r="B2971" t="s">
        <v>2533</v>
      </c>
      <c r="C2971" t="s">
        <v>2566</v>
      </c>
      <c r="D2971" s="28">
        <v>768921124004</v>
      </c>
      <c r="E2971" s="29" t="s">
        <v>393</v>
      </c>
      <c r="F2971" s="29" t="s">
        <v>372</v>
      </c>
      <c r="G2971">
        <v>36</v>
      </c>
      <c r="H2971" t="s">
        <v>323</v>
      </c>
      <c r="I2971" t="s">
        <v>45</v>
      </c>
      <c r="J2971" t="s">
        <v>239</v>
      </c>
      <c r="K2971" t="s">
        <v>394</v>
      </c>
      <c r="L2971" t="s">
        <v>327</v>
      </c>
    </row>
    <row r="2972" spans="1:12">
      <c r="A2972" t="s">
        <v>318</v>
      </c>
      <c r="B2972" t="s">
        <v>2533</v>
      </c>
      <c r="C2972" t="s">
        <v>2567</v>
      </c>
      <c r="D2972" s="28">
        <v>768921131600</v>
      </c>
      <c r="E2972" s="29" t="s">
        <v>393</v>
      </c>
      <c r="F2972" s="29" t="s">
        <v>372</v>
      </c>
      <c r="G2972">
        <v>15</v>
      </c>
      <c r="H2972" t="s">
        <v>1051</v>
      </c>
      <c r="I2972" t="s">
        <v>45</v>
      </c>
      <c r="J2972" t="s">
        <v>239</v>
      </c>
      <c r="K2972" t="s">
        <v>394</v>
      </c>
      <c r="L2972" t="s">
        <v>327</v>
      </c>
    </row>
    <row r="2973" spans="1:12">
      <c r="A2973" t="s">
        <v>318</v>
      </c>
      <c r="B2973" t="s">
        <v>2533</v>
      </c>
      <c r="C2973" t="s">
        <v>2568</v>
      </c>
      <c r="D2973" s="28">
        <v>768921131637</v>
      </c>
      <c r="E2973" s="29" t="s">
        <v>393</v>
      </c>
      <c r="F2973" s="29" t="s">
        <v>372</v>
      </c>
      <c r="G2973">
        <v>17</v>
      </c>
      <c r="H2973" t="s">
        <v>1051</v>
      </c>
      <c r="I2973" t="s">
        <v>45</v>
      </c>
      <c r="J2973" t="s">
        <v>239</v>
      </c>
      <c r="K2973" t="s">
        <v>394</v>
      </c>
      <c r="L2973" t="s">
        <v>327</v>
      </c>
    </row>
    <row r="2974" spans="1:12">
      <c r="A2974" t="s">
        <v>318</v>
      </c>
      <c r="B2974" t="s">
        <v>2533</v>
      </c>
      <c r="C2974" t="s">
        <v>2569</v>
      </c>
      <c r="D2974" s="28">
        <v>768921131638</v>
      </c>
      <c r="E2974" s="29" t="s">
        <v>393</v>
      </c>
      <c r="F2974" s="29" t="s">
        <v>372</v>
      </c>
      <c r="G2974">
        <v>34</v>
      </c>
      <c r="H2974" t="s">
        <v>1051</v>
      </c>
      <c r="I2974" t="s">
        <v>45</v>
      </c>
      <c r="J2974" t="s">
        <v>239</v>
      </c>
      <c r="K2974" t="s">
        <v>394</v>
      </c>
      <c r="L2974" t="s">
        <v>327</v>
      </c>
    </row>
    <row r="2975" spans="1:12">
      <c r="A2975" t="s">
        <v>318</v>
      </c>
      <c r="B2975" t="s">
        <v>2533</v>
      </c>
      <c r="C2975" t="s">
        <v>2570</v>
      </c>
      <c r="D2975" s="28">
        <v>768921148436</v>
      </c>
      <c r="E2975" s="29" t="s">
        <v>393</v>
      </c>
      <c r="F2975" s="29" t="s">
        <v>372</v>
      </c>
      <c r="G2975">
        <v>17</v>
      </c>
      <c r="H2975" t="s">
        <v>323</v>
      </c>
      <c r="I2975" t="s">
        <v>45</v>
      </c>
      <c r="J2975" t="s">
        <v>239</v>
      </c>
      <c r="K2975" t="s">
        <v>394</v>
      </c>
      <c r="L2975" t="s">
        <v>327</v>
      </c>
    </row>
    <row r="2976" spans="1:12">
      <c r="A2976" t="s">
        <v>318</v>
      </c>
      <c r="B2976" t="s">
        <v>2533</v>
      </c>
      <c r="C2976" t="s">
        <v>2571</v>
      </c>
      <c r="D2976" s="28">
        <v>768921148438</v>
      </c>
      <c r="E2976" s="29" t="s">
        <v>393</v>
      </c>
      <c r="F2976" s="29" t="s">
        <v>372</v>
      </c>
      <c r="G2976">
        <v>15</v>
      </c>
      <c r="H2976" t="s">
        <v>1051</v>
      </c>
      <c r="I2976" t="s">
        <v>45</v>
      </c>
      <c r="J2976" t="s">
        <v>239</v>
      </c>
      <c r="K2976" t="s">
        <v>394</v>
      </c>
      <c r="L2976" t="s">
        <v>327</v>
      </c>
    </row>
    <row r="2977" spans="1:12">
      <c r="A2977" t="s">
        <v>318</v>
      </c>
      <c r="B2977" t="s">
        <v>2533</v>
      </c>
      <c r="C2977" t="s">
        <v>2572</v>
      </c>
      <c r="D2977" s="28">
        <v>768921148440</v>
      </c>
      <c r="E2977" s="29" t="s">
        <v>393</v>
      </c>
      <c r="F2977" s="29" t="s">
        <v>372</v>
      </c>
      <c r="G2977">
        <v>20</v>
      </c>
      <c r="H2977" t="s">
        <v>1051</v>
      </c>
      <c r="I2977" t="s">
        <v>45</v>
      </c>
      <c r="J2977" t="s">
        <v>239</v>
      </c>
      <c r="K2977" t="s">
        <v>394</v>
      </c>
      <c r="L2977" t="s">
        <v>327</v>
      </c>
    </row>
    <row r="2978" spans="1:12">
      <c r="A2978" t="s">
        <v>318</v>
      </c>
      <c r="B2978" t="s">
        <v>2533</v>
      </c>
      <c r="C2978" t="s">
        <v>2573</v>
      </c>
      <c r="D2978" s="28">
        <v>768921148441</v>
      </c>
      <c r="E2978" s="29" t="s">
        <v>393</v>
      </c>
      <c r="F2978" s="29" t="s">
        <v>372</v>
      </c>
      <c r="G2978">
        <v>15</v>
      </c>
      <c r="H2978" t="s">
        <v>1051</v>
      </c>
      <c r="I2978" t="s">
        <v>45</v>
      </c>
      <c r="J2978" t="s">
        <v>239</v>
      </c>
      <c r="K2978" t="s">
        <v>394</v>
      </c>
      <c r="L2978" t="s">
        <v>327</v>
      </c>
    </row>
    <row r="2979" spans="1:12">
      <c r="A2979" t="s">
        <v>318</v>
      </c>
      <c r="B2979" t="s">
        <v>2533</v>
      </c>
      <c r="C2979" t="s">
        <v>2574</v>
      </c>
      <c r="D2979" s="28">
        <v>7689200018653</v>
      </c>
      <c r="E2979" s="29" t="s">
        <v>371</v>
      </c>
      <c r="F2979" s="29" t="s">
        <v>372</v>
      </c>
      <c r="G2979">
        <v>12</v>
      </c>
      <c r="H2979" t="s">
        <v>323</v>
      </c>
      <c r="I2979" t="s">
        <v>45</v>
      </c>
      <c r="J2979" t="s">
        <v>239</v>
      </c>
      <c r="K2979" t="s">
        <v>285</v>
      </c>
      <c r="L2979" t="s">
        <v>327</v>
      </c>
    </row>
    <row r="2980" spans="1:12">
      <c r="A2980" t="s">
        <v>318</v>
      </c>
      <c r="B2980" t="s">
        <v>2533</v>
      </c>
      <c r="C2980" t="s">
        <v>2330</v>
      </c>
      <c r="D2980" s="28">
        <v>7689200018670</v>
      </c>
      <c r="E2980" s="29" t="s">
        <v>371</v>
      </c>
      <c r="F2980" s="29" t="s">
        <v>372</v>
      </c>
      <c r="G2980">
        <v>12</v>
      </c>
      <c r="H2980" t="s">
        <v>323</v>
      </c>
      <c r="I2980" t="s">
        <v>45</v>
      </c>
      <c r="J2980" t="s">
        <v>239</v>
      </c>
      <c r="K2980" t="s">
        <v>285</v>
      </c>
      <c r="L2980" t="s">
        <v>327</v>
      </c>
    </row>
    <row r="2981" spans="1:12">
      <c r="A2981" t="s">
        <v>318</v>
      </c>
      <c r="B2981" t="s">
        <v>2533</v>
      </c>
      <c r="C2981" t="s">
        <v>1435</v>
      </c>
      <c r="D2981" s="28">
        <v>7689200026083</v>
      </c>
      <c r="E2981" s="29" t="s">
        <v>371</v>
      </c>
      <c r="F2981" s="29" t="s">
        <v>372</v>
      </c>
      <c r="G2981">
        <v>12</v>
      </c>
      <c r="H2981" t="s">
        <v>323</v>
      </c>
      <c r="I2981" t="s">
        <v>45</v>
      </c>
      <c r="J2981" t="s">
        <v>239</v>
      </c>
      <c r="K2981" t="s">
        <v>285</v>
      </c>
      <c r="L2981" t="s">
        <v>327</v>
      </c>
    </row>
    <row r="2982" spans="1:12">
      <c r="A2982" t="s">
        <v>318</v>
      </c>
      <c r="B2982" t="s">
        <v>2533</v>
      </c>
      <c r="C2982" t="s">
        <v>2575</v>
      </c>
      <c r="D2982" s="28">
        <v>7689200040775</v>
      </c>
      <c r="E2982" s="29" t="s">
        <v>371</v>
      </c>
      <c r="F2982" s="29" t="s">
        <v>372</v>
      </c>
      <c r="G2982">
        <v>12</v>
      </c>
      <c r="H2982" t="s">
        <v>323</v>
      </c>
      <c r="I2982" t="s">
        <v>45</v>
      </c>
      <c r="J2982" t="s">
        <v>239</v>
      </c>
      <c r="K2982" t="s">
        <v>285</v>
      </c>
      <c r="L2982" t="s">
        <v>327</v>
      </c>
    </row>
    <row r="2983" spans="1:12">
      <c r="A2983" t="s">
        <v>318</v>
      </c>
      <c r="B2983" t="s">
        <v>2533</v>
      </c>
      <c r="C2983" t="s">
        <v>1178</v>
      </c>
      <c r="D2983" s="28">
        <v>7689200040808</v>
      </c>
      <c r="E2983" s="29" t="s">
        <v>371</v>
      </c>
      <c r="F2983" s="29" t="s">
        <v>372</v>
      </c>
      <c r="G2983">
        <v>12</v>
      </c>
      <c r="H2983" t="s">
        <v>323</v>
      </c>
      <c r="I2983" t="s">
        <v>45</v>
      </c>
      <c r="J2983" t="s">
        <v>239</v>
      </c>
      <c r="K2983" t="s">
        <v>1226</v>
      </c>
      <c r="L2983" t="s">
        <v>327</v>
      </c>
    </row>
    <row r="2984" spans="1:12">
      <c r="A2984" t="s">
        <v>318</v>
      </c>
      <c r="B2984" t="s">
        <v>2533</v>
      </c>
      <c r="C2984" t="s">
        <v>1230</v>
      </c>
      <c r="D2984" s="28">
        <v>7689200040820</v>
      </c>
      <c r="E2984" s="29" t="s">
        <v>371</v>
      </c>
      <c r="F2984" s="29" t="s">
        <v>372</v>
      </c>
      <c r="G2984">
        <v>12</v>
      </c>
      <c r="H2984" t="s">
        <v>323</v>
      </c>
      <c r="I2984" t="s">
        <v>45</v>
      </c>
      <c r="J2984" t="s">
        <v>239</v>
      </c>
      <c r="K2984" t="s">
        <v>285</v>
      </c>
      <c r="L2984" t="s">
        <v>327</v>
      </c>
    </row>
    <row r="2985" spans="1:12">
      <c r="A2985" t="s">
        <v>318</v>
      </c>
      <c r="B2985" t="s">
        <v>2533</v>
      </c>
      <c r="C2985" t="s">
        <v>815</v>
      </c>
      <c r="D2985" s="28">
        <v>7689200040841</v>
      </c>
      <c r="E2985" s="29" t="s">
        <v>371</v>
      </c>
      <c r="F2985" s="29" t="s">
        <v>372</v>
      </c>
      <c r="G2985">
        <v>12</v>
      </c>
      <c r="H2985" t="s">
        <v>323</v>
      </c>
      <c r="I2985" t="s">
        <v>45</v>
      </c>
      <c r="J2985" t="s">
        <v>239</v>
      </c>
      <c r="K2985" t="s">
        <v>285</v>
      </c>
      <c r="L2985" t="s">
        <v>327</v>
      </c>
    </row>
    <row r="2986" spans="1:12">
      <c r="A2986" t="s">
        <v>318</v>
      </c>
      <c r="B2986" t="s">
        <v>2533</v>
      </c>
      <c r="C2986" t="s">
        <v>448</v>
      </c>
      <c r="D2986" s="28">
        <v>7689200040849</v>
      </c>
      <c r="E2986" s="29" t="s">
        <v>371</v>
      </c>
      <c r="F2986" s="29" t="s">
        <v>372</v>
      </c>
      <c r="G2986">
        <v>12</v>
      </c>
      <c r="H2986" t="s">
        <v>323</v>
      </c>
      <c r="I2986" t="s">
        <v>45</v>
      </c>
      <c r="J2986" t="s">
        <v>239</v>
      </c>
      <c r="K2986" t="s">
        <v>285</v>
      </c>
      <c r="L2986" t="s">
        <v>327</v>
      </c>
    </row>
    <row r="2987" spans="1:12">
      <c r="A2987" t="s">
        <v>318</v>
      </c>
      <c r="B2987" t="s">
        <v>2533</v>
      </c>
      <c r="C2987" t="s">
        <v>2576</v>
      </c>
      <c r="D2987" s="28">
        <v>7689200040897</v>
      </c>
      <c r="E2987" s="29" t="s">
        <v>371</v>
      </c>
      <c r="F2987" s="29" t="s">
        <v>372</v>
      </c>
      <c r="G2987">
        <v>12</v>
      </c>
      <c r="H2987" t="s">
        <v>323</v>
      </c>
      <c r="I2987" t="s">
        <v>45</v>
      </c>
      <c r="J2987" t="s">
        <v>239</v>
      </c>
      <c r="K2987" t="s">
        <v>1226</v>
      </c>
      <c r="L2987" t="s">
        <v>327</v>
      </c>
    </row>
    <row r="2988" spans="1:12">
      <c r="A2988" t="s">
        <v>318</v>
      </c>
      <c r="B2988" t="s">
        <v>2533</v>
      </c>
      <c r="C2988" t="s">
        <v>375</v>
      </c>
      <c r="D2988" s="28">
        <v>7689200041170</v>
      </c>
      <c r="E2988" s="29" t="s">
        <v>371</v>
      </c>
      <c r="F2988" s="29" t="s">
        <v>372</v>
      </c>
      <c r="G2988">
        <v>12</v>
      </c>
      <c r="H2988" t="s">
        <v>323</v>
      </c>
      <c r="I2988" t="s">
        <v>45</v>
      </c>
      <c r="J2988" t="s">
        <v>239</v>
      </c>
      <c r="K2988" t="s">
        <v>285</v>
      </c>
      <c r="L2988" t="s">
        <v>327</v>
      </c>
    </row>
    <row r="2989" spans="1:12">
      <c r="A2989" t="s">
        <v>318</v>
      </c>
      <c r="B2989" t="s">
        <v>2533</v>
      </c>
      <c r="C2989" t="s">
        <v>2577</v>
      </c>
      <c r="D2989" s="28">
        <v>7689200041186</v>
      </c>
      <c r="E2989" s="29" t="s">
        <v>371</v>
      </c>
      <c r="F2989" s="29" t="s">
        <v>372</v>
      </c>
      <c r="G2989">
        <v>12</v>
      </c>
      <c r="H2989" t="s">
        <v>323</v>
      </c>
      <c r="I2989" t="s">
        <v>45</v>
      </c>
      <c r="J2989" t="s">
        <v>239</v>
      </c>
      <c r="K2989" t="s">
        <v>285</v>
      </c>
      <c r="L2989" t="s">
        <v>327</v>
      </c>
    </row>
    <row r="2990" spans="1:12">
      <c r="A2990" t="s">
        <v>318</v>
      </c>
      <c r="B2990" t="s">
        <v>2533</v>
      </c>
      <c r="C2990" t="s">
        <v>2578</v>
      </c>
      <c r="D2990" s="28">
        <v>7689200103311</v>
      </c>
      <c r="E2990" s="29" t="s">
        <v>371</v>
      </c>
      <c r="F2990" s="29" t="s">
        <v>372</v>
      </c>
      <c r="G2990">
        <v>12</v>
      </c>
      <c r="H2990" t="s">
        <v>323</v>
      </c>
      <c r="I2990" t="s">
        <v>45</v>
      </c>
      <c r="J2990" t="s">
        <v>239</v>
      </c>
      <c r="K2990" t="s">
        <v>1226</v>
      </c>
      <c r="L2990" t="s">
        <v>327</v>
      </c>
    </row>
    <row r="2991" spans="1:12">
      <c r="A2991" t="s">
        <v>318</v>
      </c>
      <c r="B2991" t="s">
        <v>2533</v>
      </c>
      <c r="C2991" t="s">
        <v>2579</v>
      </c>
      <c r="D2991" s="28">
        <v>7689200116906</v>
      </c>
      <c r="E2991" s="29" t="s">
        <v>371</v>
      </c>
      <c r="F2991" s="29" t="s">
        <v>372</v>
      </c>
      <c r="G2991">
        <v>12</v>
      </c>
      <c r="H2991" t="s">
        <v>323</v>
      </c>
      <c r="I2991" t="s">
        <v>45</v>
      </c>
      <c r="J2991" t="s">
        <v>239</v>
      </c>
      <c r="K2991" t="s">
        <v>285</v>
      </c>
      <c r="L2991" t="s">
        <v>327</v>
      </c>
    </row>
    <row r="2992" spans="1:12">
      <c r="A2992" t="s">
        <v>318</v>
      </c>
      <c r="B2992" t="s">
        <v>2533</v>
      </c>
      <c r="C2992" t="s">
        <v>1708</v>
      </c>
      <c r="D2992" s="28">
        <v>7686900026655</v>
      </c>
      <c r="E2992" s="29" t="s">
        <v>371</v>
      </c>
      <c r="F2992" s="29" t="s">
        <v>372</v>
      </c>
      <c r="G2992">
        <v>8</v>
      </c>
      <c r="H2992" t="s">
        <v>323</v>
      </c>
      <c r="I2992" t="s">
        <v>45</v>
      </c>
      <c r="J2992" t="s">
        <v>2580</v>
      </c>
      <c r="K2992" t="s">
        <v>285</v>
      </c>
      <c r="L2992" t="s">
        <v>327</v>
      </c>
    </row>
    <row r="2993" spans="1:12">
      <c r="A2993" t="s">
        <v>318</v>
      </c>
      <c r="B2993" t="s">
        <v>2533</v>
      </c>
      <c r="C2993" t="s">
        <v>2581</v>
      </c>
      <c r="D2993" s="28">
        <v>7686900026679</v>
      </c>
      <c r="E2993" s="29" t="s">
        <v>371</v>
      </c>
      <c r="F2993" s="29" t="s">
        <v>372</v>
      </c>
      <c r="G2993">
        <v>12</v>
      </c>
      <c r="H2993" t="s">
        <v>323</v>
      </c>
      <c r="I2993" t="s">
        <v>45</v>
      </c>
      <c r="J2993" t="s">
        <v>2580</v>
      </c>
      <c r="K2993" t="s">
        <v>1226</v>
      </c>
      <c r="L2993" t="s">
        <v>327</v>
      </c>
    </row>
    <row r="2994" spans="1:12">
      <c r="A2994" t="s">
        <v>318</v>
      </c>
      <c r="B2994" t="s">
        <v>2533</v>
      </c>
      <c r="C2994" t="s">
        <v>2582</v>
      </c>
      <c r="D2994" s="28">
        <v>7686900026705</v>
      </c>
      <c r="E2994" s="29" t="s">
        <v>371</v>
      </c>
      <c r="F2994" s="29" t="s">
        <v>372</v>
      </c>
      <c r="G2994">
        <v>12</v>
      </c>
      <c r="H2994" t="s">
        <v>323</v>
      </c>
      <c r="I2994" t="s">
        <v>45</v>
      </c>
      <c r="J2994" t="s">
        <v>2580</v>
      </c>
      <c r="K2994" t="s">
        <v>285</v>
      </c>
      <c r="L2994" t="s">
        <v>327</v>
      </c>
    </row>
    <row r="2995" spans="1:12">
      <c r="A2995" t="s">
        <v>318</v>
      </c>
      <c r="B2995" t="s">
        <v>2533</v>
      </c>
      <c r="C2995" t="s">
        <v>348</v>
      </c>
      <c r="D2995" s="28">
        <v>7686900026894</v>
      </c>
      <c r="E2995" s="29" t="s">
        <v>1045</v>
      </c>
      <c r="F2995" s="29" t="s">
        <v>372</v>
      </c>
      <c r="G2995">
        <v>14</v>
      </c>
      <c r="H2995" t="s">
        <v>323</v>
      </c>
      <c r="I2995" t="s">
        <v>45</v>
      </c>
      <c r="J2995" t="s">
        <v>2580</v>
      </c>
      <c r="K2995" t="s">
        <v>285</v>
      </c>
      <c r="L2995" t="s">
        <v>327</v>
      </c>
    </row>
    <row r="2996" spans="1:12">
      <c r="A2996" t="s">
        <v>318</v>
      </c>
      <c r="B2996" t="s">
        <v>2533</v>
      </c>
      <c r="C2996" t="s">
        <v>2583</v>
      </c>
      <c r="D2996" s="28">
        <v>7686900026911</v>
      </c>
      <c r="E2996" s="29" t="s">
        <v>1045</v>
      </c>
      <c r="F2996" s="29" t="s">
        <v>372</v>
      </c>
      <c r="G2996">
        <v>14</v>
      </c>
      <c r="H2996" t="s">
        <v>323</v>
      </c>
      <c r="I2996" t="s">
        <v>45</v>
      </c>
      <c r="J2996" t="s">
        <v>2580</v>
      </c>
      <c r="K2996" t="s">
        <v>285</v>
      </c>
      <c r="L2996" t="s">
        <v>327</v>
      </c>
    </row>
    <row r="2997" spans="1:12">
      <c r="A2997" t="s">
        <v>318</v>
      </c>
      <c r="B2997" t="s">
        <v>2533</v>
      </c>
      <c r="C2997" t="s">
        <v>773</v>
      </c>
      <c r="D2997" s="28">
        <v>7686900026942</v>
      </c>
      <c r="E2997" s="29" t="s">
        <v>1045</v>
      </c>
      <c r="F2997" s="29" t="s">
        <v>372</v>
      </c>
      <c r="G2997">
        <v>8</v>
      </c>
      <c r="H2997" t="s">
        <v>323</v>
      </c>
      <c r="I2997" t="s">
        <v>98</v>
      </c>
      <c r="J2997" t="s">
        <v>2580</v>
      </c>
      <c r="K2997" t="s">
        <v>285</v>
      </c>
      <c r="L2997" t="s">
        <v>327</v>
      </c>
    </row>
    <row r="2998" spans="1:12">
      <c r="A2998" t="s">
        <v>318</v>
      </c>
      <c r="B2998" t="s">
        <v>2533</v>
      </c>
      <c r="C2998" t="s">
        <v>554</v>
      </c>
      <c r="D2998" s="28">
        <v>7686900026960</v>
      </c>
      <c r="E2998" s="29" t="s">
        <v>1045</v>
      </c>
      <c r="F2998" s="29" t="s">
        <v>372</v>
      </c>
      <c r="G2998">
        <v>12</v>
      </c>
      <c r="H2998" t="s">
        <v>323</v>
      </c>
      <c r="I2998" t="s">
        <v>45</v>
      </c>
      <c r="J2998" t="s">
        <v>2580</v>
      </c>
      <c r="K2998" t="s">
        <v>1226</v>
      </c>
      <c r="L2998" t="s">
        <v>327</v>
      </c>
    </row>
    <row r="2999" spans="1:12">
      <c r="A2999" t="s">
        <v>318</v>
      </c>
      <c r="B2999" t="s">
        <v>2533</v>
      </c>
      <c r="C2999" t="s">
        <v>2584</v>
      </c>
      <c r="D2999" s="28">
        <v>7686900026988</v>
      </c>
      <c r="E2999" s="29" t="s">
        <v>1045</v>
      </c>
      <c r="F2999" s="29" t="s">
        <v>372</v>
      </c>
      <c r="G2999">
        <v>14</v>
      </c>
      <c r="H2999" t="s">
        <v>323</v>
      </c>
      <c r="I2999" t="s">
        <v>45</v>
      </c>
      <c r="J2999" t="s">
        <v>2580</v>
      </c>
      <c r="K2999" t="s">
        <v>285</v>
      </c>
      <c r="L2999" t="s">
        <v>327</v>
      </c>
    </row>
    <row r="3000" spans="1:12">
      <c r="A3000" t="s">
        <v>318</v>
      </c>
      <c r="B3000" t="s">
        <v>2533</v>
      </c>
      <c r="C3000" t="s">
        <v>2585</v>
      </c>
      <c r="D3000" s="28">
        <v>7686900027008</v>
      </c>
      <c r="E3000" s="29" t="s">
        <v>1045</v>
      </c>
      <c r="F3000" s="29" t="s">
        <v>372</v>
      </c>
      <c r="G3000">
        <v>14</v>
      </c>
      <c r="H3000" t="s">
        <v>323</v>
      </c>
      <c r="I3000" t="s">
        <v>45</v>
      </c>
      <c r="J3000" t="s">
        <v>2580</v>
      </c>
      <c r="K3000" t="s">
        <v>285</v>
      </c>
      <c r="L3000" t="s">
        <v>327</v>
      </c>
    </row>
    <row r="3001" spans="1:12">
      <c r="A3001" t="s">
        <v>318</v>
      </c>
      <c r="B3001" t="s">
        <v>2533</v>
      </c>
      <c r="C3001" t="s">
        <v>2586</v>
      </c>
      <c r="D3001" s="28">
        <v>768691139722</v>
      </c>
      <c r="E3001" s="29" t="s">
        <v>371</v>
      </c>
      <c r="F3001" s="29" t="s">
        <v>372</v>
      </c>
      <c r="G3001">
        <v>10</v>
      </c>
      <c r="H3001" t="s">
        <v>323</v>
      </c>
      <c r="I3001" t="s">
        <v>45</v>
      </c>
      <c r="J3001" t="s">
        <v>2580</v>
      </c>
      <c r="K3001" t="s">
        <v>285</v>
      </c>
      <c r="L3001" t="s">
        <v>327</v>
      </c>
    </row>
    <row r="3002" spans="1:12">
      <c r="A3002" t="s">
        <v>318</v>
      </c>
      <c r="B3002" t="s">
        <v>2533</v>
      </c>
      <c r="C3002" t="s">
        <v>2587</v>
      </c>
      <c r="D3002" s="28">
        <v>7689200026488</v>
      </c>
      <c r="E3002" s="29" t="s">
        <v>441</v>
      </c>
      <c r="F3002" s="29" t="s">
        <v>372</v>
      </c>
      <c r="G3002">
        <v>26</v>
      </c>
      <c r="H3002" t="s">
        <v>323</v>
      </c>
      <c r="I3002" t="s">
        <v>98</v>
      </c>
      <c r="J3002" t="s">
        <v>2580</v>
      </c>
      <c r="K3002" t="s">
        <v>1226</v>
      </c>
      <c r="L3002" t="s">
        <v>327</v>
      </c>
    </row>
    <row r="3003" spans="1:12">
      <c r="A3003" t="s">
        <v>318</v>
      </c>
      <c r="B3003" t="s">
        <v>2533</v>
      </c>
      <c r="C3003" t="s">
        <v>2452</v>
      </c>
      <c r="D3003" s="28">
        <v>7689200026526</v>
      </c>
      <c r="E3003" s="29" t="s">
        <v>371</v>
      </c>
      <c r="F3003" s="29" t="s">
        <v>372</v>
      </c>
      <c r="G3003">
        <v>12</v>
      </c>
      <c r="H3003" t="s">
        <v>323</v>
      </c>
      <c r="I3003" t="s">
        <v>45</v>
      </c>
      <c r="J3003" t="s">
        <v>2580</v>
      </c>
      <c r="K3003" t="s">
        <v>285</v>
      </c>
      <c r="L3003" t="s">
        <v>327</v>
      </c>
    </row>
    <row r="3004" spans="1:12">
      <c r="A3004" t="s">
        <v>318</v>
      </c>
      <c r="B3004" t="s">
        <v>2533</v>
      </c>
      <c r="C3004" t="s">
        <v>602</v>
      </c>
      <c r="D3004" s="28">
        <v>7689200026543</v>
      </c>
      <c r="E3004" s="29" t="s">
        <v>371</v>
      </c>
      <c r="F3004" s="29" t="s">
        <v>372</v>
      </c>
      <c r="G3004">
        <v>0</v>
      </c>
      <c r="H3004" t="s">
        <v>323</v>
      </c>
      <c r="I3004" t="s">
        <v>324</v>
      </c>
      <c r="J3004" t="s">
        <v>2580</v>
      </c>
      <c r="K3004" t="s">
        <v>285</v>
      </c>
    </row>
    <row r="3005" spans="1:12">
      <c r="A3005" t="s">
        <v>318</v>
      </c>
      <c r="B3005" t="s">
        <v>2533</v>
      </c>
      <c r="C3005" t="s">
        <v>377</v>
      </c>
      <c r="D3005" s="28">
        <v>7689200026566</v>
      </c>
      <c r="E3005" s="29" t="s">
        <v>371</v>
      </c>
      <c r="F3005" s="29" t="s">
        <v>372</v>
      </c>
      <c r="G3005">
        <v>10</v>
      </c>
      <c r="H3005" t="s">
        <v>323</v>
      </c>
      <c r="I3005" t="s">
        <v>45</v>
      </c>
      <c r="J3005" t="s">
        <v>2580</v>
      </c>
      <c r="K3005" t="s">
        <v>1226</v>
      </c>
      <c r="L3005" t="s">
        <v>327</v>
      </c>
    </row>
    <row r="3006" spans="1:12">
      <c r="A3006" t="s">
        <v>318</v>
      </c>
      <c r="B3006" t="s">
        <v>2533</v>
      </c>
      <c r="C3006" t="s">
        <v>554</v>
      </c>
      <c r="D3006" s="28">
        <v>7689200026590</v>
      </c>
      <c r="E3006" s="29" t="s">
        <v>371</v>
      </c>
      <c r="F3006" s="29" t="s">
        <v>372</v>
      </c>
      <c r="G3006">
        <v>12</v>
      </c>
      <c r="H3006" t="s">
        <v>323</v>
      </c>
      <c r="I3006" t="s">
        <v>45</v>
      </c>
      <c r="J3006" t="s">
        <v>2580</v>
      </c>
      <c r="K3006" t="s">
        <v>1226</v>
      </c>
      <c r="L3006" t="s">
        <v>327</v>
      </c>
    </row>
    <row r="3007" spans="1:12">
      <c r="A3007" t="s">
        <v>318</v>
      </c>
      <c r="B3007" t="s">
        <v>2533</v>
      </c>
      <c r="C3007" t="s">
        <v>442</v>
      </c>
      <c r="D3007" s="28">
        <v>7689200026604</v>
      </c>
      <c r="E3007" s="29" t="s">
        <v>371</v>
      </c>
      <c r="F3007" s="29" t="s">
        <v>372</v>
      </c>
      <c r="G3007">
        <v>10</v>
      </c>
      <c r="H3007" t="s">
        <v>323</v>
      </c>
      <c r="I3007" t="s">
        <v>45</v>
      </c>
      <c r="J3007" t="s">
        <v>2580</v>
      </c>
      <c r="K3007" t="s">
        <v>285</v>
      </c>
      <c r="L3007" t="s">
        <v>327</v>
      </c>
    </row>
    <row r="3008" spans="1:12">
      <c r="A3008" t="s">
        <v>318</v>
      </c>
      <c r="B3008" t="s">
        <v>2533</v>
      </c>
      <c r="C3008" t="s">
        <v>2588</v>
      </c>
      <c r="D3008" s="28">
        <v>7689200026646</v>
      </c>
      <c r="E3008" s="29" t="s">
        <v>371</v>
      </c>
      <c r="F3008" s="29" t="s">
        <v>372</v>
      </c>
      <c r="G3008">
        <v>11</v>
      </c>
      <c r="H3008" t="s">
        <v>323</v>
      </c>
      <c r="I3008" t="s">
        <v>45</v>
      </c>
      <c r="J3008" t="s">
        <v>2580</v>
      </c>
      <c r="K3008" t="s">
        <v>1226</v>
      </c>
      <c r="L3008" t="s">
        <v>327</v>
      </c>
    </row>
    <row r="3009" spans="1:12">
      <c r="A3009" t="s">
        <v>318</v>
      </c>
      <c r="B3009" t="s">
        <v>2533</v>
      </c>
      <c r="C3009" t="s">
        <v>1994</v>
      </c>
      <c r="D3009" s="28">
        <v>7637700029778</v>
      </c>
      <c r="E3009" s="29" t="s">
        <v>371</v>
      </c>
      <c r="F3009" s="29" t="s">
        <v>372</v>
      </c>
      <c r="G3009">
        <v>0</v>
      </c>
      <c r="H3009" t="s">
        <v>323</v>
      </c>
      <c r="I3009" t="s">
        <v>324</v>
      </c>
      <c r="J3009" t="s">
        <v>2589</v>
      </c>
      <c r="K3009" t="s">
        <v>1226</v>
      </c>
      <c r="L3009" t="s">
        <v>327</v>
      </c>
    </row>
    <row r="3010" spans="1:12">
      <c r="A3010" t="s">
        <v>318</v>
      </c>
      <c r="B3010" t="s">
        <v>2533</v>
      </c>
      <c r="C3010" t="s">
        <v>2590</v>
      </c>
      <c r="D3010" s="28">
        <v>7637700029816</v>
      </c>
      <c r="E3010" s="29" t="s">
        <v>371</v>
      </c>
      <c r="F3010" s="29" t="s">
        <v>372</v>
      </c>
      <c r="G3010">
        <v>11</v>
      </c>
      <c r="H3010" t="s">
        <v>323</v>
      </c>
      <c r="I3010" t="s">
        <v>45</v>
      </c>
      <c r="J3010" t="s">
        <v>2589</v>
      </c>
      <c r="K3010" t="s">
        <v>1226</v>
      </c>
      <c r="L3010" t="s">
        <v>327</v>
      </c>
    </row>
    <row r="3011" spans="1:12">
      <c r="A3011" t="s">
        <v>318</v>
      </c>
      <c r="B3011" t="s">
        <v>2533</v>
      </c>
      <c r="C3011" t="s">
        <v>2591</v>
      </c>
      <c r="D3011" s="28">
        <v>7637700029845</v>
      </c>
      <c r="E3011" s="29" t="s">
        <v>371</v>
      </c>
      <c r="F3011" s="29" t="s">
        <v>372</v>
      </c>
      <c r="G3011">
        <v>13</v>
      </c>
      <c r="H3011" t="s">
        <v>323</v>
      </c>
      <c r="I3011" t="s">
        <v>45</v>
      </c>
      <c r="J3011" t="s">
        <v>2589</v>
      </c>
      <c r="K3011" t="s">
        <v>1226</v>
      </c>
      <c r="L3011" t="s">
        <v>327</v>
      </c>
    </row>
    <row r="3012" spans="1:12">
      <c r="A3012" t="s">
        <v>318</v>
      </c>
      <c r="B3012" t="s">
        <v>2533</v>
      </c>
      <c r="C3012" t="s">
        <v>2592</v>
      </c>
      <c r="D3012" s="28">
        <v>7637700029857</v>
      </c>
      <c r="E3012" s="29" t="s">
        <v>371</v>
      </c>
      <c r="F3012" s="29" t="s">
        <v>372</v>
      </c>
      <c r="G3012">
        <v>13</v>
      </c>
      <c r="H3012" t="s">
        <v>323</v>
      </c>
      <c r="I3012" t="s">
        <v>45</v>
      </c>
      <c r="J3012" t="s">
        <v>2589</v>
      </c>
      <c r="K3012" t="s">
        <v>285</v>
      </c>
      <c r="L3012" t="s">
        <v>327</v>
      </c>
    </row>
    <row r="3013" spans="1:12">
      <c r="A3013" t="s">
        <v>318</v>
      </c>
      <c r="B3013" t="s">
        <v>2533</v>
      </c>
      <c r="C3013" t="s">
        <v>501</v>
      </c>
      <c r="D3013" s="28">
        <v>7637700029875</v>
      </c>
      <c r="E3013" s="29" t="s">
        <v>371</v>
      </c>
      <c r="F3013" s="29" t="s">
        <v>372</v>
      </c>
      <c r="G3013">
        <v>13</v>
      </c>
      <c r="H3013" t="s">
        <v>323</v>
      </c>
      <c r="I3013" t="s">
        <v>45</v>
      </c>
      <c r="J3013" t="s">
        <v>2589</v>
      </c>
      <c r="K3013" t="s">
        <v>1226</v>
      </c>
      <c r="L3013" t="s">
        <v>327</v>
      </c>
    </row>
    <row r="3014" spans="1:12">
      <c r="A3014" t="s">
        <v>318</v>
      </c>
      <c r="B3014" t="s">
        <v>2533</v>
      </c>
      <c r="C3014" t="s">
        <v>2593</v>
      </c>
      <c r="D3014" s="28">
        <v>7637700029895</v>
      </c>
      <c r="E3014" s="29" t="s">
        <v>441</v>
      </c>
      <c r="F3014" s="29" t="s">
        <v>372</v>
      </c>
      <c r="G3014">
        <v>26</v>
      </c>
      <c r="H3014" t="s">
        <v>323</v>
      </c>
      <c r="I3014" t="s">
        <v>45</v>
      </c>
      <c r="J3014" t="s">
        <v>2589</v>
      </c>
      <c r="K3014" t="s">
        <v>285</v>
      </c>
      <c r="L3014" t="s">
        <v>327</v>
      </c>
    </row>
    <row r="3015" spans="1:12">
      <c r="A3015" t="s">
        <v>318</v>
      </c>
      <c r="B3015" t="s">
        <v>2533</v>
      </c>
      <c r="C3015" t="s">
        <v>2594</v>
      </c>
      <c r="D3015" s="28">
        <v>7637700029968</v>
      </c>
      <c r="E3015" s="29" t="s">
        <v>441</v>
      </c>
      <c r="F3015" s="29" t="s">
        <v>372</v>
      </c>
      <c r="G3015">
        <v>26</v>
      </c>
      <c r="H3015" t="s">
        <v>323</v>
      </c>
      <c r="I3015" t="s">
        <v>45</v>
      </c>
      <c r="J3015" t="s">
        <v>2589</v>
      </c>
      <c r="K3015" t="s">
        <v>285</v>
      </c>
      <c r="L3015" t="s">
        <v>327</v>
      </c>
    </row>
    <row r="3016" spans="1:12">
      <c r="A3016" t="s">
        <v>318</v>
      </c>
      <c r="B3016" t="s">
        <v>2533</v>
      </c>
      <c r="C3016" t="s">
        <v>2595</v>
      </c>
      <c r="D3016" s="28">
        <v>7637700029987</v>
      </c>
      <c r="E3016" s="29" t="s">
        <v>371</v>
      </c>
      <c r="F3016" s="29" t="s">
        <v>372</v>
      </c>
      <c r="G3016">
        <v>13</v>
      </c>
      <c r="H3016" t="s">
        <v>323</v>
      </c>
      <c r="I3016" t="s">
        <v>45</v>
      </c>
      <c r="J3016" t="s">
        <v>2589</v>
      </c>
      <c r="K3016" t="s">
        <v>285</v>
      </c>
      <c r="L3016" t="s">
        <v>327</v>
      </c>
    </row>
    <row r="3017" spans="1:12">
      <c r="A3017" t="s">
        <v>318</v>
      </c>
      <c r="B3017" t="s">
        <v>2533</v>
      </c>
      <c r="C3017" t="s">
        <v>2596</v>
      </c>
      <c r="D3017" s="28">
        <v>7637700030002</v>
      </c>
      <c r="E3017" s="29" t="s">
        <v>371</v>
      </c>
      <c r="F3017" s="29" t="s">
        <v>372</v>
      </c>
      <c r="G3017">
        <v>13</v>
      </c>
      <c r="H3017" t="s">
        <v>323</v>
      </c>
      <c r="I3017" t="s">
        <v>45</v>
      </c>
      <c r="J3017" t="s">
        <v>2589</v>
      </c>
      <c r="K3017" t="s">
        <v>285</v>
      </c>
      <c r="L3017" t="s">
        <v>327</v>
      </c>
    </row>
    <row r="3018" spans="1:12">
      <c r="A3018" t="s">
        <v>318</v>
      </c>
      <c r="B3018" t="s">
        <v>2533</v>
      </c>
      <c r="C3018" t="s">
        <v>2597</v>
      </c>
      <c r="D3018" s="28">
        <v>7637700030023</v>
      </c>
      <c r="E3018" s="29" t="s">
        <v>371</v>
      </c>
      <c r="F3018" s="29" t="s">
        <v>372</v>
      </c>
      <c r="G3018">
        <v>13</v>
      </c>
      <c r="H3018" t="s">
        <v>323</v>
      </c>
      <c r="I3018" t="s">
        <v>45</v>
      </c>
      <c r="J3018" t="s">
        <v>2589</v>
      </c>
      <c r="K3018" t="s">
        <v>285</v>
      </c>
      <c r="L3018" t="s">
        <v>327</v>
      </c>
    </row>
    <row r="3019" spans="1:12">
      <c r="A3019" t="s">
        <v>318</v>
      </c>
      <c r="B3019" t="s">
        <v>2533</v>
      </c>
      <c r="C3019" t="s">
        <v>602</v>
      </c>
      <c r="D3019" s="28">
        <v>7637700030045</v>
      </c>
      <c r="E3019" s="29" t="s">
        <v>371</v>
      </c>
      <c r="F3019" s="29" t="s">
        <v>372</v>
      </c>
      <c r="G3019">
        <v>13</v>
      </c>
      <c r="H3019" t="s">
        <v>323</v>
      </c>
      <c r="I3019" t="s">
        <v>45</v>
      </c>
      <c r="J3019" t="s">
        <v>2589</v>
      </c>
      <c r="K3019" t="s">
        <v>1226</v>
      </c>
      <c r="L3019" t="s">
        <v>327</v>
      </c>
    </row>
    <row r="3020" spans="1:12">
      <c r="A3020" t="s">
        <v>318</v>
      </c>
      <c r="B3020" t="s">
        <v>2533</v>
      </c>
      <c r="C3020" t="s">
        <v>958</v>
      </c>
      <c r="D3020" s="28">
        <v>7637700030090</v>
      </c>
      <c r="E3020" s="29" t="s">
        <v>371</v>
      </c>
      <c r="F3020" s="29" t="s">
        <v>372</v>
      </c>
      <c r="G3020">
        <v>13</v>
      </c>
      <c r="H3020" t="s">
        <v>323</v>
      </c>
      <c r="I3020" t="s">
        <v>45</v>
      </c>
      <c r="J3020" t="s">
        <v>2589</v>
      </c>
      <c r="K3020" t="s">
        <v>1226</v>
      </c>
      <c r="L3020" t="s">
        <v>327</v>
      </c>
    </row>
    <row r="3021" spans="1:12">
      <c r="A3021" t="s">
        <v>318</v>
      </c>
      <c r="B3021" t="s">
        <v>2533</v>
      </c>
      <c r="C3021" t="s">
        <v>2598</v>
      </c>
      <c r="D3021" s="28">
        <v>7637700030115</v>
      </c>
      <c r="E3021" s="29" t="s">
        <v>1045</v>
      </c>
      <c r="F3021" s="29" t="s">
        <v>372</v>
      </c>
      <c r="G3021">
        <v>15</v>
      </c>
      <c r="H3021" t="s">
        <v>323</v>
      </c>
      <c r="I3021" t="s">
        <v>45</v>
      </c>
      <c r="J3021" t="s">
        <v>2589</v>
      </c>
      <c r="K3021" t="s">
        <v>285</v>
      </c>
      <c r="L3021" t="s">
        <v>327</v>
      </c>
    </row>
    <row r="3022" spans="1:12">
      <c r="A3022" t="s">
        <v>318</v>
      </c>
      <c r="B3022" t="s">
        <v>2533</v>
      </c>
      <c r="C3022" t="s">
        <v>2599</v>
      </c>
      <c r="D3022" s="28">
        <v>7637700030141</v>
      </c>
      <c r="E3022" s="29" t="s">
        <v>1045</v>
      </c>
      <c r="F3022" s="29" t="s">
        <v>372</v>
      </c>
      <c r="G3022">
        <v>15</v>
      </c>
      <c r="H3022" t="s">
        <v>323</v>
      </c>
      <c r="I3022" t="s">
        <v>45</v>
      </c>
      <c r="J3022" t="s">
        <v>2589</v>
      </c>
      <c r="K3022" t="s">
        <v>1226</v>
      </c>
      <c r="L3022" t="s">
        <v>327</v>
      </c>
    </row>
    <row r="3023" spans="1:12">
      <c r="A3023" t="s">
        <v>318</v>
      </c>
      <c r="B3023" t="s">
        <v>2533</v>
      </c>
      <c r="C3023" t="s">
        <v>543</v>
      </c>
      <c r="D3023" s="28">
        <v>7637700030167</v>
      </c>
      <c r="E3023" s="29" t="s">
        <v>1045</v>
      </c>
      <c r="F3023" s="29" t="s">
        <v>372</v>
      </c>
      <c r="G3023">
        <v>15</v>
      </c>
      <c r="H3023" t="s">
        <v>323</v>
      </c>
      <c r="I3023" t="s">
        <v>45</v>
      </c>
      <c r="J3023" t="s">
        <v>2589</v>
      </c>
      <c r="K3023" t="s">
        <v>1226</v>
      </c>
      <c r="L3023" t="s">
        <v>327</v>
      </c>
    </row>
    <row r="3024" spans="1:12">
      <c r="A3024" t="s">
        <v>318</v>
      </c>
      <c r="B3024" t="s">
        <v>2533</v>
      </c>
      <c r="C3024" t="s">
        <v>2600</v>
      </c>
      <c r="D3024" s="28">
        <v>7637700030190</v>
      </c>
      <c r="E3024" s="29" t="s">
        <v>1045</v>
      </c>
      <c r="F3024" s="29" t="s">
        <v>372</v>
      </c>
      <c r="G3024">
        <v>15</v>
      </c>
      <c r="H3024" t="s">
        <v>323</v>
      </c>
      <c r="I3024" t="s">
        <v>45</v>
      </c>
      <c r="J3024" t="s">
        <v>2589</v>
      </c>
      <c r="K3024" t="s">
        <v>1226</v>
      </c>
      <c r="L3024" t="s">
        <v>327</v>
      </c>
    </row>
    <row r="3025" spans="1:12">
      <c r="A3025" t="s">
        <v>318</v>
      </c>
      <c r="B3025" t="s">
        <v>2533</v>
      </c>
      <c r="C3025" t="s">
        <v>377</v>
      </c>
      <c r="D3025" s="28">
        <v>7637700030210</v>
      </c>
      <c r="E3025" s="29" t="s">
        <v>1045</v>
      </c>
      <c r="F3025" s="29" t="s">
        <v>372</v>
      </c>
      <c r="G3025">
        <v>15</v>
      </c>
      <c r="H3025" t="s">
        <v>323</v>
      </c>
      <c r="I3025" t="s">
        <v>45</v>
      </c>
      <c r="J3025" t="s">
        <v>2589</v>
      </c>
      <c r="K3025" t="s">
        <v>1226</v>
      </c>
      <c r="L3025" t="s">
        <v>327</v>
      </c>
    </row>
    <row r="3026" spans="1:12">
      <c r="A3026" t="s">
        <v>318</v>
      </c>
      <c r="B3026" t="s">
        <v>2533</v>
      </c>
      <c r="C3026" t="s">
        <v>2601</v>
      </c>
      <c r="D3026" s="28">
        <v>7637700030251</v>
      </c>
      <c r="E3026" s="29" t="s">
        <v>1045</v>
      </c>
      <c r="F3026" s="29" t="s">
        <v>372</v>
      </c>
      <c r="G3026">
        <v>15</v>
      </c>
      <c r="H3026" t="s">
        <v>323</v>
      </c>
      <c r="I3026" t="s">
        <v>45</v>
      </c>
      <c r="J3026" t="s">
        <v>2589</v>
      </c>
      <c r="K3026" t="s">
        <v>1226</v>
      </c>
      <c r="L3026" t="s">
        <v>327</v>
      </c>
    </row>
    <row r="3027" spans="1:12">
      <c r="A3027" t="s">
        <v>318</v>
      </c>
      <c r="B3027" t="s">
        <v>2533</v>
      </c>
      <c r="C3027" t="s">
        <v>2539</v>
      </c>
      <c r="D3027" s="28">
        <v>7637700030292</v>
      </c>
      <c r="E3027" s="29" t="s">
        <v>1045</v>
      </c>
      <c r="F3027" s="29" t="s">
        <v>372</v>
      </c>
      <c r="G3027">
        <v>15</v>
      </c>
      <c r="H3027" t="s">
        <v>323</v>
      </c>
      <c r="I3027" t="s">
        <v>45</v>
      </c>
      <c r="J3027" t="s">
        <v>2589</v>
      </c>
      <c r="K3027" t="s">
        <v>1226</v>
      </c>
      <c r="L3027" t="s">
        <v>327</v>
      </c>
    </row>
    <row r="3028" spans="1:12">
      <c r="A3028" t="s">
        <v>318</v>
      </c>
      <c r="B3028" t="s">
        <v>2533</v>
      </c>
      <c r="C3028" t="s">
        <v>2602</v>
      </c>
      <c r="D3028" s="28">
        <v>7637700030314</v>
      </c>
      <c r="E3028" s="29" t="s">
        <v>1045</v>
      </c>
      <c r="F3028" s="29" t="s">
        <v>372</v>
      </c>
      <c r="G3028">
        <v>15</v>
      </c>
      <c r="H3028" t="s">
        <v>323</v>
      </c>
      <c r="I3028" t="s">
        <v>45</v>
      </c>
      <c r="J3028" t="s">
        <v>2589</v>
      </c>
      <c r="K3028" t="s">
        <v>1226</v>
      </c>
      <c r="L3028" t="s">
        <v>327</v>
      </c>
    </row>
    <row r="3029" spans="1:12">
      <c r="A3029" t="s">
        <v>318</v>
      </c>
      <c r="B3029" t="s">
        <v>2533</v>
      </c>
      <c r="C3029" t="s">
        <v>2603</v>
      </c>
      <c r="D3029" s="28">
        <v>763771121737</v>
      </c>
      <c r="E3029" s="29" t="s">
        <v>371</v>
      </c>
      <c r="F3029" s="29" t="s">
        <v>372</v>
      </c>
      <c r="G3029">
        <v>13</v>
      </c>
      <c r="H3029" t="s">
        <v>323</v>
      </c>
      <c r="I3029" t="s">
        <v>45</v>
      </c>
      <c r="J3029" t="s">
        <v>2589</v>
      </c>
      <c r="K3029" t="s">
        <v>285</v>
      </c>
      <c r="L3029" t="s">
        <v>327</v>
      </c>
    </row>
    <row r="3030" spans="1:12">
      <c r="A3030" t="s">
        <v>318</v>
      </c>
      <c r="B3030" t="s">
        <v>2533</v>
      </c>
      <c r="C3030" t="s">
        <v>554</v>
      </c>
      <c r="D3030" s="28">
        <v>7689200021767</v>
      </c>
      <c r="E3030" s="29" t="s">
        <v>529</v>
      </c>
      <c r="F3030" s="29" t="s">
        <v>372</v>
      </c>
      <c r="G3030">
        <v>0</v>
      </c>
      <c r="H3030" t="s">
        <v>1051</v>
      </c>
      <c r="I3030" t="s">
        <v>98</v>
      </c>
      <c r="J3030" t="s">
        <v>239</v>
      </c>
      <c r="K3030" t="s">
        <v>285</v>
      </c>
      <c r="L3030" t="s">
        <v>327</v>
      </c>
    </row>
    <row r="3031" spans="1:12">
      <c r="A3031" t="s">
        <v>318</v>
      </c>
      <c r="B3031" t="s">
        <v>2533</v>
      </c>
      <c r="C3031" t="s">
        <v>2604</v>
      </c>
      <c r="D3031" s="28">
        <v>7689200021772</v>
      </c>
      <c r="E3031" s="29" t="s">
        <v>529</v>
      </c>
      <c r="F3031" s="29" t="s">
        <v>372</v>
      </c>
      <c r="G3031">
        <v>15</v>
      </c>
      <c r="H3031" t="s">
        <v>1051</v>
      </c>
      <c r="I3031" t="s">
        <v>98</v>
      </c>
      <c r="J3031" t="s">
        <v>239</v>
      </c>
      <c r="K3031" t="s">
        <v>285</v>
      </c>
      <c r="L3031" t="s">
        <v>327</v>
      </c>
    </row>
    <row r="3032" spans="1:12">
      <c r="A3032" t="s">
        <v>318</v>
      </c>
      <c r="B3032" t="s">
        <v>2533</v>
      </c>
      <c r="C3032" t="s">
        <v>2605</v>
      </c>
      <c r="D3032" s="28">
        <v>7689200021780</v>
      </c>
      <c r="E3032" s="29" t="s">
        <v>529</v>
      </c>
      <c r="F3032" s="29" t="s">
        <v>372</v>
      </c>
      <c r="G3032">
        <v>15</v>
      </c>
      <c r="H3032" t="s">
        <v>1051</v>
      </c>
      <c r="I3032" t="s">
        <v>98</v>
      </c>
      <c r="J3032" t="s">
        <v>239</v>
      </c>
      <c r="K3032" t="s">
        <v>285</v>
      </c>
      <c r="L3032" t="s">
        <v>327</v>
      </c>
    </row>
    <row r="3033" spans="1:12">
      <c r="A3033" t="s">
        <v>318</v>
      </c>
      <c r="B3033" t="s">
        <v>2533</v>
      </c>
      <c r="C3033" t="s">
        <v>2606</v>
      </c>
      <c r="D3033" s="28">
        <v>7689200026389</v>
      </c>
      <c r="E3033" s="29" t="s">
        <v>529</v>
      </c>
      <c r="F3033" s="29" t="s">
        <v>372</v>
      </c>
      <c r="G3033">
        <v>15</v>
      </c>
      <c r="H3033" t="s">
        <v>1051</v>
      </c>
      <c r="I3033" t="s">
        <v>98</v>
      </c>
      <c r="J3033" t="s">
        <v>239</v>
      </c>
      <c r="K3033" t="s">
        <v>285</v>
      </c>
      <c r="L3033" t="s">
        <v>327</v>
      </c>
    </row>
    <row r="3034" spans="1:12">
      <c r="A3034" t="s">
        <v>318</v>
      </c>
      <c r="B3034" t="s">
        <v>2533</v>
      </c>
      <c r="C3034" t="s">
        <v>2607</v>
      </c>
      <c r="D3034" s="28">
        <v>7689200102059</v>
      </c>
      <c r="E3034" s="29" t="s">
        <v>529</v>
      </c>
      <c r="F3034" s="29" t="s">
        <v>372</v>
      </c>
      <c r="G3034">
        <v>14</v>
      </c>
      <c r="H3034" t="s">
        <v>1051</v>
      </c>
      <c r="I3034" t="s">
        <v>98</v>
      </c>
      <c r="J3034" t="s">
        <v>239</v>
      </c>
      <c r="K3034" t="s">
        <v>285</v>
      </c>
      <c r="L3034" t="s">
        <v>327</v>
      </c>
    </row>
    <row r="3035" spans="1:12">
      <c r="A3035" t="s">
        <v>318</v>
      </c>
      <c r="B3035" t="s">
        <v>2533</v>
      </c>
      <c r="C3035" t="s">
        <v>598</v>
      </c>
      <c r="D3035" s="28">
        <v>7689200116695</v>
      </c>
      <c r="E3035" s="29" t="s">
        <v>529</v>
      </c>
      <c r="F3035" s="29" t="s">
        <v>372</v>
      </c>
      <c r="G3035">
        <v>15</v>
      </c>
      <c r="H3035" t="s">
        <v>1051</v>
      </c>
      <c r="I3035" t="s">
        <v>98</v>
      </c>
      <c r="J3035" t="s">
        <v>239</v>
      </c>
      <c r="K3035" t="s">
        <v>285</v>
      </c>
      <c r="L3035" t="s">
        <v>327</v>
      </c>
    </row>
    <row r="3036" spans="1:12">
      <c r="A3036" t="s">
        <v>318</v>
      </c>
      <c r="B3036" t="s">
        <v>2533</v>
      </c>
      <c r="C3036" t="s">
        <v>2608</v>
      </c>
      <c r="D3036" s="28">
        <v>768921121754</v>
      </c>
      <c r="E3036" s="29" t="s">
        <v>529</v>
      </c>
      <c r="F3036" s="29" t="s">
        <v>372</v>
      </c>
      <c r="G3036">
        <v>13</v>
      </c>
      <c r="H3036" t="s">
        <v>1051</v>
      </c>
      <c r="I3036" t="s">
        <v>98</v>
      </c>
      <c r="J3036" t="s">
        <v>239</v>
      </c>
      <c r="K3036" t="s">
        <v>285</v>
      </c>
      <c r="L3036" t="s">
        <v>327</v>
      </c>
    </row>
    <row r="3037" spans="1:12">
      <c r="A3037" t="s">
        <v>318</v>
      </c>
      <c r="B3037" t="s">
        <v>2533</v>
      </c>
      <c r="C3037" t="s">
        <v>2609</v>
      </c>
      <c r="D3037" s="28">
        <v>7689200000777</v>
      </c>
      <c r="E3037" s="29" t="s">
        <v>371</v>
      </c>
      <c r="F3037" s="29" t="s">
        <v>372</v>
      </c>
      <c r="G3037">
        <v>12</v>
      </c>
      <c r="H3037" t="s">
        <v>323</v>
      </c>
      <c r="I3037" t="s">
        <v>45</v>
      </c>
      <c r="J3037" t="s">
        <v>239</v>
      </c>
      <c r="K3037" t="s">
        <v>285</v>
      </c>
      <c r="L3037" t="s">
        <v>327</v>
      </c>
    </row>
    <row r="3038" spans="1:12">
      <c r="A3038" t="s">
        <v>318</v>
      </c>
      <c r="B3038" t="s">
        <v>2533</v>
      </c>
      <c r="C3038" t="s">
        <v>2610</v>
      </c>
      <c r="D3038" s="28">
        <v>7689200012641</v>
      </c>
      <c r="E3038" s="29" t="s">
        <v>371</v>
      </c>
      <c r="F3038" s="29" t="s">
        <v>372</v>
      </c>
      <c r="G3038">
        <v>12</v>
      </c>
      <c r="H3038" t="s">
        <v>323</v>
      </c>
      <c r="I3038" t="s">
        <v>45</v>
      </c>
      <c r="J3038" t="s">
        <v>239</v>
      </c>
      <c r="K3038" t="s">
        <v>285</v>
      </c>
      <c r="L3038" t="s">
        <v>327</v>
      </c>
    </row>
    <row r="3039" spans="1:12">
      <c r="A3039" t="s">
        <v>318</v>
      </c>
      <c r="B3039" t="s">
        <v>2533</v>
      </c>
      <c r="C3039" t="s">
        <v>598</v>
      </c>
      <c r="D3039" s="28">
        <v>7689200020490</v>
      </c>
      <c r="E3039" s="29" t="s">
        <v>371</v>
      </c>
      <c r="F3039" s="29" t="s">
        <v>372</v>
      </c>
      <c r="G3039">
        <v>12</v>
      </c>
      <c r="H3039" t="s">
        <v>323</v>
      </c>
      <c r="I3039" t="s">
        <v>45</v>
      </c>
      <c r="J3039" t="s">
        <v>239</v>
      </c>
      <c r="K3039" t="s">
        <v>285</v>
      </c>
      <c r="L3039" t="s">
        <v>327</v>
      </c>
    </row>
    <row r="3040" spans="1:12">
      <c r="A3040" t="s">
        <v>318</v>
      </c>
      <c r="B3040" t="s">
        <v>2533</v>
      </c>
      <c r="C3040" t="s">
        <v>1036</v>
      </c>
      <c r="D3040" s="28">
        <v>7689200021747</v>
      </c>
      <c r="E3040" s="29" t="s">
        <v>371</v>
      </c>
      <c r="F3040" s="29" t="s">
        <v>372</v>
      </c>
      <c r="G3040">
        <v>12</v>
      </c>
      <c r="H3040" t="s">
        <v>323</v>
      </c>
      <c r="I3040" t="s">
        <v>45</v>
      </c>
      <c r="J3040" t="s">
        <v>239</v>
      </c>
      <c r="K3040" t="s">
        <v>285</v>
      </c>
      <c r="L3040" t="s">
        <v>327</v>
      </c>
    </row>
    <row r="3041" spans="1:12">
      <c r="A3041" t="s">
        <v>318</v>
      </c>
      <c r="B3041" t="s">
        <v>2533</v>
      </c>
      <c r="C3041" t="s">
        <v>2611</v>
      </c>
      <c r="D3041" s="28">
        <v>7689200029422</v>
      </c>
      <c r="E3041" s="29" t="s">
        <v>371</v>
      </c>
      <c r="F3041" s="29" t="s">
        <v>372</v>
      </c>
      <c r="G3041">
        <v>12</v>
      </c>
      <c r="H3041" t="s">
        <v>323</v>
      </c>
      <c r="I3041" t="s">
        <v>45</v>
      </c>
      <c r="J3041" t="s">
        <v>239</v>
      </c>
      <c r="K3041" t="s">
        <v>285</v>
      </c>
      <c r="L3041" t="s">
        <v>327</v>
      </c>
    </row>
    <row r="3042" spans="1:12">
      <c r="A3042" t="s">
        <v>318</v>
      </c>
      <c r="B3042" t="s">
        <v>2533</v>
      </c>
      <c r="C3042" t="s">
        <v>382</v>
      </c>
      <c r="D3042" s="28">
        <v>7689200029424</v>
      </c>
      <c r="E3042" s="29" t="s">
        <v>371</v>
      </c>
      <c r="F3042" s="29" t="s">
        <v>372</v>
      </c>
      <c r="G3042">
        <v>10</v>
      </c>
      <c r="H3042" t="s">
        <v>323</v>
      </c>
      <c r="I3042" t="s">
        <v>45</v>
      </c>
      <c r="J3042" t="s">
        <v>239</v>
      </c>
      <c r="K3042" t="s">
        <v>285</v>
      </c>
      <c r="L3042" t="s">
        <v>327</v>
      </c>
    </row>
    <row r="3043" spans="1:12">
      <c r="A3043" t="s">
        <v>318</v>
      </c>
      <c r="B3043" t="s">
        <v>2533</v>
      </c>
      <c r="C3043" t="s">
        <v>2612</v>
      </c>
      <c r="D3043" s="28">
        <v>7689200029427</v>
      </c>
      <c r="E3043" s="29" t="s">
        <v>371</v>
      </c>
      <c r="F3043" s="29" t="s">
        <v>372</v>
      </c>
      <c r="G3043">
        <v>12</v>
      </c>
      <c r="H3043" t="s">
        <v>323</v>
      </c>
      <c r="I3043" t="s">
        <v>45</v>
      </c>
      <c r="J3043" t="s">
        <v>239</v>
      </c>
      <c r="K3043" t="s">
        <v>285</v>
      </c>
      <c r="L3043" t="s">
        <v>327</v>
      </c>
    </row>
    <row r="3044" spans="1:12">
      <c r="A3044" t="s">
        <v>318</v>
      </c>
      <c r="B3044" t="s">
        <v>2533</v>
      </c>
      <c r="C3044" t="s">
        <v>2613</v>
      </c>
      <c r="D3044" s="28">
        <v>7689200029436</v>
      </c>
      <c r="E3044" s="29" t="s">
        <v>371</v>
      </c>
      <c r="F3044" s="29" t="s">
        <v>372</v>
      </c>
      <c r="G3044">
        <v>13</v>
      </c>
      <c r="H3044" t="s">
        <v>323</v>
      </c>
      <c r="I3044" t="s">
        <v>45</v>
      </c>
      <c r="J3044" t="s">
        <v>239</v>
      </c>
      <c r="K3044" t="s">
        <v>285</v>
      </c>
      <c r="L3044" t="s">
        <v>327</v>
      </c>
    </row>
    <row r="3045" spans="1:12">
      <c r="A3045" t="s">
        <v>318</v>
      </c>
      <c r="B3045" t="s">
        <v>2533</v>
      </c>
      <c r="C3045" t="s">
        <v>2357</v>
      </c>
      <c r="D3045" s="28">
        <v>7689200029437</v>
      </c>
      <c r="E3045" s="29" t="s">
        <v>371</v>
      </c>
      <c r="F3045" s="29" t="s">
        <v>372</v>
      </c>
      <c r="G3045">
        <v>12</v>
      </c>
      <c r="H3045" t="s">
        <v>323</v>
      </c>
      <c r="I3045" t="s">
        <v>45</v>
      </c>
      <c r="J3045" t="s">
        <v>239</v>
      </c>
      <c r="K3045" t="s">
        <v>1226</v>
      </c>
      <c r="L3045" t="s">
        <v>327</v>
      </c>
    </row>
    <row r="3046" spans="1:12">
      <c r="A3046" t="s">
        <v>318</v>
      </c>
      <c r="B3046" t="s">
        <v>2533</v>
      </c>
      <c r="C3046" t="s">
        <v>2614</v>
      </c>
      <c r="D3046" s="28">
        <v>7689200029445</v>
      </c>
      <c r="E3046" s="29" t="s">
        <v>529</v>
      </c>
      <c r="F3046" s="29" t="s">
        <v>372</v>
      </c>
      <c r="G3046">
        <v>15</v>
      </c>
      <c r="H3046" t="s">
        <v>323</v>
      </c>
      <c r="I3046" t="s">
        <v>45</v>
      </c>
      <c r="J3046" t="s">
        <v>239</v>
      </c>
      <c r="K3046" t="s">
        <v>285</v>
      </c>
      <c r="L3046" t="s">
        <v>327</v>
      </c>
    </row>
    <row r="3047" spans="1:12">
      <c r="A3047" t="s">
        <v>318</v>
      </c>
      <c r="B3047" t="s">
        <v>2533</v>
      </c>
      <c r="C3047" t="s">
        <v>2615</v>
      </c>
      <c r="D3047" s="28">
        <v>7689200029447</v>
      </c>
      <c r="E3047" s="29" t="s">
        <v>529</v>
      </c>
      <c r="F3047" s="29" t="s">
        <v>372</v>
      </c>
      <c r="G3047">
        <v>13</v>
      </c>
      <c r="H3047" t="s">
        <v>323</v>
      </c>
      <c r="I3047" t="s">
        <v>45</v>
      </c>
      <c r="J3047" t="s">
        <v>239</v>
      </c>
      <c r="K3047" t="s">
        <v>1226</v>
      </c>
      <c r="L3047" t="s">
        <v>327</v>
      </c>
    </row>
    <row r="3048" spans="1:12">
      <c r="A3048" t="s">
        <v>318</v>
      </c>
      <c r="B3048" t="s">
        <v>2533</v>
      </c>
      <c r="C3048" t="s">
        <v>2059</v>
      </c>
      <c r="D3048" s="28">
        <v>7689200029450</v>
      </c>
      <c r="E3048" s="29" t="s">
        <v>529</v>
      </c>
      <c r="F3048" s="29" t="s">
        <v>372</v>
      </c>
      <c r="G3048">
        <v>12</v>
      </c>
      <c r="H3048" t="s">
        <v>323</v>
      </c>
      <c r="I3048" t="s">
        <v>45</v>
      </c>
      <c r="J3048" t="s">
        <v>239</v>
      </c>
      <c r="K3048" t="s">
        <v>285</v>
      </c>
      <c r="L3048" t="s">
        <v>327</v>
      </c>
    </row>
    <row r="3049" spans="1:12">
      <c r="A3049" t="s">
        <v>318</v>
      </c>
      <c r="B3049" t="s">
        <v>2533</v>
      </c>
      <c r="C3049" t="s">
        <v>659</v>
      </c>
      <c r="D3049" s="28">
        <v>7689200029453</v>
      </c>
      <c r="E3049" s="29" t="s">
        <v>529</v>
      </c>
      <c r="F3049" s="29" t="s">
        <v>372</v>
      </c>
      <c r="G3049">
        <v>15</v>
      </c>
      <c r="H3049" t="s">
        <v>323</v>
      </c>
      <c r="I3049" t="s">
        <v>45</v>
      </c>
      <c r="J3049" t="s">
        <v>239</v>
      </c>
      <c r="K3049" t="s">
        <v>1226</v>
      </c>
      <c r="L3049" t="s">
        <v>327</v>
      </c>
    </row>
    <row r="3050" spans="1:12">
      <c r="A3050" t="s">
        <v>318</v>
      </c>
      <c r="B3050" t="s">
        <v>2533</v>
      </c>
      <c r="C3050" t="s">
        <v>2616</v>
      </c>
      <c r="D3050" s="28">
        <v>7689200029454</v>
      </c>
      <c r="E3050" s="29" t="s">
        <v>529</v>
      </c>
      <c r="F3050" s="29" t="s">
        <v>372</v>
      </c>
      <c r="G3050">
        <v>14</v>
      </c>
      <c r="H3050" t="s">
        <v>323</v>
      </c>
      <c r="I3050" t="s">
        <v>45</v>
      </c>
      <c r="J3050" t="s">
        <v>239</v>
      </c>
      <c r="K3050" t="s">
        <v>285</v>
      </c>
      <c r="L3050" t="s">
        <v>327</v>
      </c>
    </row>
    <row r="3051" spans="1:12">
      <c r="A3051" t="s">
        <v>318</v>
      </c>
      <c r="B3051" t="s">
        <v>2533</v>
      </c>
      <c r="C3051" t="s">
        <v>2617</v>
      </c>
      <c r="D3051" s="28">
        <v>7689200029459</v>
      </c>
      <c r="E3051" s="29" t="s">
        <v>529</v>
      </c>
      <c r="F3051" s="29" t="s">
        <v>372</v>
      </c>
      <c r="G3051">
        <v>15</v>
      </c>
      <c r="H3051" t="s">
        <v>323</v>
      </c>
      <c r="I3051" t="s">
        <v>45</v>
      </c>
      <c r="J3051" t="s">
        <v>239</v>
      </c>
      <c r="K3051" t="s">
        <v>1226</v>
      </c>
      <c r="L3051" t="s">
        <v>327</v>
      </c>
    </row>
    <row r="3052" spans="1:12">
      <c r="A3052" t="s">
        <v>318</v>
      </c>
      <c r="B3052" t="s">
        <v>2533</v>
      </c>
      <c r="C3052" t="s">
        <v>2618</v>
      </c>
      <c r="D3052" s="28">
        <v>7689200102043</v>
      </c>
      <c r="E3052" s="29" t="s">
        <v>371</v>
      </c>
      <c r="F3052" s="29" t="s">
        <v>372</v>
      </c>
      <c r="G3052">
        <v>13</v>
      </c>
      <c r="H3052" t="s">
        <v>323</v>
      </c>
      <c r="I3052" t="s">
        <v>45</v>
      </c>
      <c r="J3052" t="s">
        <v>239</v>
      </c>
      <c r="K3052" t="s">
        <v>285</v>
      </c>
      <c r="L3052" t="s">
        <v>327</v>
      </c>
    </row>
    <row r="3053" spans="1:12">
      <c r="A3053" t="s">
        <v>318</v>
      </c>
      <c r="B3053" t="s">
        <v>2533</v>
      </c>
      <c r="C3053" t="s">
        <v>2619</v>
      </c>
      <c r="D3053" s="28">
        <v>7689200019912</v>
      </c>
      <c r="E3053" s="29" t="s">
        <v>368</v>
      </c>
      <c r="F3053" s="29" t="s">
        <v>364</v>
      </c>
      <c r="G3053">
        <v>448</v>
      </c>
      <c r="H3053" t="s">
        <v>323</v>
      </c>
      <c r="I3053" t="s">
        <v>45</v>
      </c>
      <c r="J3053" t="s">
        <v>239</v>
      </c>
      <c r="K3053" t="s">
        <v>337</v>
      </c>
      <c r="L3053" t="s">
        <v>327</v>
      </c>
    </row>
    <row r="3054" spans="1:12">
      <c r="A3054" t="s">
        <v>318</v>
      </c>
      <c r="B3054" t="s">
        <v>2533</v>
      </c>
      <c r="C3054" t="s">
        <v>2620</v>
      </c>
      <c r="D3054" s="28">
        <v>768691139277</v>
      </c>
      <c r="E3054" s="29" t="s">
        <v>368</v>
      </c>
      <c r="F3054" s="29" t="s">
        <v>364</v>
      </c>
      <c r="G3054">
        <v>72</v>
      </c>
      <c r="H3054" t="s">
        <v>323</v>
      </c>
      <c r="I3054" t="s">
        <v>45</v>
      </c>
      <c r="J3054" t="s">
        <v>2580</v>
      </c>
      <c r="K3054" t="s">
        <v>394</v>
      </c>
      <c r="L3054" t="s">
        <v>327</v>
      </c>
    </row>
    <row r="3055" spans="1:12">
      <c r="A3055" t="s">
        <v>318</v>
      </c>
      <c r="B3055" t="s">
        <v>2533</v>
      </c>
      <c r="C3055" t="s">
        <v>2621</v>
      </c>
      <c r="D3055" s="28">
        <v>7689200113989</v>
      </c>
      <c r="E3055" s="29" t="s">
        <v>368</v>
      </c>
      <c r="F3055" s="29" t="s">
        <v>364</v>
      </c>
      <c r="G3055">
        <v>92</v>
      </c>
      <c r="H3055" t="s">
        <v>323</v>
      </c>
      <c r="I3055" t="s">
        <v>98</v>
      </c>
      <c r="J3055" t="s">
        <v>239</v>
      </c>
      <c r="K3055" t="s">
        <v>394</v>
      </c>
      <c r="L3055" t="s">
        <v>1090</v>
      </c>
    </row>
    <row r="3056" spans="1:12">
      <c r="A3056" t="s">
        <v>318</v>
      </c>
      <c r="B3056" t="s">
        <v>2533</v>
      </c>
      <c r="C3056" t="s">
        <v>2622</v>
      </c>
      <c r="D3056" s="28">
        <v>768921114459</v>
      </c>
      <c r="E3056" s="29" t="s">
        <v>368</v>
      </c>
      <c r="F3056" s="29" t="s">
        <v>364</v>
      </c>
      <c r="G3056">
        <v>88</v>
      </c>
      <c r="H3056" t="s">
        <v>323</v>
      </c>
      <c r="I3056" t="s">
        <v>45</v>
      </c>
      <c r="J3056" t="s">
        <v>239</v>
      </c>
      <c r="K3056" t="s">
        <v>394</v>
      </c>
      <c r="L3056" t="s">
        <v>1090</v>
      </c>
    </row>
    <row r="3057" spans="1:12">
      <c r="A3057" t="s">
        <v>318</v>
      </c>
      <c r="B3057" t="s">
        <v>2533</v>
      </c>
      <c r="C3057" t="s">
        <v>2623</v>
      </c>
      <c r="D3057" s="28">
        <v>7689200021343</v>
      </c>
      <c r="E3057" s="29" t="s">
        <v>987</v>
      </c>
      <c r="F3057" s="29" t="s">
        <v>364</v>
      </c>
      <c r="G3057">
        <v>120</v>
      </c>
      <c r="H3057" t="s">
        <v>323</v>
      </c>
      <c r="I3057" t="s">
        <v>45</v>
      </c>
      <c r="J3057" t="s">
        <v>239</v>
      </c>
      <c r="K3057" t="s">
        <v>394</v>
      </c>
      <c r="L3057" t="s">
        <v>327</v>
      </c>
    </row>
    <row r="3058" spans="1:12">
      <c r="A3058" t="s">
        <v>318</v>
      </c>
      <c r="B3058" t="s">
        <v>2533</v>
      </c>
      <c r="C3058" t="s">
        <v>2624</v>
      </c>
      <c r="D3058" s="28">
        <v>7689200021821</v>
      </c>
      <c r="E3058" s="29" t="s">
        <v>987</v>
      </c>
      <c r="F3058" s="29" t="s">
        <v>364</v>
      </c>
      <c r="G3058">
        <v>216</v>
      </c>
      <c r="H3058" t="s">
        <v>323</v>
      </c>
      <c r="I3058" t="s">
        <v>45</v>
      </c>
      <c r="J3058" t="s">
        <v>239</v>
      </c>
      <c r="K3058" t="s">
        <v>394</v>
      </c>
      <c r="L3058" t="s">
        <v>327</v>
      </c>
    </row>
    <row r="3059" spans="1:12">
      <c r="A3059" t="s">
        <v>2625</v>
      </c>
      <c r="B3059" t="s">
        <v>2626</v>
      </c>
      <c r="C3059" t="s">
        <v>2627</v>
      </c>
      <c r="D3059" s="29">
        <v>6600100055738</v>
      </c>
      <c r="E3059" s="29" t="s">
        <v>987</v>
      </c>
      <c r="F3059" s="29" t="s">
        <v>364</v>
      </c>
      <c r="G3059">
        <v>142</v>
      </c>
      <c r="H3059" t="s">
        <v>323</v>
      </c>
      <c r="I3059" t="s">
        <v>324</v>
      </c>
      <c r="J3059" t="s">
        <v>127</v>
      </c>
      <c r="K3059" t="s">
        <v>365</v>
      </c>
      <c r="L3059" t="s">
        <v>2628</v>
      </c>
    </row>
    <row r="3060" spans="1:12">
      <c r="A3060" t="s">
        <v>2625</v>
      </c>
      <c r="B3060" t="s">
        <v>2626</v>
      </c>
      <c r="C3060" t="s">
        <v>2629</v>
      </c>
      <c r="D3060" s="29">
        <v>6600100053895</v>
      </c>
      <c r="E3060" s="29" t="s">
        <v>371</v>
      </c>
      <c r="F3060" s="29" t="s">
        <v>372</v>
      </c>
      <c r="G3060">
        <v>8</v>
      </c>
      <c r="H3060" t="s">
        <v>323</v>
      </c>
      <c r="I3060" t="s">
        <v>45</v>
      </c>
      <c r="J3060" t="s">
        <v>127</v>
      </c>
      <c r="K3060" t="s">
        <v>285</v>
      </c>
      <c r="L3060" t="s">
        <v>2630</v>
      </c>
    </row>
    <row r="3061" spans="1:12">
      <c r="A3061" t="s">
        <v>2625</v>
      </c>
      <c r="B3061" t="s">
        <v>2626</v>
      </c>
      <c r="C3061" t="s">
        <v>2631</v>
      </c>
      <c r="D3061" s="29">
        <v>6600100053686</v>
      </c>
      <c r="E3061" s="29" t="s">
        <v>371</v>
      </c>
      <c r="F3061" s="29" t="s">
        <v>372</v>
      </c>
      <c r="G3061">
        <v>10</v>
      </c>
      <c r="H3061" t="s">
        <v>323</v>
      </c>
      <c r="I3061" t="s">
        <v>45</v>
      </c>
      <c r="J3061" t="s">
        <v>127</v>
      </c>
      <c r="K3061" t="s">
        <v>285</v>
      </c>
      <c r="L3061" t="s">
        <v>2630</v>
      </c>
    </row>
    <row r="3062" spans="1:12">
      <c r="A3062" t="s">
        <v>2625</v>
      </c>
      <c r="B3062" t="s">
        <v>2626</v>
      </c>
      <c r="C3062" t="s">
        <v>2632</v>
      </c>
      <c r="D3062" s="29">
        <v>6600100082853</v>
      </c>
      <c r="E3062" s="29" t="s">
        <v>371</v>
      </c>
      <c r="F3062" s="29" t="s">
        <v>372</v>
      </c>
      <c r="G3062">
        <v>9</v>
      </c>
      <c r="H3062" t="s">
        <v>2633</v>
      </c>
      <c r="I3062" t="s">
        <v>45</v>
      </c>
      <c r="J3062" t="s">
        <v>127</v>
      </c>
      <c r="K3062" t="s">
        <v>285</v>
      </c>
      <c r="L3062" t="s">
        <v>2630</v>
      </c>
    </row>
    <row r="3063" spans="1:12">
      <c r="A3063" t="s">
        <v>2625</v>
      </c>
      <c r="B3063" t="s">
        <v>2626</v>
      </c>
      <c r="C3063" t="s">
        <v>969</v>
      </c>
      <c r="D3063" s="29">
        <v>6600100054770</v>
      </c>
      <c r="E3063" s="29" t="s">
        <v>371</v>
      </c>
      <c r="F3063" s="29" t="s">
        <v>372</v>
      </c>
      <c r="G3063">
        <v>10</v>
      </c>
      <c r="H3063" t="s">
        <v>323</v>
      </c>
      <c r="I3063" t="s">
        <v>45</v>
      </c>
      <c r="J3063" t="s">
        <v>127</v>
      </c>
      <c r="K3063" t="s">
        <v>285</v>
      </c>
      <c r="L3063" t="s">
        <v>2630</v>
      </c>
    </row>
    <row r="3064" spans="1:12">
      <c r="A3064" t="s">
        <v>2625</v>
      </c>
      <c r="B3064" t="s">
        <v>2626</v>
      </c>
      <c r="C3064" t="s">
        <v>1736</v>
      </c>
      <c r="D3064" s="29">
        <v>6600100107888</v>
      </c>
      <c r="E3064" s="29" t="s">
        <v>371</v>
      </c>
      <c r="F3064" s="29" t="s">
        <v>372</v>
      </c>
      <c r="G3064">
        <v>9</v>
      </c>
      <c r="H3064" t="s">
        <v>323</v>
      </c>
      <c r="I3064" t="s">
        <v>45</v>
      </c>
      <c r="J3064" t="s">
        <v>127</v>
      </c>
      <c r="K3064" t="s">
        <v>285</v>
      </c>
      <c r="L3064" t="s">
        <v>2630</v>
      </c>
    </row>
    <row r="3065" spans="1:12">
      <c r="A3065" t="s">
        <v>2625</v>
      </c>
      <c r="B3065" t="s">
        <v>2634</v>
      </c>
      <c r="C3065" t="s">
        <v>2635</v>
      </c>
      <c r="D3065" s="29">
        <v>6657200129972</v>
      </c>
      <c r="E3065" s="29" t="s">
        <v>329</v>
      </c>
      <c r="F3065" s="29" t="s">
        <v>322</v>
      </c>
      <c r="G3065">
        <v>10</v>
      </c>
      <c r="H3065" t="s">
        <v>323</v>
      </c>
      <c r="I3065" t="s">
        <v>45</v>
      </c>
      <c r="J3065" t="s">
        <v>2636</v>
      </c>
      <c r="K3065" t="s">
        <v>285</v>
      </c>
      <c r="L3065" t="s">
        <v>2630</v>
      </c>
    </row>
    <row r="3066" spans="1:12">
      <c r="A3066" t="s">
        <v>2625</v>
      </c>
      <c r="B3066" t="s">
        <v>2626</v>
      </c>
      <c r="C3066" t="s">
        <v>2319</v>
      </c>
      <c r="D3066" s="29">
        <v>6600100054991</v>
      </c>
      <c r="E3066" s="29" t="s">
        <v>371</v>
      </c>
      <c r="F3066" s="29" t="s">
        <v>372</v>
      </c>
      <c r="G3066">
        <v>10</v>
      </c>
      <c r="H3066" t="s">
        <v>323</v>
      </c>
      <c r="I3066" t="s">
        <v>45</v>
      </c>
      <c r="J3066" t="s">
        <v>127</v>
      </c>
      <c r="K3066" t="s">
        <v>285</v>
      </c>
      <c r="L3066" t="s">
        <v>2630</v>
      </c>
    </row>
    <row r="3067" spans="1:12">
      <c r="A3067" t="s">
        <v>2625</v>
      </c>
      <c r="B3067" t="s">
        <v>2626</v>
      </c>
      <c r="C3067" t="s">
        <v>488</v>
      </c>
      <c r="D3067" s="29">
        <v>6600100054887</v>
      </c>
      <c r="E3067" s="29" t="s">
        <v>371</v>
      </c>
      <c r="F3067" s="29" t="s">
        <v>372</v>
      </c>
      <c r="G3067">
        <v>10</v>
      </c>
      <c r="H3067" t="s">
        <v>323</v>
      </c>
      <c r="I3067" t="s">
        <v>45</v>
      </c>
      <c r="J3067" t="s">
        <v>127</v>
      </c>
      <c r="K3067" t="s">
        <v>285</v>
      </c>
      <c r="L3067" t="s">
        <v>2630</v>
      </c>
    </row>
    <row r="3068" spans="1:12">
      <c r="A3068" t="s">
        <v>2625</v>
      </c>
      <c r="B3068" t="s">
        <v>2626</v>
      </c>
      <c r="C3068" t="s">
        <v>2637</v>
      </c>
      <c r="D3068" s="29">
        <v>6600100053901</v>
      </c>
      <c r="E3068" s="29" t="s">
        <v>371</v>
      </c>
      <c r="F3068" s="29" t="s">
        <v>372</v>
      </c>
      <c r="G3068">
        <v>9</v>
      </c>
      <c r="H3068" t="s">
        <v>323</v>
      </c>
      <c r="I3068" t="s">
        <v>45</v>
      </c>
      <c r="J3068" t="s">
        <v>127</v>
      </c>
      <c r="K3068" t="s">
        <v>285</v>
      </c>
      <c r="L3068" t="s">
        <v>2630</v>
      </c>
    </row>
    <row r="3069" spans="1:12">
      <c r="A3069" t="s">
        <v>2625</v>
      </c>
      <c r="B3069" t="s">
        <v>2626</v>
      </c>
      <c r="C3069" t="s">
        <v>568</v>
      </c>
      <c r="D3069" s="29">
        <v>6600100054700</v>
      </c>
      <c r="E3069" s="29" t="s">
        <v>371</v>
      </c>
      <c r="F3069" s="29" t="s">
        <v>372</v>
      </c>
      <c r="G3069">
        <v>9</v>
      </c>
      <c r="H3069" t="s">
        <v>323</v>
      </c>
      <c r="I3069" t="s">
        <v>45</v>
      </c>
      <c r="J3069" t="s">
        <v>127</v>
      </c>
      <c r="K3069" t="s">
        <v>285</v>
      </c>
      <c r="L3069" t="s">
        <v>2630</v>
      </c>
    </row>
    <row r="3070" spans="1:12">
      <c r="A3070" t="s">
        <v>2625</v>
      </c>
      <c r="B3070" t="s">
        <v>2626</v>
      </c>
      <c r="C3070" t="s">
        <v>442</v>
      </c>
      <c r="D3070" s="29">
        <v>6600100054244</v>
      </c>
      <c r="E3070" s="29" t="s">
        <v>371</v>
      </c>
      <c r="F3070" s="29" t="s">
        <v>372</v>
      </c>
      <c r="G3070">
        <v>10</v>
      </c>
      <c r="H3070" t="s">
        <v>323</v>
      </c>
      <c r="I3070" t="s">
        <v>45</v>
      </c>
      <c r="J3070" t="s">
        <v>127</v>
      </c>
      <c r="K3070" t="s">
        <v>285</v>
      </c>
      <c r="L3070" t="s">
        <v>2630</v>
      </c>
    </row>
    <row r="3071" spans="1:12">
      <c r="A3071" t="s">
        <v>2625</v>
      </c>
      <c r="B3071" t="s">
        <v>2626</v>
      </c>
      <c r="C3071" t="s">
        <v>773</v>
      </c>
      <c r="D3071" s="29">
        <v>6600100053620</v>
      </c>
      <c r="E3071" s="29" t="s">
        <v>371</v>
      </c>
      <c r="F3071" s="29" t="s">
        <v>372</v>
      </c>
      <c r="G3071">
        <v>9</v>
      </c>
      <c r="H3071" t="s">
        <v>323</v>
      </c>
      <c r="I3071" t="s">
        <v>45</v>
      </c>
      <c r="J3071" t="s">
        <v>127</v>
      </c>
      <c r="K3071" t="s">
        <v>285</v>
      </c>
      <c r="L3071" t="s">
        <v>2630</v>
      </c>
    </row>
    <row r="3072" spans="1:12">
      <c r="A3072" t="s">
        <v>2625</v>
      </c>
      <c r="B3072" t="s">
        <v>2626</v>
      </c>
      <c r="C3072" t="s">
        <v>1978</v>
      </c>
      <c r="D3072" s="29">
        <v>6600100053947</v>
      </c>
      <c r="E3072" s="29" t="s">
        <v>371</v>
      </c>
      <c r="F3072" s="29" t="s">
        <v>372</v>
      </c>
      <c r="G3072">
        <v>3</v>
      </c>
      <c r="H3072" t="s">
        <v>323</v>
      </c>
      <c r="I3072" t="s">
        <v>45</v>
      </c>
      <c r="J3072" t="s">
        <v>127</v>
      </c>
      <c r="K3072" t="s">
        <v>285</v>
      </c>
      <c r="L3072" t="s">
        <v>2630</v>
      </c>
    </row>
    <row r="3073" spans="1:12">
      <c r="A3073" t="s">
        <v>2625</v>
      </c>
      <c r="B3073" t="s">
        <v>2638</v>
      </c>
      <c r="C3073" t="s">
        <v>377</v>
      </c>
      <c r="D3073" s="29">
        <v>6608800078521</v>
      </c>
      <c r="E3073" s="29" t="s">
        <v>371</v>
      </c>
      <c r="F3073" s="29" t="s">
        <v>372</v>
      </c>
      <c r="G3073">
        <v>8</v>
      </c>
      <c r="H3073" t="s">
        <v>323</v>
      </c>
      <c r="I3073" t="s">
        <v>45</v>
      </c>
      <c r="J3073" t="s">
        <v>2639</v>
      </c>
      <c r="K3073" t="s">
        <v>285</v>
      </c>
      <c r="L3073" t="s">
        <v>2630</v>
      </c>
    </row>
    <row r="3074" spans="1:12">
      <c r="A3074" t="s">
        <v>2625</v>
      </c>
      <c r="B3074" t="s">
        <v>2626</v>
      </c>
      <c r="C3074" t="s">
        <v>511</v>
      </c>
      <c r="D3074" s="29">
        <v>6600100051739</v>
      </c>
      <c r="E3074" s="29" t="s">
        <v>371</v>
      </c>
      <c r="F3074" s="29" t="s">
        <v>372</v>
      </c>
      <c r="G3074">
        <v>7</v>
      </c>
      <c r="H3074" t="s">
        <v>323</v>
      </c>
      <c r="I3074" t="s">
        <v>45</v>
      </c>
      <c r="J3074" t="s">
        <v>127</v>
      </c>
      <c r="K3074" t="s">
        <v>285</v>
      </c>
      <c r="L3074" t="s">
        <v>2630</v>
      </c>
    </row>
    <row r="3075" spans="1:12">
      <c r="A3075" t="s">
        <v>2625</v>
      </c>
      <c r="B3075" t="s">
        <v>2626</v>
      </c>
      <c r="C3075" t="s">
        <v>883</v>
      </c>
      <c r="D3075" s="29">
        <v>6600100053787</v>
      </c>
      <c r="E3075" s="29" t="s">
        <v>371</v>
      </c>
      <c r="F3075" s="29" t="s">
        <v>372</v>
      </c>
      <c r="G3075">
        <v>10</v>
      </c>
      <c r="H3075" t="s">
        <v>323</v>
      </c>
      <c r="I3075" t="s">
        <v>45</v>
      </c>
      <c r="J3075" t="s">
        <v>127</v>
      </c>
      <c r="K3075" t="s">
        <v>285</v>
      </c>
      <c r="L3075" t="s">
        <v>2630</v>
      </c>
    </row>
    <row r="3076" spans="1:12">
      <c r="A3076" t="s">
        <v>2625</v>
      </c>
      <c r="B3076" t="s">
        <v>2626</v>
      </c>
      <c r="C3076" t="s">
        <v>462</v>
      </c>
      <c r="D3076" s="29">
        <v>6600100050449</v>
      </c>
      <c r="E3076" s="29" t="s">
        <v>371</v>
      </c>
      <c r="F3076" s="29" t="s">
        <v>372</v>
      </c>
      <c r="G3076">
        <v>10</v>
      </c>
      <c r="H3076" t="s">
        <v>323</v>
      </c>
      <c r="I3076" t="s">
        <v>45</v>
      </c>
      <c r="J3076" t="s">
        <v>127</v>
      </c>
      <c r="K3076" t="s">
        <v>285</v>
      </c>
      <c r="L3076" t="s">
        <v>2630</v>
      </c>
    </row>
    <row r="3077" spans="1:12">
      <c r="A3077" t="s">
        <v>2625</v>
      </c>
      <c r="B3077" t="s">
        <v>2626</v>
      </c>
      <c r="C3077" t="s">
        <v>2640</v>
      </c>
      <c r="D3077" s="29">
        <v>6600100054693</v>
      </c>
      <c r="E3077" s="29" t="s">
        <v>371</v>
      </c>
      <c r="F3077" s="29" t="s">
        <v>372</v>
      </c>
      <c r="G3077">
        <v>9</v>
      </c>
      <c r="H3077" t="s">
        <v>323</v>
      </c>
      <c r="I3077" t="s">
        <v>45</v>
      </c>
      <c r="J3077" t="s">
        <v>127</v>
      </c>
      <c r="K3077" t="s">
        <v>285</v>
      </c>
      <c r="L3077" t="s">
        <v>2630</v>
      </c>
    </row>
    <row r="3078" spans="1:12">
      <c r="A3078" t="s">
        <v>2625</v>
      </c>
      <c r="B3078" t="s">
        <v>2638</v>
      </c>
      <c r="C3078" t="s">
        <v>782</v>
      </c>
      <c r="D3078" s="29">
        <v>6659400127649</v>
      </c>
      <c r="E3078" s="29" t="s">
        <v>371</v>
      </c>
      <c r="F3078" s="29" t="s">
        <v>372</v>
      </c>
      <c r="G3078">
        <v>9</v>
      </c>
      <c r="H3078" t="s">
        <v>323</v>
      </c>
      <c r="I3078" t="s">
        <v>45</v>
      </c>
      <c r="J3078" t="s">
        <v>2641</v>
      </c>
      <c r="K3078" t="s">
        <v>285</v>
      </c>
      <c r="L3078" t="s">
        <v>2630</v>
      </c>
    </row>
    <row r="3079" spans="1:12">
      <c r="A3079" t="s">
        <v>2625</v>
      </c>
      <c r="B3079" t="s">
        <v>2626</v>
      </c>
      <c r="C3079" t="s">
        <v>1234</v>
      </c>
      <c r="D3079" s="29">
        <v>6600100055315</v>
      </c>
      <c r="E3079" s="29" t="s">
        <v>371</v>
      </c>
      <c r="F3079" s="29" t="s">
        <v>372</v>
      </c>
      <c r="G3079">
        <v>10</v>
      </c>
      <c r="H3079" t="s">
        <v>323</v>
      </c>
      <c r="I3079" t="s">
        <v>45</v>
      </c>
      <c r="J3079" t="s">
        <v>127</v>
      </c>
      <c r="K3079" t="s">
        <v>285</v>
      </c>
      <c r="L3079" t="s">
        <v>2630</v>
      </c>
    </row>
    <row r="3080" spans="1:12">
      <c r="A3080" t="s">
        <v>2625</v>
      </c>
      <c r="B3080" t="s">
        <v>2634</v>
      </c>
      <c r="C3080" t="s">
        <v>1031</v>
      </c>
      <c r="D3080" s="29">
        <v>6640000062391</v>
      </c>
      <c r="E3080" s="29" t="s">
        <v>371</v>
      </c>
      <c r="F3080" s="29" t="s">
        <v>372</v>
      </c>
      <c r="G3080">
        <v>10</v>
      </c>
      <c r="H3080" t="s">
        <v>323</v>
      </c>
      <c r="I3080" t="s">
        <v>45</v>
      </c>
      <c r="J3080" t="s">
        <v>2642</v>
      </c>
      <c r="K3080" t="s">
        <v>285</v>
      </c>
      <c r="L3080" t="s">
        <v>2630</v>
      </c>
    </row>
    <row r="3081" spans="1:12">
      <c r="A3081" t="s">
        <v>2625</v>
      </c>
      <c r="B3081" t="s">
        <v>2626</v>
      </c>
      <c r="C3081" t="s">
        <v>2289</v>
      </c>
      <c r="D3081" s="29">
        <v>6600100054709</v>
      </c>
      <c r="E3081" s="29" t="s">
        <v>371</v>
      </c>
      <c r="F3081" s="29" t="s">
        <v>372</v>
      </c>
      <c r="G3081">
        <v>8</v>
      </c>
      <c r="H3081" t="s">
        <v>323</v>
      </c>
      <c r="I3081" t="s">
        <v>45</v>
      </c>
      <c r="J3081" t="s">
        <v>127</v>
      </c>
      <c r="K3081" t="s">
        <v>285</v>
      </c>
      <c r="L3081" t="s">
        <v>2630</v>
      </c>
    </row>
    <row r="3082" spans="1:12">
      <c r="A3082" t="s">
        <v>2625</v>
      </c>
      <c r="B3082" t="s">
        <v>2643</v>
      </c>
      <c r="C3082" t="s">
        <v>575</v>
      </c>
      <c r="D3082" s="29">
        <v>6617000041796</v>
      </c>
      <c r="E3082" s="29" t="s">
        <v>371</v>
      </c>
      <c r="F3082" s="29" t="s">
        <v>372</v>
      </c>
      <c r="G3082">
        <v>10</v>
      </c>
      <c r="H3082" t="s">
        <v>323</v>
      </c>
      <c r="I3082" t="s">
        <v>45</v>
      </c>
      <c r="J3082" t="s">
        <v>2644</v>
      </c>
      <c r="K3082">
        <v>0</v>
      </c>
      <c r="L3082" t="s">
        <v>2630</v>
      </c>
    </row>
    <row r="3083" spans="1:12">
      <c r="A3083" t="s">
        <v>2625</v>
      </c>
      <c r="B3083" t="s">
        <v>2643</v>
      </c>
      <c r="C3083" t="s">
        <v>2645</v>
      </c>
      <c r="D3083" s="29">
        <v>6617000041655</v>
      </c>
      <c r="E3083" s="29" t="s">
        <v>371</v>
      </c>
      <c r="F3083" s="29" t="s">
        <v>372</v>
      </c>
      <c r="G3083">
        <v>10</v>
      </c>
      <c r="H3083" t="s">
        <v>323</v>
      </c>
      <c r="I3083" t="s">
        <v>45</v>
      </c>
      <c r="J3083" t="s">
        <v>2644</v>
      </c>
      <c r="K3083">
        <v>0</v>
      </c>
      <c r="L3083" t="s">
        <v>2630</v>
      </c>
    </row>
    <row r="3084" spans="1:12">
      <c r="A3084" t="s">
        <v>2625</v>
      </c>
      <c r="B3084" t="s">
        <v>2626</v>
      </c>
      <c r="C3084" t="s">
        <v>2646</v>
      </c>
      <c r="D3084" s="29">
        <v>6600100056997</v>
      </c>
      <c r="E3084" s="29" t="s">
        <v>363</v>
      </c>
      <c r="F3084" s="29" t="s">
        <v>364</v>
      </c>
      <c r="G3084">
        <v>77</v>
      </c>
      <c r="H3084" t="s">
        <v>323</v>
      </c>
      <c r="I3084" t="s">
        <v>98</v>
      </c>
      <c r="J3084" t="s">
        <v>127</v>
      </c>
      <c r="K3084" t="s">
        <v>365</v>
      </c>
      <c r="L3084" t="s">
        <v>2647</v>
      </c>
    </row>
    <row r="3085" spans="1:12">
      <c r="A3085" t="s">
        <v>2625</v>
      </c>
      <c r="B3085" t="s">
        <v>2626</v>
      </c>
      <c r="C3085" t="s">
        <v>2648</v>
      </c>
      <c r="D3085" s="29">
        <v>6600100109577</v>
      </c>
      <c r="E3085" s="29" t="s">
        <v>368</v>
      </c>
      <c r="F3085" s="29" t="s">
        <v>364</v>
      </c>
      <c r="G3085">
        <v>79</v>
      </c>
      <c r="H3085" t="s">
        <v>323</v>
      </c>
      <c r="I3085" t="s">
        <v>98</v>
      </c>
      <c r="J3085" t="s">
        <v>127</v>
      </c>
      <c r="K3085" t="s">
        <v>989</v>
      </c>
      <c r="L3085" t="s">
        <v>2649</v>
      </c>
    </row>
    <row r="3086" spans="1:12">
      <c r="A3086" t="s">
        <v>2625</v>
      </c>
      <c r="B3086" t="s">
        <v>2638</v>
      </c>
      <c r="C3086" t="s">
        <v>2650</v>
      </c>
      <c r="D3086" s="29">
        <v>663181150832</v>
      </c>
      <c r="E3086" s="29" t="s">
        <v>393</v>
      </c>
      <c r="F3086" s="29" t="s">
        <v>372</v>
      </c>
      <c r="G3086" t="s">
        <v>2651</v>
      </c>
      <c r="H3086" t="s">
        <v>323</v>
      </c>
      <c r="I3086" t="s">
        <v>45</v>
      </c>
      <c r="J3086" t="s">
        <v>2652</v>
      </c>
      <c r="K3086" t="s">
        <v>394</v>
      </c>
      <c r="L3086" t="s">
        <v>2653</v>
      </c>
    </row>
    <row r="3087" spans="1:12">
      <c r="A3087" t="s">
        <v>2625</v>
      </c>
      <c r="B3087" t="s">
        <v>2638</v>
      </c>
      <c r="C3087" t="s">
        <v>2654</v>
      </c>
      <c r="D3087" s="29">
        <v>663181150835</v>
      </c>
      <c r="E3087" s="29" t="s">
        <v>393</v>
      </c>
      <c r="F3087" s="29" t="s">
        <v>372</v>
      </c>
      <c r="G3087" t="s">
        <v>134</v>
      </c>
      <c r="H3087" t="s">
        <v>323</v>
      </c>
      <c r="I3087" t="s">
        <v>45</v>
      </c>
      <c r="J3087" t="s">
        <v>2652</v>
      </c>
      <c r="K3087" t="s">
        <v>285</v>
      </c>
      <c r="L3087" t="s">
        <v>2653</v>
      </c>
    </row>
    <row r="3088" spans="1:12">
      <c r="A3088" t="s">
        <v>2625</v>
      </c>
      <c r="B3088" t="s">
        <v>2638</v>
      </c>
      <c r="C3088" t="s">
        <v>2655</v>
      </c>
      <c r="D3088" s="29">
        <v>663181129100</v>
      </c>
      <c r="E3088" s="29" t="s">
        <v>393</v>
      </c>
      <c r="F3088" s="29" t="s">
        <v>372</v>
      </c>
      <c r="G3088" t="s">
        <v>2656</v>
      </c>
      <c r="H3088" t="s">
        <v>323</v>
      </c>
      <c r="I3088" t="s">
        <v>45</v>
      </c>
      <c r="J3088" t="s">
        <v>2652</v>
      </c>
      <c r="K3088" t="s">
        <v>365</v>
      </c>
      <c r="L3088" t="s">
        <v>2653</v>
      </c>
    </row>
    <row r="3089" spans="1:12">
      <c r="A3089" t="s">
        <v>2625</v>
      </c>
      <c r="B3089" t="s">
        <v>2638</v>
      </c>
      <c r="C3089" t="s">
        <v>2657</v>
      </c>
      <c r="D3089" s="29">
        <v>663181129106</v>
      </c>
      <c r="E3089" s="29" t="s">
        <v>393</v>
      </c>
      <c r="F3089" s="29" t="s">
        <v>372</v>
      </c>
      <c r="G3089" t="s">
        <v>125</v>
      </c>
      <c r="H3089" t="s">
        <v>323</v>
      </c>
      <c r="I3089" t="s">
        <v>45</v>
      </c>
      <c r="J3089" t="s">
        <v>2652</v>
      </c>
      <c r="K3089" t="s">
        <v>365</v>
      </c>
      <c r="L3089" t="s">
        <v>2653</v>
      </c>
    </row>
    <row r="3090" spans="1:12">
      <c r="A3090" t="s">
        <v>2625</v>
      </c>
      <c r="B3090" t="s">
        <v>2638</v>
      </c>
      <c r="C3090" t="s">
        <v>2658</v>
      </c>
      <c r="D3090" s="29">
        <v>6631800125858</v>
      </c>
      <c r="E3090" s="29" t="s">
        <v>393</v>
      </c>
      <c r="F3090" s="29" t="s">
        <v>372</v>
      </c>
      <c r="G3090" t="s">
        <v>2659</v>
      </c>
      <c r="H3090" t="s">
        <v>323</v>
      </c>
      <c r="I3090" t="s">
        <v>45</v>
      </c>
      <c r="J3090" t="s">
        <v>2652</v>
      </c>
      <c r="K3090" t="s">
        <v>365</v>
      </c>
      <c r="L3090" t="s">
        <v>2653</v>
      </c>
    </row>
    <row r="3091" spans="1:12">
      <c r="A3091" t="s">
        <v>2625</v>
      </c>
      <c r="B3091" t="s">
        <v>2638</v>
      </c>
      <c r="C3091" t="s">
        <v>2660</v>
      </c>
      <c r="D3091" s="29">
        <v>663181162981</v>
      </c>
      <c r="E3091" s="29" t="s">
        <v>393</v>
      </c>
      <c r="F3091" s="29" t="s">
        <v>372</v>
      </c>
      <c r="G3091" t="s">
        <v>109</v>
      </c>
      <c r="H3091" t="s">
        <v>323</v>
      </c>
      <c r="I3091" t="s">
        <v>45</v>
      </c>
      <c r="J3091" t="s">
        <v>2652</v>
      </c>
      <c r="K3091" t="s">
        <v>394</v>
      </c>
      <c r="L3091" t="s">
        <v>2653</v>
      </c>
    </row>
    <row r="3092" spans="1:12">
      <c r="A3092" t="s">
        <v>2625</v>
      </c>
      <c r="B3092" t="s">
        <v>2638</v>
      </c>
      <c r="C3092" t="s">
        <v>2661</v>
      </c>
      <c r="D3092" s="29">
        <v>6631800125840</v>
      </c>
      <c r="E3092" s="29" t="s">
        <v>393</v>
      </c>
      <c r="F3092" s="29" t="s">
        <v>372</v>
      </c>
      <c r="G3092" t="s">
        <v>109</v>
      </c>
      <c r="H3092" t="s">
        <v>323</v>
      </c>
      <c r="I3092" t="s">
        <v>45</v>
      </c>
      <c r="J3092" t="s">
        <v>2652</v>
      </c>
      <c r="K3092" t="s">
        <v>365</v>
      </c>
      <c r="L3092" t="s">
        <v>2653</v>
      </c>
    </row>
    <row r="3093" spans="1:12">
      <c r="A3093" t="s">
        <v>2625</v>
      </c>
      <c r="B3093" t="s">
        <v>2638</v>
      </c>
      <c r="C3093" t="s">
        <v>2662</v>
      </c>
      <c r="D3093" s="29">
        <v>6631800125876</v>
      </c>
      <c r="E3093" s="29" t="s">
        <v>393</v>
      </c>
      <c r="F3093" s="29" t="s">
        <v>372</v>
      </c>
      <c r="G3093" t="s">
        <v>2663</v>
      </c>
      <c r="H3093" t="s">
        <v>323</v>
      </c>
      <c r="I3093" t="s">
        <v>45</v>
      </c>
      <c r="J3093" t="s">
        <v>2652</v>
      </c>
      <c r="K3093" t="s">
        <v>365</v>
      </c>
      <c r="L3093" t="s">
        <v>2653</v>
      </c>
    </row>
    <row r="3094" spans="1:12">
      <c r="A3094" t="s">
        <v>2625</v>
      </c>
      <c r="B3094" t="s">
        <v>2638</v>
      </c>
      <c r="C3094" t="s">
        <v>2248</v>
      </c>
      <c r="D3094" s="29">
        <v>663181150838</v>
      </c>
      <c r="E3094" s="29" t="s">
        <v>393</v>
      </c>
      <c r="F3094" s="29" t="s">
        <v>372</v>
      </c>
      <c r="G3094">
        <v>15</v>
      </c>
      <c r="H3094" t="s">
        <v>323</v>
      </c>
      <c r="I3094" t="s">
        <v>45</v>
      </c>
      <c r="J3094" t="s">
        <v>2652</v>
      </c>
      <c r="K3094" t="s">
        <v>365</v>
      </c>
      <c r="L3094" t="s">
        <v>2653</v>
      </c>
    </row>
    <row r="3095" spans="1:12">
      <c r="A3095" t="s">
        <v>2625</v>
      </c>
      <c r="B3095" t="s">
        <v>2638</v>
      </c>
      <c r="C3095" t="s">
        <v>2664</v>
      </c>
      <c r="D3095" s="29">
        <v>663181129120</v>
      </c>
      <c r="E3095" s="29" t="s">
        <v>393</v>
      </c>
      <c r="F3095" s="29" t="s">
        <v>372</v>
      </c>
      <c r="G3095">
        <v>39</v>
      </c>
      <c r="H3095" t="s">
        <v>323</v>
      </c>
      <c r="I3095" t="s">
        <v>45</v>
      </c>
      <c r="J3095" t="s">
        <v>2652</v>
      </c>
      <c r="K3095" t="s">
        <v>365</v>
      </c>
      <c r="L3095" t="s">
        <v>2653</v>
      </c>
    </row>
    <row r="3096" spans="1:12">
      <c r="A3096" t="s">
        <v>2625</v>
      </c>
      <c r="B3096" t="s">
        <v>2638</v>
      </c>
      <c r="C3096" t="s">
        <v>2665</v>
      </c>
      <c r="D3096" s="29">
        <v>663181129110</v>
      </c>
      <c r="E3096" s="29" t="s">
        <v>393</v>
      </c>
      <c r="F3096" s="29" t="s">
        <v>372</v>
      </c>
      <c r="G3096" t="s">
        <v>2656</v>
      </c>
      <c r="H3096" t="s">
        <v>323</v>
      </c>
      <c r="I3096" t="s">
        <v>45</v>
      </c>
      <c r="J3096" t="s">
        <v>2652</v>
      </c>
      <c r="K3096" t="s">
        <v>365</v>
      </c>
      <c r="L3096" t="s">
        <v>2653</v>
      </c>
    </row>
    <row r="3097" spans="1:12">
      <c r="A3097" t="s">
        <v>2625</v>
      </c>
      <c r="B3097" t="s">
        <v>2638</v>
      </c>
      <c r="C3097" t="s">
        <v>2666</v>
      </c>
      <c r="D3097" s="29">
        <v>663181129127</v>
      </c>
      <c r="E3097" s="29" t="s">
        <v>393</v>
      </c>
      <c r="F3097" s="29" t="s">
        <v>372</v>
      </c>
      <c r="G3097" t="s">
        <v>2651</v>
      </c>
      <c r="H3097" t="s">
        <v>323</v>
      </c>
      <c r="I3097" t="s">
        <v>45</v>
      </c>
      <c r="J3097" t="s">
        <v>2652</v>
      </c>
      <c r="K3097" t="s">
        <v>365</v>
      </c>
      <c r="L3097" t="s">
        <v>2653</v>
      </c>
    </row>
    <row r="3098" spans="1:12">
      <c r="A3098" t="s">
        <v>2625</v>
      </c>
      <c r="B3098" t="s">
        <v>2638</v>
      </c>
      <c r="C3098" t="s">
        <v>2667</v>
      </c>
      <c r="D3098" s="29">
        <v>663181159704</v>
      </c>
      <c r="E3098" s="29" t="s">
        <v>1248</v>
      </c>
      <c r="F3098" s="29" t="s">
        <v>322</v>
      </c>
      <c r="G3098" t="s">
        <v>155</v>
      </c>
      <c r="H3098" t="s">
        <v>323</v>
      </c>
      <c r="I3098" t="s">
        <v>45</v>
      </c>
      <c r="J3098" t="s">
        <v>2652</v>
      </c>
      <c r="K3098" t="s">
        <v>2668</v>
      </c>
      <c r="L3098" t="s">
        <v>2669</v>
      </c>
    </row>
    <row r="3099" spans="1:12">
      <c r="A3099" t="s">
        <v>2625</v>
      </c>
      <c r="B3099" t="s">
        <v>2643</v>
      </c>
      <c r="C3099" t="s">
        <v>2670</v>
      </c>
      <c r="D3099" s="29">
        <v>6617000041476</v>
      </c>
      <c r="E3099" s="29" t="s">
        <v>371</v>
      </c>
      <c r="F3099" s="29" t="s">
        <v>372</v>
      </c>
      <c r="G3099">
        <v>7</v>
      </c>
      <c r="H3099" t="s">
        <v>323</v>
      </c>
      <c r="I3099" t="s">
        <v>324</v>
      </c>
      <c r="J3099" t="s">
        <v>2644</v>
      </c>
      <c r="K3099">
        <v>0</v>
      </c>
      <c r="L3099" t="s">
        <v>2671</v>
      </c>
    </row>
    <row r="3100" spans="1:12">
      <c r="A3100" t="s">
        <v>2625</v>
      </c>
      <c r="B3100" t="s">
        <v>2643</v>
      </c>
      <c r="C3100" t="s">
        <v>2672</v>
      </c>
      <c r="D3100" s="29">
        <v>6617000041880</v>
      </c>
      <c r="E3100" s="29" t="s">
        <v>371</v>
      </c>
      <c r="F3100" s="29" t="s">
        <v>372</v>
      </c>
      <c r="G3100">
        <v>8</v>
      </c>
      <c r="H3100" t="s">
        <v>323</v>
      </c>
      <c r="I3100" t="s">
        <v>324</v>
      </c>
      <c r="J3100" t="s">
        <v>2644</v>
      </c>
      <c r="K3100">
        <v>0</v>
      </c>
      <c r="L3100" t="s">
        <v>2673</v>
      </c>
    </row>
    <row r="3101" spans="1:12">
      <c r="A3101" t="s">
        <v>2625</v>
      </c>
      <c r="B3101" t="s">
        <v>2643</v>
      </c>
      <c r="C3101" t="s">
        <v>2674</v>
      </c>
      <c r="D3101" s="29">
        <v>6617000049361</v>
      </c>
      <c r="E3101" s="29" t="s">
        <v>987</v>
      </c>
      <c r="F3101" s="29" t="s">
        <v>364</v>
      </c>
      <c r="G3101">
        <v>60</v>
      </c>
      <c r="H3101" t="s">
        <v>323</v>
      </c>
      <c r="I3101" t="s">
        <v>45</v>
      </c>
      <c r="J3101" t="s">
        <v>2644</v>
      </c>
      <c r="K3101" t="s">
        <v>394</v>
      </c>
      <c r="L3101" t="s">
        <v>2675</v>
      </c>
    </row>
    <row r="3102" spans="1:12">
      <c r="A3102" t="s">
        <v>2625</v>
      </c>
      <c r="B3102" t="s">
        <v>2643</v>
      </c>
      <c r="C3102" t="s">
        <v>2676</v>
      </c>
      <c r="D3102" s="29">
        <v>6617000041624</v>
      </c>
      <c r="E3102" s="29" t="s">
        <v>371</v>
      </c>
      <c r="F3102" s="29" t="s">
        <v>372</v>
      </c>
      <c r="G3102">
        <v>10</v>
      </c>
      <c r="H3102" t="s">
        <v>323</v>
      </c>
      <c r="I3102" t="s">
        <v>324</v>
      </c>
      <c r="J3102" t="s">
        <v>2644</v>
      </c>
      <c r="K3102">
        <v>0</v>
      </c>
      <c r="L3102" t="s">
        <v>2677</v>
      </c>
    </row>
    <row r="3103" spans="1:12">
      <c r="A3103" t="s">
        <v>2625</v>
      </c>
      <c r="B3103" t="s">
        <v>2643</v>
      </c>
      <c r="C3103" t="s">
        <v>457</v>
      </c>
      <c r="D3103" s="29">
        <v>6617000041767</v>
      </c>
      <c r="E3103" s="29" t="s">
        <v>371</v>
      </c>
      <c r="F3103" s="29" t="s">
        <v>372</v>
      </c>
      <c r="G3103">
        <v>10</v>
      </c>
      <c r="H3103" t="s">
        <v>323</v>
      </c>
      <c r="I3103" t="s">
        <v>324</v>
      </c>
      <c r="J3103" t="s">
        <v>2644</v>
      </c>
      <c r="K3103">
        <v>0</v>
      </c>
      <c r="L3103" t="s">
        <v>2678</v>
      </c>
    </row>
    <row r="3104" spans="1:12">
      <c r="A3104" t="s">
        <v>2625</v>
      </c>
      <c r="B3104" t="s">
        <v>2643</v>
      </c>
      <c r="C3104" t="s">
        <v>2679</v>
      </c>
      <c r="D3104" s="29">
        <v>6617000041622</v>
      </c>
      <c r="E3104" s="29" t="s">
        <v>371</v>
      </c>
      <c r="F3104" s="29" t="s">
        <v>372</v>
      </c>
      <c r="G3104">
        <v>10</v>
      </c>
      <c r="H3104" t="s">
        <v>323</v>
      </c>
      <c r="I3104" t="s">
        <v>324</v>
      </c>
      <c r="J3104" t="s">
        <v>2644</v>
      </c>
      <c r="K3104">
        <v>0</v>
      </c>
      <c r="L3104" t="s">
        <v>2680</v>
      </c>
    </row>
    <row r="3105" spans="1:12">
      <c r="A3105" t="s">
        <v>2625</v>
      </c>
      <c r="B3105" t="s">
        <v>2643</v>
      </c>
      <c r="C3105" t="s">
        <v>2681</v>
      </c>
      <c r="D3105" s="29">
        <v>6617000123885</v>
      </c>
      <c r="E3105" s="29" t="s">
        <v>393</v>
      </c>
      <c r="F3105" s="29" t="s">
        <v>372</v>
      </c>
      <c r="G3105">
        <v>44</v>
      </c>
      <c r="H3105" t="s">
        <v>323</v>
      </c>
      <c r="I3105" t="s">
        <v>324</v>
      </c>
      <c r="J3105" t="s">
        <v>2644</v>
      </c>
      <c r="K3105" t="s">
        <v>394</v>
      </c>
      <c r="L3105" t="s">
        <v>2682</v>
      </c>
    </row>
    <row r="3106" spans="1:12">
      <c r="A3106" t="s">
        <v>2625</v>
      </c>
      <c r="B3106" t="s">
        <v>2683</v>
      </c>
      <c r="C3106" t="s">
        <v>2684</v>
      </c>
      <c r="D3106" s="29">
        <v>666821129009</v>
      </c>
      <c r="E3106" s="29" t="s">
        <v>393</v>
      </c>
      <c r="F3106" s="29" t="s">
        <v>372</v>
      </c>
      <c r="G3106">
        <v>1</v>
      </c>
      <c r="H3106" t="s">
        <v>323</v>
      </c>
      <c r="I3106" t="s">
        <v>45</v>
      </c>
      <c r="J3106" t="s">
        <v>2685</v>
      </c>
      <c r="K3106" t="s">
        <v>394</v>
      </c>
      <c r="L3106" t="s">
        <v>2686</v>
      </c>
    </row>
    <row r="3107" spans="1:12">
      <c r="A3107" t="s">
        <v>2625</v>
      </c>
      <c r="B3107" t="s">
        <v>2683</v>
      </c>
      <c r="C3107" t="s">
        <v>2687</v>
      </c>
      <c r="D3107" s="29">
        <v>664401153596</v>
      </c>
      <c r="E3107" s="29" t="s">
        <v>371</v>
      </c>
      <c r="F3107" s="29" t="s">
        <v>372</v>
      </c>
      <c r="G3107">
        <v>8</v>
      </c>
      <c r="H3107" t="s">
        <v>323</v>
      </c>
      <c r="I3107" t="s">
        <v>45</v>
      </c>
      <c r="J3107" t="s">
        <v>2688</v>
      </c>
      <c r="K3107" t="s">
        <v>285</v>
      </c>
      <c r="L3107" t="s">
        <v>2689</v>
      </c>
    </row>
    <row r="3108" spans="1:12">
      <c r="A3108" t="s">
        <v>2625</v>
      </c>
      <c r="B3108" t="s">
        <v>2683</v>
      </c>
      <c r="C3108" t="s">
        <v>2690</v>
      </c>
      <c r="D3108" s="29">
        <v>6644000114575</v>
      </c>
      <c r="E3108" s="29" t="s">
        <v>371</v>
      </c>
      <c r="F3108" s="29" t="s">
        <v>372</v>
      </c>
      <c r="G3108" t="s">
        <v>2691</v>
      </c>
      <c r="H3108" t="s">
        <v>323</v>
      </c>
      <c r="I3108" t="s">
        <v>45</v>
      </c>
      <c r="J3108" t="s">
        <v>2688</v>
      </c>
      <c r="K3108" t="s">
        <v>285</v>
      </c>
      <c r="L3108" t="s">
        <v>2689</v>
      </c>
    </row>
    <row r="3109" spans="1:12">
      <c r="A3109" t="s">
        <v>2625</v>
      </c>
      <c r="B3109" t="s">
        <v>2683</v>
      </c>
      <c r="C3109" t="s">
        <v>2692</v>
      </c>
      <c r="D3109" s="29">
        <v>6644000114563</v>
      </c>
      <c r="E3109" s="29" t="s">
        <v>371</v>
      </c>
      <c r="F3109" s="29" t="s">
        <v>372</v>
      </c>
      <c r="G3109" t="s">
        <v>2693</v>
      </c>
      <c r="H3109" t="s">
        <v>323</v>
      </c>
      <c r="I3109" t="s">
        <v>45</v>
      </c>
      <c r="J3109" t="s">
        <v>2688</v>
      </c>
      <c r="K3109" t="s">
        <v>285</v>
      </c>
      <c r="L3109" t="s">
        <v>2689</v>
      </c>
    </row>
    <row r="3110" spans="1:12">
      <c r="A3110" t="s">
        <v>2625</v>
      </c>
      <c r="B3110" t="s">
        <v>2683</v>
      </c>
      <c r="C3110" t="s">
        <v>2694</v>
      </c>
      <c r="D3110" s="29">
        <v>6644000114568</v>
      </c>
      <c r="E3110" s="29" t="s">
        <v>371</v>
      </c>
      <c r="F3110" s="29" t="s">
        <v>372</v>
      </c>
      <c r="G3110" t="s">
        <v>2693</v>
      </c>
      <c r="H3110" t="s">
        <v>323</v>
      </c>
      <c r="I3110" t="s">
        <v>45</v>
      </c>
      <c r="J3110" t="s">
        <v>2688</v>
      </c>
      <c r="K3110" t="s">
        <v>285</v>
      </c>
      <c r="L3110" t="s">
        <v>2689</v>
      </c>
    </row>
    <row r="3111" spans="1:12">
      <c r="A3111" t="s">
        <v>2625</v>
      </c>
      <c r="B3111" t="s">
        <v>2683</v>
      </c>
      <c r="C3111" t="s">
        <v>2695</v>
      </c>
      <c r="D3111" s="29">
        <v>6644000114583</v>
      </c>
      <c r="E3111" s="29" t="s">
        <v>371</v>
      </c>
      <c r="F3111" s="29" t="s">
        <v>372</v>
      </c>
      <c r="G3111" t="s">
        <v>2696</v>
      </c>
      <c r="H3111" t="s">
        <v>323</v>
      </c>
      <c r="I3111" t="s">
        <v>45</v>
      </c>
      <c r="J3111" t="s">
        <v>2688</v>
      </c>
      <c r="K3111" t="s">
        <v>285</v>
      </c>
      <c r="L3111" t="s">
        <v>2689</v>
      </c>
    </row>
    <row r="3112" spans="1:12">
      <c r="A3112" t="s">
        <v>2625</v>
      </c>
      <c r="B3112" t="s">
        <v>2683</v>
      </c>
      <c r="C3112" t="s">
        <v>2697</v>
      </c>
      <c r="D3112" s="29">
        <v>6644000114572</v>
      </c>
      <c r="E3112" s="29" t="s">
        <v>371</v>
      </c>
      <c r="F3112" s="29" t="s">
        <v>372</v>
      </c>
      <c r="G3112" t="s">
        <v>2693</v>
      </c>
      <c r="H3112" t="s">
        <v>323</v>
      </c>
      <c r="I3112" t="s">
        <v>45</v>
      </c>
      <c r="J3112" t="s">
        <v>2688</v>
      </c>
      <c r="K3112" t="s">
        <v>285</v>
      </c>
      <c r="L3112" t="s">
        <v>2689</v>
      </c>
    </row>
    <row r="3113" spans="1:12">
      <c r="A3113" t="s">
        <v>2625</v>
      </c>
      <c r="B3113" t="s">
        <v>2634</v>
      </c>
      <c r="C3113" t="s">
        <v>2698</v>
      </c>
      <c r="D3113" s="29">
        <v>6657200063247</v>
      </c>
      <c r="E3113" s="29" t="s">
        <v>371</v>
      </c>
      <c r="F3113" s="29" t="s">
        <v>372</v>
      </c>
      <c r="G3113" t="s">
        <v>2691</v>
      </c>
      <c r="H3113" t="s">
        <v>323</v>
      </c>
      <c r="I3113" t="s">
        <v>45</v>
      </c>
      <c r="J3113" t="s">
        <v>2636</v>
      </c>
      <c r="K3113" t="s">
        <v>285</v>
      </c>
      <c r="L3113" t="s">
        <v>2699</v>
      </c>
    </row>
    <row r="3114" spans="1:12">
      <c r="A3114" t="s">
        <v>2625</v>
      </c>
      <c r="B3114" t="s">
        <v>2634</v>
      </c>
      <c r="C3114" t="s">
        <v>1795</v>
      </c>
      <c r="D3114" s="29">
        <v>6657200063254</v>
      </c>
      <c r="E3114" s="29" t="s">
        <v>371</v>
      </c>
      <c r="F3114" s="29" t="s">
        <v>372</v>
      </c>
      <c r="G3114" t="s">
        <v>2700</v>
      </c>
      <c r="H3114" t="s">
        <v>323</v>
      </c>
      <c r="I3114" t="s">
        <v>45</v>
      </c>
      <c r="J3114" t="s">
        <v>2636</v>
      </c>
      <c r="K3114" t="s">
        <v>285</v>
      </c>
      <c r="L3114" t="s">
        <v>2699</v>
      </c>
    </row>
    <row r="3115" spans="1:12">
      <c r="A3115" t="s">
        <v>2625</v>
      </c>
      <c r="B3115" t="s">
        <v>2634</v>
      </c>
      <c r="C3115" t="s">
        <v>744</v>
      </c>
      <c r="D3115" s="29">
        <v>6657200063008</v>
      </c>
      <c r="E3115" s="29" t="s">
        <v>371</v>
      </c>
      <c r="F3115" s="29" t="s">
        <v>372</v>
      </c>
      <c r="G3115" t="s">
        <v>2691</v>
      </c>
      <c r="H3115" t="s">
        <v>323</v>
      </c>
      <c r="I3115" t="s">
        <v>45</v>
      </c>
      <c r="J3115" t="s">
        <v>2636</v>
      </c>
      <c r="K3115" t="s">
        <v>285</v>
      </c>
      <c r="L3115" t="s">
        <v>2699</v>
      </c>
    </row>
    <row r="3116" spans="1:12">
      <c r="A3116" t="s">
        <v>2625</v>
      </c>
      <c r="B3116" t="s">
        <v>2634</v>
      </c>
      <c r="C3116" t="s">
        <v>1778</v>
      </c>
      <c r="D3116" s="29">
        <v>6657200114754</v>
      </c>
      <c r="E3116" s="29" t="s">
        <v>371</v>
      </c>
      <c r="F3116" s="29" t="s">
        <v>372</v>
      </c>
      <c r="G3116" t="s">
        <v>2691</v>
      </c>
      <c r="H3116" t="s">
        <v>323</v>
      </c>
      <c r="I3116" t="s">
        <v>45</v>
      </c>
      <c r="J3116" t="s">
        <v>2636</v>
      </c>
      <c r="K3116" t="s">
        <v>285</v>
      </c>
      <c r="L3116" t="s">
        <v>2699</v>
      </c>
    </row>
    <row r="3117" spans="1:12">
      <c r="A3117" t="s">
        <v>2625</v>
      </c>
      <c r="B3117" t="s">
        <v>2634</v>
      </c>
      <c r="C3117" t="s">
        <v>2701</v>
      </c>
      <c r="D3117" s="29">
        <v>6657200063006</v>
      </c>
      <c r="E3117" s="29" t="s">
        <v>371</v>
      </c>
      <c r="F3117" s="29" t="s">
        <v>372</v>
      </c>
      <c r="G3117" t="s">
        <v>2691</v>
      </c>
      <c r="H3117" t="s">
        <v>323</v>
      </c>
      <c r="I3117" t="s">
        <v>45</v>
      </c>
      <c r="J3117" t="s">
        <v>2636</v>
      </c>
      <c r="K3117" t="s">
        <v>285</v>
      </c>
      <c r="L3117" t="s">
        <v>2699</v>
      </c>
    </row>
    <row r="3118" spans="1:12">
      <c r="A3118" t="s">
        <v>2625</v>
      </c>
      <c r="B3118" t="s">
        <v>2634</v>
      </c>
      <c r="C3118" t="s">
        <v>725</v>
      </c>
      <c r="D3118" s="29">
        <v>6657200063026</v>
      </c>
      <c r="E3118" s="29" t="s">
        <v>371</v>
      </c>
      <c r="F3118" s="29" t="s">
        <v>372</v>
      </c>
      <c r="G3118" t="s">
        <v>2691</v>
      </c>
      <c r="H3118" t="s">
        <v>323</v>
      </c>
      <c r="I3118" t="s">
        <v>45</v>
      </c>
      <c r="J3118" t="s">
        <v>2636</v>
      </c>
      <c r="K3118" t="s">
        <v>285</v>
      </c>
      <c r="L3118" t="s">
        <v>2699</v>
      </c>
    </row>
    <row r="3119" spans="1:12">
      <c r="A3119" t="s">
        <v>2625</v>
      </c>
      <c r="B3119" t="s">
        <v>2634</v>
      </c>
      <c r="C3119" t="s">
        <v>749</v>
      </c>
      <c r="D3119" s="29">
        <v>6657200063256</v>
      </c>
      <c r="E3119" s="29" t="s">
        <v>371</v>
      </c>
      <c r="F3119" s="29" t="s">
        <v>372</v>
      </c>
      <c r="G3119" t="s">
        <v>2700</v>
      </c>
      <c r="H3119" t="s">
        <v>323</v>
      </c>
      <c r="I3119" t="s">
        <v>45</v>
      </c>
      <c r="J3119" t="s">
        <v>2636</v>
      </c>
      <c r="K3119" t="s">
        <v>285</v>
      </c>
      <c r="L3119" t="s">
        <v>2699</v>
      </c>
    </row>
    <row r="3120" spans="1:12">
      <c r="A3120" t="s">
        <v>2625</v>
      </c>
      <c r="B3120" t="s">
        <v>2634</v>
      </c>
      <c r="C3120" t="s">
        <v>1014</v>
      </c>
      <c r="D3120" s="29">
        <v>6657200063251</v>
      </c>
      <c r="E3120" s="29" t="s">
        <v>371</v>
      </c>
      <c r="F3120" s="29" t="s">
        <v>372</v>
      </c>
      <c r="G3120" t="s">
        <v>2702</v>
      </c>
      <c r="H3120" t="s">
        <v>323</v>
      </c>
      <c r="I3120" t="s">
        <v>45</v>
      </c>
      <c r="J3120" t="s">
        <v>2636</v>
      </c>
      <c r="K3120" t="s">
        <v>285</v>
      </c>
      <c r="L3120" t="s">
        <v>2699</v>
      </c>
    </row>
    <row r="3121" spans="1:12">
      <c r="A3121" t="s">
        <v>2625</v>
      </c>
      <c r="B3121" t="s">
        <v>2626</v>
      </c>
      <c r="C3121" t="s">
        <v>2703</v>
      </c>
      <c r="D3121" s="29">
        <v>6600100051523</v>
      </c>
      <c r="E3121" s="29" t="s">
        <v>371</v>
      </c>
      <c r="F3121" s="29" t="s">
        <v>372</v>
      </c>
      <c r="G3121" t="s">
        <v>2691</v>
      </c>
      <c r="H3121" t="s">
        <v>323</v>
      </c>
      <c r="I3121" t="s">
        <v>45</v>
      </c>
      <c r="J3121" t="s">
        <v>127</v>
      </c>
      <c r="K3121" t="s">
        <v>285</v>
      </c>
      <c r="L3121" t="s">
        <v>2699</v>
      </c>
    </row>
    <row r="3122" spans="1:12">
      <c r="A3122" t="s">
        <v>2625</v>
      </c>
      <c r="B3122" t="s">
        <v>2634</v>
      </c>
      <c r="C3122" t="s">
        <v>2704</v>
      </c>
      <c r="D3122" s="29">
        <v>6657200062963</v>
      </c>
      <c r="E3122" s="29" t="s">
        <v>371</v>
      </c>
      <c r="F3122" s="29" t="s">
        <v>372</v>
      </c>
      <c r="G3122" t="s">
        <v>2700</v>
      </c>
      <c r="H3122" t="s">
        <v>323</v>
      </c>
      <c r="I3122" t="s">
        <v>45</v>
      </c>
      <c r="J3122" t="s">
        <v>2636</v>
      </c>
      <c r="K3122" t="s">
        <v>285</v>
      </c>
      <c r="L3122" t="s">
        <v>2699</v>
      </c>
    </row>
    <row r="3123" spans="1:12">
      <c r="A3123" t="s">
        <v>2625</v>
      </c>
      <c r="B3123" t="s">
        <v>2638</v>
      </c>
      <c r="C3123" t="s">
        <v>2705</v>
      </c>
      <c r="D3123" s="29">
        <v>660881127853</v>
      </c>
      <c r="E3123" s="29" t="s">
        <v>393</v>
      </c>
      <c r="F3123" s="29" t="s">
        <v>372</v>
      </c>
      <c r="G3123">
        <v>16</v>
      </c>
      <c r="H3123" t="s">
        <v>323</v>
      </c>
      <c r="I3123" t="s">
        <v>45</v>
      </c>
      <c r="J3123" t="s">
        <v>2639</v>
      </c>
      <c r="K3123" t="s">
        <v>285</v>
      </c>
      <c r="L3123" t="s">
        <v>2706</v>
      </c>
    </row>
    <row r="3124" spans="1:12">
      <c r="A3124" t="s">
        <v>2625</v>
      </c>
      <c r="B3124" t="s">
        <v>2638</v>
      </c>
      <c r="C3124" t="s">
        <v>2707</v>
      </c>
      <c r="D3124" s="29">
        <v>6608800125972</v>
      </c>
      <c r="E3124" s="29" t="s">
        <v>393</v>
      </c>
      <c r="F3124" s="29" t="s">
        <v>372</v>
      </c>
      <c r="G3124">
        <v>40</v>
      </c>
      <c r="H3124" t="s">
        <v>323</v>
      </c>
      <c r="I3124" t="s">
        <v>45</v>
      </c>
      <c r="J3124" t="s">
        <v>2639</v>
      </c>
      <c r="K3124" t="s">
        <v>285</v>
      </c>
      <c r="L3124" t="s">
        <v>2706</v>
      </c>
    </row>
    <row r="3125" spans="1:12">
      <c r="A3125" t="s">
        <v>2625</v>
      </c>
      <c r="B3125" t="s">
        <v>2643</v>
      </c>
      <c r="C3125" t="s">
        <v>2708</v>
      </c>
      <c r="D3125" s="29">
        <v>6617000123896</v>
      </c>
      <c r="E3125" s="29" t="s">
        <v>393</v>
      </c>
      <c r="F3125" s="29" t="s">
        <v>372</v>
      </c>
      <c r="G3125">
        <v>9</v>
      </c>
      <c r="H3125" t="s">
        <v>323</v>
      </c>
      <c r="I3125" t="s">
        <v>324</v>
      </c>
      <c r="J3125" t="s">
        <v>2644</v>
      </c>
      <c r="K3125" t="s">
        <v>369</v>
      </c>
      <c r="L3125" t="s">
        <v>2709</v>
      </c>
    </row>
    <row r="3126" spans="1:12">
      <c r="A3126" t="s">
        <v>2625</v>
      </c>
      <c r="B3126" t="s">
        <v>2643</v>
      </c>
      <c r="C3126" t="s">
        <v>2710</v>
      </c>
      <c r="D3126" s="29">
        <v>6617000122920</v>
      </c>
      <c r="E3126" s="29" t="s">
        <v>368</v>
      </c>
      <c r="F3126" s="29" t="s">
        <v>364</v>
      </c>
      <c r="G3126">
        <v>111</v>
      </c>
      <c r="H3126" t="s">
        <v>323</v>
      </c>
      <c r="I3126" t="s">
        <v>324</v>
      </c>
      <c r="J3126" t="s">
        <v>2644</v>
      </c>
      <c r="K3126" t="s">
        <v>394</v>
      </c>
      <c r="L3126" t="s">
        <v>2711</v>
      </c>
    </row>
    <row r="3127" spans="1:12">
      <c r="A3127" t="s">
        <v>2625</v>
      </c>
      <c r="B3127" t="s">
        <v>2643</v>
      </c>
      <c r="C3127" t="s">
        <v>2712</v>
      </c>
      <c r="D3127" s="29">
        <v>661701129316</v>
      </c>
      <c r="E3127" s="29" t="s">
        <v>393</v>
      </c>
      <c r="F3127" s="29" t="s">
        <v>372</v>
      </c>
      <c r="G3127" t="s">
        <v>2691</v>
      </c>
      <c r="H3127" t="s">
        <v>323</v>
      </c>
      <c r="I3127" t="s">
        <v>324</v>
      </c>
      <c r="J3127" t="s">
        <v>2644</v>
      </c>
      <c r="K3127" t="s">
        <v>285</v>
      </c>
      <c r="L3127" t="s">
        <v>2709</v>
      </c>
    </row>
    <row r="3128" spans="1:12">
      <c r="A3128" t="s">
        <v>2625</v>
      </c>
      <c r="B3128" t="s">
        <v>2643</v>
      </c>
      <c r="C3128" t="s">
        <v>2713</v>
      </c>
      <c r="D3128" s="29">
        <v>661701129324</v>
      </c>
      <c r="E3128" s="29" t="s">
        <v>393</v>
      </c>
      <c r="F3128" s="29" t="s">
        <v>372</v>
      </c>
      <c r="G3128" t="s">
        <v>141</v>
      </c>
      <c r="H3128" t="s">
        <v>323</v>
      </c>
      <c r="I3128" t="s">
        <v>324</v>
      </c>
      <c r="J3128" t="s">
        <v>2644</v>
      </c>
      <c r="K3128" t="s">
        <v>394</v>
      </c>
      <c r="L3128" t="s">
        <v>2714</v>
      </c>
    </row>
    <row r="3129" spans="1:12">
      <c r="A3129" t="s">
        <v>2625</v>
      </c>
      <c r="B3129" t="s">
        <v>2643</v>
      </c>
      <c r="C3129" t="s">
        <v>2715</v>
      </c>
      <c r="D3129" s="29">
        <v>6617000107025</v>
      </c>
      <c r="E3129" s="29" t="s">
        <v>371</v>
      </c>
      <c r="F3129" s="29" t="s">
        <v>372</v>
      </c>
      <c r="G3129" t="s">
        <v>2691</v>
      </c>
      <c r="H3129" t="s">
        <v>323</v>
      </c>
      <c r="I3129" t="s">
        <v>324</v>
      </c>
      <c r="J3129" t="s">
        <v>2644</v>
      </c>
      <c r="K3129">
        <v>0</v>
      </c>
      <c r="L3129" t="s">
        <v>2716</v>
      </c>
    </row>
    <row r="3130" spans="1:12">
      <c r="A3130" t="s">
        <v>2625</v>
      </c>
      <c r="B3130" t="s">
        <v>2643</v>
      </c>
      <c r="C3130" t="s">
        <v>2717</v>
      </c>
      <c r="D3130" s="29">
        <v>6617000123900</v>
      </c>
      <c r="E3130" s="29" t="s">
        <v>393</v>
      </c>
      <c r="F3130" s="29" t="s">
        <v>372</v>
      </c>
      <c r="G3130" t="s">
        <v>134</v>
      </c>
      <c r="H3130" t="s">
        <v>323</v>
      </c>
      <c r="I3130" t="s">
        <v>324</v>
      </c>
      <c r="J3130" t="s">
        <v>2644</v>
      </c>
      <c r="K3130" t="s">
        <v>394</v>
      </c>
      <c r="L3130" t="s">
        <v>2709</v>
      </c>
    </row>
    <row r="3131" spans="1:12">
      <c r="A3131" t="s">
        <v>2625</v>
      </c>
      <c r="B3131" t="s">
        <v>2638</v>
      </c>
      <c r="C3131" t="s">
        <v>2718</v>
      </c>
      <c r="D3131" s="29">
        <v>663181159706</v>
      </c>
      <c r="E3131" s="29" t="s">
        <v>1248</v>
      </c>
      <c r="F3131" s="29" t="s">
        <v>322</v>
      </c>
      <c r="G3131">
        <v>19</v>
      </c>
      <c r="H3131" t="s">
        <v>323</v>
      </c>
      <c r="I3131" t="s">
        <v>45</v>
      </c>
      <c r="J3131" t="s">
        <v>2652</v>
      </c>
      <c r="K3131" t="s">
        <v>2668</v>
      </c>
      <c r="L3131" t="s">
        <v>2719</v>
      </c>
    </row>
    <row r="3132" spans="1:12">
      <c r="A3132" t="s">
        <v>2625</v>
      </c>
      <c r="B3132" t="s">
        <v>2683</v>
      </c>
      <c r="C3132" t="s">
        <v>2720</v>
      </c>
      <c r="D3132" s="29">
        <v>6644000125156</v>
      </c>
      <c r="E3132" s="29" t="s">
        <v>393</v>
      </c>
      <c r="F3132" s="29" t="s">
        <v>372</v>
      </c>
      <c r="G3132">
        <v>45</v>
      </c>
      <c r="H3132" t="s">
        <v>323</v>
      </c>
      <c r="I3132" t="s">
        <v>45</v>
      </c>
      <c r="J3132" t="s">
        <v>2688</v>
      </c>
      <c r="K3132" t="s">
        <v>285</v>
      </c>
      <c r="L3132" t="s">
        <v>2721</v>
      </c>
    </row>
    <row r="3133" spans="1:12">
      <c r="A3133" t="s">
        <v>2625</v>
      </c>
      <c r="B3133" t="s">
        <v>2638</v>
      </c>
      <c r="C3133" t="s">
        <v>2722</v>
      </c>
      <c r="D3133" s="29">
        <v>6659400125828</v>
      </c>
      <c r="E3133" s="29" t="s">
        <v>393</v>
      </c>
      <c r="F3133" s="29" t="s">
        <v>372</v>
      </c>
      <c r="G3133" t="s">
        <v>149</v>
      </c>
      <c r="H3133" t="s">
        <v>1051</v>
      </c>
      <c r="I3133" t="s">
        <v>324</v>
      </c>
      <c r="J3133" t="s">
        <v>2641</v>
      </c>
      <c r="K3133" t="s">
        <v>285</v>
      </c>
      <c r="L3133" t="s">
        <v>2723</v>
      </c>
    </row>
    <row r="3134" spans="1:12">
      <c r="A3134" t="s">
        <v>2625</v>
      </c>
      <c r="B3134" t="s">
        <v>2638</v>
      </c>
      <c r="C3134" t="s">
        <v>2724</v>
      </c>
      <c r="D3134" s="29">
        <v>6659400125950</v>
      </c>
      <c r="E3134" s="29" t="s">
        <v>393</v>
      </c>
      <c r="F3134" s="29" t="s">
        <v>372</v>
      </c>
      <c r="G3134" t="s">
        <v>134</v>
      </c>
      <c r="H3134" t="s">
        <v>323</v>
      </c>
      <c r="I3134" t="s">
        <v>324</v>
      </c>
      <c r="J3134" t="s">
        <v>2641</v>
      </c>
      <c r="K3134" t="s">
        <v>285</v>
      </c>
      <c r="L3134" t="s">
        <v>2725</v>
      </c>
    </row>
    <row r="3135" spans="1:12">
      <c r="A3135" t="s">
        <v>2625</v>
      </c>
      <c r="B3135" t="s">
        <v>2638</v>
      </c>
      <c r="C3135" t="s">
        <v>2726</v>
      </c>
      <c r="D3135" s="29">
        <v>665941128906</v>
      </c>
      <c r="E3135" s="29" t="s">
        <v>393</v>
      </c>
      <c r="F3135" s="29" t="s">
        <v>372</v>
      </c>
      <c r="G3135" t="s">
        <v>90</v>
      </c>
      <c r="H3135" t="s">
        <v>323</v>
      </c>
      <c r="I3135" t="s">
        <v>324</v>
      </c>
      <c r="J3135" t="s">
        <v>2641</v>
      </c>
      <c r="K3135" t="s">
        <v>365</v>
      </c>
      <c r="L3135" t="s">
        <v>2725</v>
      </c>
    </row>
    <row r="3136" spans="1:12">
      <c r="A3136" t="s">
        <v>2625</v>
      </c>
      <c r="B3136" t="s">
        <v>2634</v>
      </c>
      <c r="C3136" t="s">
        <v>2727</v>
      </c>
      <c r="D3136" s="29">
        <v>660451130880</v>
      </c>
      <c r="E3136" s="29" t="s">
        <v>1248</v>
      </c>
      <c r="F3136" s="29" t="s">
        <v>322</v>
      </c>
      <c r="G3136" t="s">
        <v>90</v>
      </c>
      <c r="H3136" t="s">
        <v>323</v>
      </c>
      <c r="I3136" t="s">
        <v>324</v>
      </c>
      <c r="J3136" t="s">
        <v>2728</v>
      </c>
      <c r="K3136" t="s">
        <v>369</v>
      </c>
      <c r="L3136" t="s">
        <v>2725</v>
      </c>
    </row>
    <row r="3137" spans="1:13">
      <c r="A3137" t="s">
        <v>2729</v>
      </c>
      <c r="B3137" t="s">
        <v>2730</v>
      </c>
      <c r="C3137" t="s">
        <v>2731</v>
      </c>
      <c r="D3137" s="31">
        <v>2700100073512</v>
      </c>
      <c r="E3137" s="29" t="s">
        <v>987</v>
      </c>
      <c r="F3137" s="29" t="s">
        <v>364</v>
      </c>
      <c r="G3137" s="32">
        <v>106</v>
      </c>
      <c r="H3137" t="s">
        <v>323</v>
      </c>
      <c r="I3137" t="s">
        <v>324</v>
      </c>
      <c r="J3137" t="s">
        <v>2732</v>
      </c>
      <c r="K3137" t="s">
        <v>989</v>
      </c>
      <c r="L3137" t="s">
        <v>2733</v>
      </c>
      <c r="M3137" t="s">
        <v>2733</v>
      </c>
    </row>
    <row r="3138" spans="1:13">
      <c r="A3138" t="s">
        <v>2729</v>
      </c>
      <c r="B3138" t="s">
        <v>2730</v>
      </c>
      <c r="C3138" t="s">
        <v>2734</v>
      </c>
      <c r="D3138" s="31">
        <v>2700100085981</v>
      </c>
      <c r="E3138" s="29" t="s">
        <v>987</v>
      </c>
      <c r="F3138" s="29" t="s">
        <v>364</v>
      </c>
      <c r="G3138" s="32">
        <v>88</v>
      </c>
      <c r="H3138" t="s">
        <v>323</v>
      </c>
      <c r="I3138" t="s">
        <v>324</v>
      </c>
      <c r="J3138" t="s">
        <v>2732</v>
      </c>
      <c r="K3138" t="s">
        <v>989</v>
      </c>
      <c r="L3138" t="s">
        <v>2735</v>
      </c>
      <c r="M3138" t="s">
        <v>2735</v>
      </c>
    </row>
    <row r="3139" spans="1:13">
      <c r="A3139" t="s">
        <v>2729</v>
      </c>
      <c r="B3139" t="s">
        <v>2736</v>
      </c>
      <c r="C3139" t="s">
        <v>2737</v>
      </c>
      <c r="D3139" s="31">
        <v>2736100065900</v>
      </c>
      <c r="E3139" s="29" t="s">
        <v>368</v>
      </c>
      <c r="F3139" s="29" t="s">
        <v>364</v>
      </c>
      <c r="G3139" s="32">
        <v>163</v>
      </c>
      <c r="H3139" t="s">
        <v>323</v>
      </c>
      <c r="I3139" t="s">
        <v>98</v>
      </c>
      <c r="J3139" t="s">
        <v>2738</v>
      </c>
      <c r="K3139" t="s">
        <v>989</v>
      </c>
      <c r="L3139" t="s">
        <v>2739</v>
      </c>
      <c r="M3139" t="s">
        <v>2739</v>
      </c>
    </row>
    <row r="3140" spans="1:13">
      <c r="A3140" t="s">
        <v>2729</v>
      </c>
      <c r="B3140" t="s">
        <v>2736</v>
      </c>
      <c r="C3140" t="s">
        <v>2740</v>
      </c>
      <c r="D3140" s="31">
        <v>2736100065850</v>
      </c>
      <c r="E3140" s="29" t="s">
        <v>987</v>
      </c>
      <c r="F3140" s="29" t="s">
        <v>364</v>
      </c>
      <c r="G3140" s="32">
        <v>144</v>
      </c>
      <c r="H3140" t="s">
        <v>323</v>
      </c>
      <c r="I3140" t="s">
        <v>98</v>
      </c>
      <c r="J3140" t="s">
        <v>2738</v>
      </c>
      <c r="K3140" t="s">
        <v>989</v>
      </c>
      <c r="L3140" t="s">
        <v>2741</v>
      </c>
      <c r="M3140" t="s">
        <v>2741</v>
      </c>
    </row>
    <row r="3141" spans="1:13">
      <c r="A3141" t="s">
        <v>2729</v>
      </c>
      <c r="B3141" t="s">
        <v>2730</v>
      </c>
      <c r="C3141" t="s">
        <v>2742</v>
      </c>
      <c r="D3141" s="31">
        <v>2700100073550</v>
      </c>
      <c r="E3141" s="29" t="s">
        <v>368</v>
      </c>
      <c r="F3141" s="29" t="s">
        <v>364</v>
      </c>
      <c r="G3141" s="32">
        <v>225</v>
      </c>
      <c r="H3141" t="s">
        <v>323</v>
      </c>
      <c r="I3141" t="s">
        <v>98</v>
      </c>
      <c r="J3141" t="s">
        <v>2732</v>
      </c>
      <c r="K3141" t="s">
        <v>989</v>
      </c>
      <c r="L3141" t="s">
        <v>2743</v>
      </c>
      <c r="M3141" t="s">
        <v>2743</v>
      </c>
    </row>
    <row r="3142" spans="1:13">
      <c r="A3142" t="s">
        <v>2729</v>
      </c>
      <c r="B3142" t="s">
        <v>2736</v>
      </c>
      <c r="C3142" t="s">
        <v>2744</v>
      </c>
      <c r="D3142" s="31">
        <v>274911111369</v>
      </c>
      <c r="E3142" s="29" t="s">
        <v>368</v>
      </c>
      <c r="F3142" s="29" t="s">
        <v>364</v>
      </c>
      <c r="G3142" s="32">
        <v>169</v>
      </c>
      <c r="H3142" t="s">
        <v>323</v>
      </c>
      <c r="I3142" t="s">
        <v>98</v>
      </c>
      <c r="J3142" t="s">
        <v>2745</v>
      </c>
      <c r="K3142" t="s">
        <v>989</v>
      </c>
      <c r="L3142" t="s">
        <v>2746</v>
      </c>
      <c r="M3142" t="s">
        <v>2746</v>
      </c>
    </row>
    <row r="3143" spans="1:13">
      <c r="A3143" t="s">
        <v>2729</v>
      </c>
      <c r="B3143" t="s">
        <v>2730</v>
      </c>
      <c r="C3143" t="s">
        <v>2747</v>
      </c>
      <c r="D3143" s="31">
        <v>2700100114751</v>
      </c>
      <c r="E3143" s="29" t="s">
        <v>2748</v>
      </c>
      <c r="F3143" s="29" t="s">
        <v>364</v>
      </c>
      <c r="G3143" s="32">
        <v>118</v>
      </c>
      <c r="H3143" t="s">
        <v>323</v>
      </c>
      <c r="I3143" t="s">
        <v>98</v>
      </c>
      <c r="J3143" t="s">
        <v>2732</v>
      </c>
      <c r="K3143" t="s">
        <v>394</v>
      </c>
      <c r="L3143" t="s">
        <v>2749</v>
      </c>
      <c r="M3143" t="s">
        <v>2749</v>
      </c>
    </row>
    <row r="3144" spans="1:13">
      <c r="A3144" t="s">
        <v>2729</v>
      </c>
      <c r="B3144" t="s">
        <v>2730</v>
      </c>
      <c r="C3144" t="s">
        <v>2750</v>
      </c>
      <c r="D3144" s="31">
        <v>270011142868</v>
      </c>
      <c r="E3144" s="29" t="s">
        <v>2748</v>
      </c>
      <c r="F3144" s="29" t="s">
        <v>364</v>
      </c>
      <c r="G3144" s="32">
        <v>231</v>
      </c>
      <c r="H3144" t="s">
        <v>323</v>
      </c>
      <c r="I3144" t="s">
        <v>324</v>
      </c>
      <c r="J3144" t="s">
        <v>2732</v>
      </c>
      <c r="K3144" t="s">
        <v>394</v>
      </c>
      <c r="L3144" t="s">
        <v>2751</v>
      </c>
      <c r="M3144" t="s">
        <v>2751</v>
      </c>
    </row>
    <row r="3145" spans="1:13">
      <c r="A3145" t="s">
        <v>2729</v>
      </c>
      <c r="B3145" t="s">
        <v>2730</v>
      </c>
      <c r="C3145" t="s">
        <v>2752</v>
      </c>
      <c r="D3145" s="31">
        <v>270011155725</v>
      </c>
      <c r="E3145" s="29" t="s">
        <v>2748</v>
      </c>
      <c r="F3145" s="29" t="s">
        <v>364</v>
      </c>
      <c r="G3145" s="32">
        <v>102</v>
      </c>
      <c r="H3145" t="s">
        <v>323</v>
      </c>
      <c r="I3145" t="s">
        <v>324</v>
      </c>
      <c r="J3145" t="s">
        <v>2732</v>
      </c>
      <c r="K3145" t="s">
        <v>2753</v>
      </c>
      <c r="L3145" t="s">
        <v>2754</v>
      </c>
      <c r="M3145" t="s">
        <v>2754</v>
      </c>
    </row>
    <row r="3146" spans="1:13">
      <c r="A3146" t="s">
        <v>2729</v>
      </c>
      <c r="B3146" t="s">
        <v>2736</v>
      </c>
      <c r="C3146" t="s">
        <v>2755</v>
      </c>
      <c r="D3146" s="31">
        <v>2736100063991</v>
      </c>
      <c r="E3146" s="29" t="s">
        <v>441</v>
      </c>
      <c r="F3146" s="29" t="s">
        <v>372</v>
      </c>
      <c r="G3146" s="32">
        <v>39</v>
      </c>
      <c r="H3146" t="s">
        <v>323</v>
      </c>
      <c r="I3146" s="33"/>
      <c r="J3146" t="s">
        <v>2738</v>
      </c>
      <c r="K3146" t="s">
        <v>394</v>
      </c>
      <c r="L3146" t="s">
        <v>2756</v>
      </c>
      <c r="M3146" t="s">
        <v>2756</v>
      </c>
    </row>
    <row r="3147" spans="1:13">
      <c r="A3147" t="s">
        <v>2729</v>
      </c>
      <c r="B3147" t="s">
        <v>2736</v>
      </c>
      <c r="C3147" t="s">
        <v>2757</v>
      </c>
      <c r="D3147" s="31">
        <v>2736100067112</v>
      </c>
      <c r="E3147" s="29" t="s">
        <v>441</v>
      </c>
      <c r="F3147" s="29" t="s">
        <v>372</v>
      </c>
      <c r="G3147" s="32">
        <v>37</v>
      </c>
      <c r="H3147" t="s">
        <v>323</v>
      </c>
      <c r="I3147" s="33"/>
      <c r="J3147" t="s">
        <v>2738</v>
      </c>
      <c r="K3147" t="s">
        <v>394</v>
      </c>
      <c r="L3147" t="s">
        <v>2756</v>
      </c>
      <c r="M3147" t="s">
        <v>2756</v>
      </c>
    </row>
    <row r="3148" spans="1:13">
      <c r="A3148" t="s">
        <v>2729</v>
      </c>
      <c r="B3148" t="s">
        <v>2736</v>
      </c>
      <c r="C3148" t="s">
        <v>2758</v>
      </c>
      <c r="D3148" s="31">
        <v>2758000094523</v>
      </c>
      <c r="E3148" s="29" t="s">
        <v>441</v>
      </c>
      <c r="F3148" s="29" t="s">
        <v>372</v>
      </c>
      <c r="G3148" s="32">
        <v>73</v>
      </c>
      <c r="H3148" t="s">
        <v>323</v>
      </c>
      <c r="I3148" s="33"/>
      <c r="J3148" t="s">
        <v>2759</v>
      </c>
      <c r="K3148" t="s">
        <v>394</v>
      </c>
      <c r="L3148" t="s">
        <v>2756</v>
      </c>
      <c r="M3148" t="s">
        <v>2756</v>
      </c>
    </row>
    <row r="3149" spans="1:13">
      <c r="A3149" s="34" t="s">
        <v>2760</v>
      </c>
      <c r="B3149" t="s">
        <v>2761</v>
      </c>
      <c r="C3149" t="s">
        <v>2762</v>
      </c>
      <c r="D3149" s="35">
        <v>1738000032128</v>
      </c>
      <c r="E3149" s="29" t="s">
        <v>987</v>
      </c>
      <c r="F3149" s="29" t="s">
        <v>364</v>
      </c>
      <c r="G3149" s="36">
        <v>200</v>
      </c>
      <c r="H3149" t="s">
        <v>1051</v>
      </c>
      <c r="J3149" t="s">
        <v>2763</v>
      </c>
      <c r="K3149" t="s">
        <v>989</v>
      </c>
      <c r="L3149" s="34" t="s">
        <v>2764</v>
      </c>
    </row>
    <row r="3150" spans="1:13">
      <c r="A3150" s="34" t="s">
        <v>2760</v>
      </c>
      <c r="B3150" t="s">
        <v>2765</v>
      </c>
      <c r="C3150" t="s">
        <v>2766</v>
      </c>
      <c r="D3150" s="35">
        <v>176651122894</v>
      </c>
      <c r="E3150" s="29" t="s">
        <v>368</v>
      </c>
      <c r="F3150" s="29" t="s">
        <v>364</v>
      </c>
      <c r="G3150" s="36">
        <v>48</v>
      </c>
      <c r="H3150" t="s">
        <v>323</v>
      </c>
      <c r="J3150" t="s">
        <v>2767</v>
      </c>
      <c r="K3150" t="s">
        <v>394</v>
      </c>
      <c r="L3150" s="34" t="s">
        <v>2768</v>
      </c>
    </row>
    <row r="3151" spans="1:13">
      <c r="A3151" s="34" t="s">
        <v>2760</v>
      </c>
      <c r="B3151" t="s">
        <v>2765</v>
      </c>
      <c r="C3151" t="s">
        <v>2769</v>
      </c>
      <c r="D3151" s="35">
        <v>170881123021</v>
      </c>
      <c r="E3151" s="29" t="s">
        <v>368</v>
      </c>
      <c r="F3151" s="29" t="s">
        <v>364</v>
      </c>
      <c r="G3151" s="36">
        <v>56</v>
      </c>
      <c r="H3151" t="s">
        <v>1051</v>
      </c>
      <c r="J3151" t="s">
        <v>2770</v>
      </c>
      <c r="K3151" t="s">
        <v>394</v>
      </c>
      <c r="L3151" s="34" t="s">
        <v>2764</v>
      </c>
    </row>
    <row r="3152" spans="1:13">
      <c r="A3152" s="34" t="s">
        <v>2760</v>
      </c>
      <c r="B3152" t="s">
        <v>2771</v>
      </c>
      <c r="C3152" t="s">
        <v>2772</v>
      </c>
      <c r="D3152" s="35">
        <v>1700100012237</v>
      </c>
      <c r="E3152" s="29" t="s">
        <v>368</v>
      </c>
      <c r="F3152" s="29" t="s">
        <v>364</v>
      </c>
      <c r="G3152" s="36">
        <v>66</v>
      </c>
      <c r="H3152" t="s">
        <v>323</v>
      </c>
      <c r="J3152" t="s">
        <v>56</v>
      </c>
      <c r="K3152" t="s">
        <v>989</v>
      </c>
      <c r="L3152" s="34" t="s">
        <v>2773</v>
      </c>
    </row>
    <row r="3153" spans="1:12">
      <c r="A3153" s="34" t="s">
        <v>2760</v>
      </c>
      <c r="B3153" t="s">
        <v>2765</v>
      </c>
      <c r="C3153" t="s">
        <v>2774</v>
      </c>
      <c r="D3153" s="35">
        <v>175241123022</v>
      </c>
      <c r="E3153" s="29" t="s">
        <v>368</v>
      </c>
      <c r="F3153" s="29" t="s">
        <v>364</v>
      </c>
      <c r="G3153" s="36">
        <v>80</v>
      </c>
      <c r="H3153" t="s">
        <v>1051</v>
      </c>
      <c r="J3153" t="s">
        <v>2775</v>
      </c>
      <c r="K3153" t="s">
        <v>394</v>
      </c>
      <c r="L3153" s="34" t="s">
        <v>2764</v>
      </c>
    </row>
    <row r="3154" spans="1:12">
      <c r="A3154" s="34" t="s">
        <v>2760</v>
      </c>
      <c r="B3154" t="s">
        <v>2765</v>
      </c>
      <c r="C3154" t="s">
        <v>2776</v>
      </c>
      <c r="D3154" s="35">
        <v>175241123025</v>
      </c>
      <c r="E3154" s="29" t="s">
        <v>368</v>
      </c>
      <c r="F3154" s="29" t="s">
        <v>364</v>
      </c>
      <c r="G3154" s="36">
        <v>20</v>
      </c>
      <c r="H3154" t="s">
        <v>1051</v>
      </c>
      <c r="J3154" t="s">
        <v>2775</v>
      </c>
      <c r="K3154" t="s">
        <v>394</v>
      </c>
      <c r="L3154" s="34" t="s">
        <v>2764</v>
      </c>
    </row>
    <row r="3155" spans="1:12">
      <c r="A3155" s="34" t="s">
        <v>2760</v>
      </c>
      <c r="B3155" t="s">
        <v>2761</v>
      </c>
      <c r="C3155" t="s">
        <v>2777</v>
      </c>
      <c r="D3155" s="35">
        <v>1738000032159</v>
      </c>
      <c r="E3155" s="29" t="s">
        <v>368</v>
      </c>
      <c r="F3155" s="29" t="s">
        <v>364</v>
      </c>
      <c r="G3155" s="36">
        <v>175</v>
      </c>
      <c r="H3155" t="s">
        <v>1051</v>
      </c>
      <c r="J3155" t="s">
        <v>2763</v>
      </c>
      <c r="K3155" t="s">
        <v>394</v>
      </c>
      <c r="L3155" s="34" t="s">
        <v>2764</v>
      </c>
    </row>
    <row r="3156" spans="1:12">
      <c r="A3156" s="34" t="s">
        <v>2760</v>
      </c>
      <c r="B3156" t="s">
        <v>2771</v>
      </c>
      <c r="C3156" t="s">
        <v>2646</v>
      </c>
      <c r="D3156" s="35">
        <v>1700100020494</v>
      </c>
      <c r="E3156" s="29" t="s">
        <v>368</v>
      </c>
      <c r="F3156" s="29" t="s">
        <v>364</v>
      </c>
      <c r="G3156" s="36">
        <v>189</v>
      </c>
      <c r="H3156" t="s">
        <v>323</v>
      </c>
      <c r="J3156" t="s">
        <v>56</v>
      </c>
      <c r="K3156" t="s">
        <v>394</v>
      </c>
      <c r="L3156" s="34" t="s">
        <v>2778</v>
      </c>
    </row>
    <row r="3157" spans="1:12">
      <c r="A3157" s="34" t="s">
        <v>2760</v>
      </c>
      <c r="B3157" t="s">
        <v>2761</v>
      </c>
      <c r="C3157" t="s">
        <v>2779</v>
      </c>
      <c r="D3157" s="35">
        <v>1738000110127</v>
      </c>
      <c r="E3157" s="29" t="s">
        <v>363</v>
      </c>
      <c r="F3157" s="29" t="s">
        <v>364</v>
      </c>
      <c r="G3157" s="36">
        <v>64</v>
      </c>
      <c r="H3157" t="s">
        <v>1051</v>
      </c>
      <c r="J3157" t="s">
        <v>2763</v>
      </c>
      <c r="K3157" t="s">
        <v>365</v>
      </c>
      <c r="L3157" s="34" t="s">
        <v>2764</v>
      </c>
    </row>
    <row r="3158" spans="1:12">
      <c r="A3158" s="34" t="s">
        <v>2760</v>
      </c>
      <c r="B3158" t="s">
        <v>2780</v>
      </c>
      <c r="C3158" t="s">
        <v>2781</v>
      </c>
      <c r="D3158" s="35">
        <v>170131154295</v>
      </c>
      <c r="E3158" s="29" t="s">
        <v>363</v>
      </c>
      <c r="F3158" s="29" t="s">
        <v>364</v>
      </c>
      <c r="G3158" s="36">
        <v>16</v>
      </c>
      <c r="H3158" t="s">
        <v>1051</v>
      </c>
      <c r="J3158" t="s">
        <v>2782</v>
      </c>
      <c r="K3158" t="s">
        <v>365</v>
      </c>
      <c r="L3158" s="34" t="s">
        <v>2783</v>
      </c>
    </row>
    <row r="3159" spans="1:12">
      <c r="A3159" s="34" t="s">
        <v>2760</v>
      </c>
      <c r="B3159" t="s">
        <v>2761</v>
      </c>
      <c r="C3159" t="s">
        <v>2784</v>
      </c>
      <c r="D3159" s="35">
        <v>1738000033086</v>
      </c>
      <c r="E3159" s="29" t="s">
        <v>363</v>
      </c>
      <c r="F3159" s="29" t="s">
        <v>364</v>
      </c>
      <c r="G3159" s="36">
        <v>41</v>
      </c>
      <c r="H3159" t="s">
        <v>1051</v>
      </c>
      <c r="J3159" t="s">
        <v>2763</v>
      </c>
      <c r="K3159" t="s">
        <v>365</v>
      </c>
      <c r="L3159" s="34" t="s">
        <v>2764</v>
      </c>
    </row>
    <row r="3160" spans="1:12">
      <c r="A3160" s="34" t="s">
        <v>2760</v>
      </c>
      <c r="B3160" t="s">
        <v>2761</v>
      </c>
      <c r="C3160" t="s">
        <v>2785</v>
      </c>
      <c r="D3160" s="35">
        <v>1738000032212</v>
      </c>
      <c r="E3160" s="29" t="s">
        <v>363</v>
      </c>
      <c r="F3160" s="29" t="s">
        <v>364</v>
      </c>
      <c r="G3160" s="36">
        <v>90</v>
      </c>
      <c r="H3160" t="s">
        <v>1051</v>
      </c>
      <c r="J3160" t="s">
        <v>2763</v>
      </c>
      <c r="K3160" t="s">
        <v>365</v>
      </c>
      <c r="L3160" s="34" t="s">
        <v>2764</v>
      </c>
    </row>
    <row r="3161" spans="1:12">
      <c r="A3161" s="34" t="s">
        <v>2760</v>
      </c>
      <c r="B3161" t="s">
        <v>2761</v>
      </c>
      <c r="C3161" t="s">
        <v>2786</v>
      </c>
      <c r="D3161" s="35">
        <v>1738000033145</v>
      </c>
      <c r="E3161" s="29" t="s">
        <v>363</v>
      </c>
      <c r="F3161" s="29" t="s">
        <v>364</v>
      </c>
      <c r="G3161" s="36">
        <v>80</v>
      </c>
      <c r="H3161" t="s">
        <v>1051</v>
      </c>
      <c r="J3161" t="s">
        <v>2763</v>
      </c>
      <c r="K3161" t="s">
        <v>365</v>
      </c>
      <c r="L3161" s="34" t="s">
        <v>2764</v>
      </c>
    </row>
    <row r="3162" spans="1:12">
      <c r="A3162" s="34" t="s">
        <v>2760</v>
      </c>
      <c r="B3162" t="s">
        <v>2765</v>
      </c>
      <c r="C3162" t="s">
        <v>2787</v>
      </c>
      <c r="D3162" s="35">
        <v>1717400025047</v>
      </c>
      <c r="E3162" s="29" t="s">
        <v>368</v>
      </c>
      <c r="F3162" s="29" t="s">
        <v>364</v>
      </c>
      <c r="G3162" s="36">
        <v>97</v>
      </c>
      <c r="H3162" t="s">
        <v>1051</v>
      </c>
      <c r="J3162" t="s">
        <v>2788</v>
      </c>
      <c r="K3162" t="s">
        <v>394</v>
      </c>
      <c r="L3162" s="34" t="s">
        <v>2789</v>
      </c>
    </row>
    <row r="3163" spans="1:12">
      <c r="A3163" s="34" t="s">
        <v>2790</v>
      </c>
      <c r="B3163" t="s">
        <v>2791</v>
      </c>
      <c r="C3163" t="s">
        <v>2792</v>
      </c>
      <c r="D3163" s="29">
        <v>6300100015377</v>
      </c>
      <c r="E3163" s="29" t="s">
        <v>987</v>
      </c>
      <c r="F3163" s="29" t="s">
        <v>364</v>
      </c>
      <c r="G3163">
        <v>73</v>
      </c>
      <c r="H3163" t="s">
        <v>1051</v>
      </c>
      <c r="J3163" t="s">
        <v>92</v>
      </c>
      <c r="K3163" t="s">
        <v>394</v>
      </c>
    </row>
    <row r="3164" spans="1:12">
      <c r="A3164" s="34" t="s">
        <v>2790</v>
      </c>
      <c r="B3164" t="s">
        <v>2791</v>
      </c>
      <c r="C3164" t="s">
        <v>2793</v>
      </c>
      <c r="D3164" s="29">
        <v>6300100015385</v>
      </c>
      <c r="E3164" s="29" t="s">
        <v>987</v>
      </c>
      <c r="F3164" s="29" t="s">
        <v>364</v>
      </c>
      <c r="G3164">
        <v>41</v>
      </c>
      <c r="H3164" t="s">
        <v>1051</v>
      </c>
      <c r="J3164" t="s">
        <v>92</v>
      </c>
      <c r="K3164" t="s">
        <v>365</v>
      </c>
    </row>
    <row r="3165" spans="1:12">
      <c r="A3165" s="34" t="s">
        <v>2790</v>
      </c>
      <c r="B3165" t="s">
        <v>2791</v>
      </c>
      <c r="C3165" t="s">
        <v>2794</v>
      </c>
      <c r="D3165" s="29">
        <v>6300100013783</v>
      </c>
      <c r="E3165" s="29" t="s">
        <v>987</v>
      </c>
      <c r="F3165" s="29" t="s">
        <v>364</v>
      </c>
      <c r="G3165">
        <v>166</v>
      </c>
      <c r="H3165" t="s">
        <v>1051</v>
      </c>
      <c r="J3165" t="s">
        <v>92</v>
      </c>
      <c r="K3165" t="s">
        <v>337</v>
      </c>
    </row>
    <row r="3166" spans="1:12">
      <c r="A3166" s="34" t="s">
        <v>2790</v>
      </c>
      <c r="B3166" t="s">
        <v>2791</v>
      </c>
      <c r="C3166" t="s">
        <v>2795</v>
      </c>
      <c r="D3166" s="29">
        <v>6300100030560</v>
      </c>
      <c r="E3166" s="29" t="s">
        <v>987</v>
      </c>
      <c r="F3166" s="29" t="s">
        <v>364</v>
      </c>
      <c r="G3166">
        <v>148</v>
      </c>
      <c r="H3166" t="s">
        <v>323</v>
      </c>
      <c r="J3166" t="s">
        <v>92</v>
      </c>
      <c r="K3166" t="s">
        <v>394</v>
      </c>
    </row>
    <row r="3167" spans="1:12">
      <c r="A3167" s="34" t="s">
        <v>2790</v>
      </c>
      <c r="B3167" t="s">
        <v>2791</v>
      </c>
      <c r="C3167" t="s">
        <v>2796</v>
      </c>
      <c r="D3167" s="29">
        <v>6300100039794</v>
      </c>
      <c r="E3167" s="29" t="s">
        <v>987</v>
      </c>
      <c r="F3167" s="29" t="s">
        <v>364</v>
      </c>
      <c r="G3167">
        <v>144</v>
      </c>
      <c r="H3167" t="s">
        <v>1051</v>
      </c>
      <c r="J3167" t="s">
        <v>92</v>
      </c>
      <c r="K3167" t="s">
        <v>394</v>
      </c>
    </row>
    <row r="3168" spans="1:12">
      <c r="A3168" s="34" t="s">
        <v>2790</v>
      </c>
      <c r="B3168" t="s">
        <v>2791</v>
      </c>
      <c r="C3168" t="s">
        <v>2797</v>
      </c>
      <c r="D3168" s="29">
        <v>6300100021875</v>
      </c>
      <c r="E3168" s="29" t="s">
        <v>987</v>
      </c>
      <c r="F3168" s="29" t="s">
        <v>364</v>
      </c>
      <c r="G3168">
        <v>200</v>
      </c>
      <c r="H3168" t="s">
        <v>1051</v>
      </c>
      <c r="J3168" t="s">
        <v>92</v>
      </c>
      <c r="K3168" t="s">
        <v>394</v>
      </c>
    </row>
    <row r="3169" spans="1:11">
      <c r="A3169" s="34" t="s">
        <v>2790</v>
      </c>
      <c r="B3169" t="s">
        <v>2791</v>
      </c>
      <c r="C3169" t="s">
        <v>2798</v>
      </c>
      <c r="D3169" s="29">
        <v>6300100015602</v>
      </c>
      <c r="E3169" s="29" t="s">
        <v>987</v>
      </c>
      <c r="F3169" s="29" t="s">
        <v>364</v>
      </c>
      <c r="G3169">
        <v>175</v>
      </c>
      <c r="H3169" t="s">
        <v>1051</v>
      </c>
      <c r="J3169" t="s">
        <v>92</v>
      </c>
      <c r="K3169" t="s">
        <v>394</v>
      </c>
    </row>
    <row r="3170" spans="1:11">
      <c r="A3170" s="34" t="s">
        <v>2790</v>
      </c>
      <c r="B3170" t="s">
        <v>2791</v>
      </c>
      <c r="C3170" t="s">
        <v>2799</v>
      </c>
      <c r="D3170" s="29">
        <v>6300100041729</v>
      </c>
      <c r="E3170" s="29" t="s">
        <v>363</v>
      </c>
      <c r="F3170" s="29" t="s">
        <v>364</v>
      </c>
      <c r="G3170">
        <v>75</v>
      </c>
      <c r="H3170" t="s">
        <v>1051</v>
      </c>
      <c r="J3170" t="s">
        <v>92</v>
      </c>
      <c r="K3170" t="s">
        <v>365</v>
      </c>
    </row>
    <row r="3171" spans="1:11">
      <c r="A3171" s="34" t="s">
        <v>2790</v>
      </c>
      <c r="B3171" t="s">
        <v>2791</v>
      </c>
      <c r="C3171" t="s">
        <v>1343</v>
      </c>
      <c r="D3171" s="29">
        <v>6300100000785</v>
      </c>
      <c r="E3171" s="29" t="s">
        <v>987</v>
      </c>
      <c r="F3171" s="29" t="s">
        <v>364</v>
      </c>
      <c r="G3171">
        <v>200</v>
      </c>
      <c r="H3171" t="s">
        <v>1051</v>
      </c>
      <c r="J3171" t="s">
        <v>92</v>
      </c>
      <c r="K3171" t="s">
        <v>989</v>
      </c>
    </row>
    <row r="3172" spans="1:11">
      <c r="A3172" s="34" t="s">
        <v>2790</v>
      </c>
      <c r="B3172" t="s">
        <v>2791</v>
      </c>
      <c r="C3172" t="s">
        <v>2800</v>
      </c>
      <c r="D3172" s="29">
        <v>630011127160</v>
      </c>
      <c r="E3172" s="29" t="s">
        <v>393</v>
      </c>
      <c r="F3172" s="29" t="s">
        <v>372</v>
      </c>
      <c r="G3172">
        <v>40</v>
      </c>
      <c r="H3172" t="s">
        <v>1051</v>
      </c>
      <c r="J3172" t="s">
        <v>92</v>
      </c>
      <c r="K3172" t="s">
        <v>394</v>
      </c>
    </row>
    <row r="3173" spans="1:11">
      <c r="A3173" s="34" t="s">
        <v>2790</v>
      </c>
      <c r="B3173" t="s">
        <v>2791</v>
      </c>
      <c r="C3173" t="s">
        <v>2801</v>
      </c>
      <c r="D3173" s="29">
        <v>630011127162</v>
      </c>
      <c r="E3173" s="29" t="s">
        <v>393</v>
      </c>
      <c r="F3173" s="29" t="s">
        <v>372</v>
      </c>
      <c r="G3173">
        <v>50</v>
      </c>
      <c r="H3173" t="s">
        <v>1051</v>
      </c>
      <c r="J3173" t="s">
        <v>92</v>
      </c>
      <c r="K3173" t="s">
        <v>394</v>
      </c>
    </row>
    <row r="3174" spans="1:11">
      <c r="A3174" s="34" t="s">
        <v>2790</v>
      </c>
      <c r="B3174" t="s">
        <v>2791</v>
      </c>
      <c r="C3174" t="s">
        <v>2802</v>
      </c>
      <c r="D3174" s="29">
        <v>630011144120</v>
      </c>
      <c r="E3174" s="29" t="s">
        <v>393</v>
      </c>
      <c r="F3174" s="29" t="s">
        <v>372</v>
      </c>
      <c r="G3174">
        <v>50</v>
      </c>
      <c r="H3174" t="s">
        <v>1051</v>
      </c>
      <c r="J3174" t="s">
        <v>92</v>
      </c>
      <c r="K3174" t="s">
        <v>394</v>
      </c>
    </row>
    <row r="3175" spans="1:11">
      <c r="A3175" s="34" t="s">
        <v>2790</v>
      </c>
      <c r="B3175" t="s">
        <v>2791</v>
      </c>
      <c r="C3175" t="s">
        <v>720</v>
      </c>
      <c r="D3175" s="29">
        <v>630011144122</v>
      </c>
      <c r="E3175" s="29" t="s">
        <v>393</v>
      </c>
      <c r="F3175" s="29" t="s">
        <v>372</v>
      </c>
      <c r="G3175">
        <v>50</v>
      </c>
      <c r="H3175" t="s">
        <v>1051</v>
      </c>
      <c r="J3175" t="s">
        <v>92</v>
      </c>
      <c r="K3175" t="s">
        <v>394</v>
      </c>
    </row>
    <row r="3176" spans="1:11">
      <c r="A3176" s="34" t="s">
        <v>2790</v>
      </c>
      <c r="B3176" t="s">
        <v>2791</v>
      </c>
      <c r="C3176" t="s">
        <v>707</v>
      </c>
      <c r="D3176" s="29">
        <v>630011155318</v>
      </c>
      <c r="E3176" s="29" t="s">
        <v>393</v>
      </c>
      <c r="F3176" s="29" t="s">
        <v>372</v>
      </c>
      <c r="G3176">
        <v>50</v>
      </c>
      <c r="H3176" t="s">
        <v>1051</v>
      </c>
      <c r="J3176" t="s">
        <v>92</v>
      </c>
      <c r="K3176" t="s">
        <v>394</v>
      </c>
    </row>
    <row r="3177" spans="1:11">
      <c r="A3177" s="34" t="s">
        <v>2790</v>
      </c>
      <c r="B3177" t="s">
        <v>2791</v>
      </c>
      <c r="C3177" t="s">
        <v>2803</v>
      </c>
      <c r="D3177" s="29">
        <v>630011155430</v>
      </c>
      <c r="E3177" s="29" t="s">
        <v>393</v>
      </c>
      <c r="F3177" s="29" t="s">
        <v>372</v>
      </c>
      <c r="G3177">
        <v>50</v>
      </c>
      <c r="H3177" t="s">
        <v>1051</v>
      </c>
      <c r="J3177" t="s">
        <v>92</v>
      </c>
      <c r="K3177" t="s">
        <v>394</v>
      </c>
    </row>
    <row r="3178" spans="1:11">
      <c r="A3178" s="34" t="s">
        <v>2790</v>
      </c>
      <c r="B3178" t="s">
        <v>2791</v>
      </c>
      <c r="C3178" t="s">
        <v>766</v>
      </c>
      <c r="D3178" s="29">
        <v>6300100023804</v>
      </c>
      <c r="E3178" s="29" t="s">
        <v>368</v>
      </c>
      <c r="F3178" s="29" t="s">
        <v>364</v>
      </c>
      <c r="G3178">
        <v>102</v>
      </c>
      <c r="H3178" t="s">
        <v>1051</v>
      </c>
      <c r="J3178" t="s">
        <v>92</v>
      </c>
      <c r="K3178" t="s">
        <v>394</v>
      </c>
    </row>
    <row r="3179" spans="1:11">
      <c r="A3179" s="34" t="s">
        <v>2790</v>
      </c>
      <c r="B3179" t="s">
        <v>2791</v>
      </c>
      <c r="C3179" t="s">
        <v>2804</v>
      </c>
      <c r="D3179" s="29">
        <v>6300100100091</v>
      </c>
      <c r="E3179" s="29" t="s">
        <v>393</v>
      </c>
      <c r="F3179" s="29" t="s">
        <v>372</v>
      </c>
      <c r="G3179">
        <v>50</v>
      </c>
      <c r="H3179" t="s">
        <v>1051</v>
      </c>
      <c r="J3179" t="s">
        <v>92</v>
      </c>
      <c r="K3179" t="s">
        <v>394</v>
      </c>
    </row>
    <row r="3180" spans="1:11">
      <c r="A3180" s="34" t="s">
        <v>2790</v>
      </c>
      <c r="B3180" t="s">
        <v>2791</v>
      </c>
      <c r="C3180" t="s">
        <v>2805</v>
      </c>
      <c r="D3180" s="29">
        <v>6300100113083</v>
      </c>
      <c r="E3180" s="29" t="s">
        <v>368</v>
      </c>
      <c r="F3180" s="29" t="s">
        <v>364</v>
      </c>
      <c r="G3180">
        <v>60</v>
      </c>
      <c r="H3180" t="s">
        <v>323</v>
      </c>
      <c r="J3180" t="s">
        <v>92</v>
      </c>
      <c r="K3180" t="s">
        <v>394</v>
      </c>
    </row>
    <row r="3181" spans="1:11">
      <c r="A3181" s="34" t="s">
        <v>2790</v>
      </c>
      <c r="B3181" t="s">
        <v>2791</v>
      </c>
      <c r="C3181" t="s">
        <v>2806</v>
      </c>
      <c r="D3181" s="29">
        <v>6300100113084</v>
      </c>
      <c r="E3181" s="29" t="s">
        <v>368</v>
      </c>
      <c r="F3181" s="29" t="s">
        <v>364</v>
      </c>
      <c r="G3181">
        <v>70</v>
      </c>
      <c r="H3181" t="s">
        <v>1051</v>
      </c>
      <c r="J3181" t="s">
        <v>92</v>
      </c>
      <c r="K3181" t="s">
        <v>394</v>
      </c>
    </row>
    <row r="3182" spans="1:11">
      <c r="A3182" s="34" t="s">
        <v>2790</v>
      </c>
      <c r="B3182" t="s">
        <v>2791</v>
      </c>
      <c r="C3182" t="s">
        <v>2807</v>
      </c>
      <c r="D3182" s="29">
        <v>6300100114028</v>
      </c>
      <c r="E3182" s="29" t="s">
        <v>393</v>
      </c>
      <c r="F3182" s="29" t="s">
        <v>372</v>
      </c>
      <c r="G3182">
        <v>50</v>
      </c>
      <c r="H3182" t="s">
        <v>1051</v>
      </c>
      <c r="J3182" t="s">
        <v>92</v>
      </c>
      <c r="K3182" t="s">
        <v>394</v>
      </c>
    </row>
    <row r="3183" spans="1:11">
      <c r="A3183" s="34" t="s">
        <v>2790</v>
      </c>
      <c r="B3183" t="s">
        <v>2791</v>
      </c>
      <c r="C3183" t="s">
        <v>2808</v>
      </c>
      <c r="D3183" s="29">
        <v>6300100128663</v>
      </c>
      <c r="E3183" s="29" t="s">
        <v>393</v>
      </c>
      <c r="F3183" s="29" t="s">
        <v>372</v>
      </c>
      <c r="G3183">
        <v>41</v>
      </c>
      <c r="H3183" t="s">
        <v>1051</v>
      </c>
      <c r="J3183" t="s">
        <v>92</v>
      </c>
      <c r="K3183" t="s">
        <v>394</v>
      </c>
    </row>
    <row r="3184" spans="1:11">
      <c r="A3184" s="34" t="s">
        <v>2790</v>
      </c>
      <c r="B3184" t="s">
        <v>2791</v>
      </c>
      <c r="C3184" t="s">
        <v>2809</v>
      </c>
      <c r="D3184" s="29">
        <v>6300100128815</v>
      </c>
      <c r="E3184" s="29" t="s">
        <v>393</v>
      </c>
      <c r="F3184" s="29" t="s">
        <v>372</v>
      </c>
      <c r="G3184">
        <v>34</v>
      </c>
      <c r="H3184" t="s">
        <v>1051</v>
      </c>
      <c r="J3184" t="s">
        <v>92</v>
      </c>
      <c r="K3184" t="s">
        <v>394</v>
      </c>
    </row>
    <row r="3185" spans="1:11">
      <c r="A3185" s="34" t="s">
        <v>2790</v>
      </c>
      <c r="B3185" t="s">
        <v>2791</v>
      </c>
      <c r="C3185" t="s">
        <v>2810</v>
      </c>
      <c r="D3185" s="29">
        <v>6300100128829</v>
      </c>
      <c r="E3185" s="29" t="s">
        <v>393</v>
      </c>
      <c r="F3185" s="29" t="s">
        <v>372</v>
      </c>
      <c r="G3185">
        <v>50</v>
      </c>
      <c r="H3185" t="s">
        <v>1051</v>
      </c>
      <c r="J3185" t="s">
        <v>92</v>
      </c>
      <c r="K3185" t="s">
        <v>394</v>
      </c>
    </row>
    <row r="3186" spans="1:11">
      <c r="A3186" s="34" t="s">
        <v>2790</v>
      </c>
      <c r="B3186" t="s">
        <v>2791</v>
      </c>
      <c r="C3186" t="s">
        <v>2811</v>
      </c>
      <c r="D3186" s="29">
        <v>6300100128848</v>
      </c>
      <c r="E3186" s="29" t="s">
        <v>393</v>
      </c>
      <c r="F3186" s="29" t="s">
        <v>372</v>
      </c>
      <c r="G3186">
        <v>40</v>
      </c>
      <c r="H3186" t="s">
        <v>1051</v>
      </c>
      <c r="J3186" t="s">
        <v>92</v>
      </c>
      <c r="K3186" t="s">
        <v>394</v>
      </c>
    </row>
    <row r="3187" spans="1:11">
      <c r="A3187" s="34" t="s">
        <v>2790</v>
      </c>
      <c r="B3187" t="s">
        <v>2791</v>
      </c>
      <c r="C3187" t="s">
        <v>2812</v>
      </c>
      <c r="D3187" s="29">
        <v>6300100128861</v>
      </c>
      <c r="E3187" s="29" t="s">
        <v>393</v>
      </c>
      <c r="F3187" s="29" t="s">
        <v>372</v>
      </c>
      <c r="G3187">
        <v>50</v>
      </c>
      <c r="H3187" t="s">
        <v>1051</v>
      </c>
      <c r="J3187" t="s">
        <v>92</v>
      </c>
      <c r="K3187" t="s">
        <v>394</v>
      </c>
    </row>
    <row r="3188" spans="1:11">
      <c r="A3188" s="34" t="s">
        <v>2790</v>
      </c>
      <c r="B3188" t="s">
        <v>2791</v>
      </c>
      <c r="C3188" t="s">
        <v>2813</v>
      </c>
      <c r="D3188" s="29">
        <v>6300100132695</v>
      </c>
      <c r="E3188" s="29" t="s">
        <v>393</v>
      </c>
      <c r="F3188" s="29" t="s">
        <v>372</v>
      </c>
      <c r="G3188">
        <v>50</v>
      </c>
      <c r="H3188" t="s">
        <v>1051</v>
      </c>
      <c r="J3188" t="s">
        <v>92</v>
      </c>
      <c r="K3188" t="s">
        <v>394</v>
      </c>
    </row>
    <row r="3189" spans="1:11">
      <c r="A3189" s="34" t="s">
        <v>2790</v>
      </c>
      <c r="B3189" t="s">
        <v>2791</v>
      </c>
      <c r="C3189" t="s">
        <v>2814</v>
      </c>
      <c r="D3189" s="29">
        <v>6300100038630</v>
      </c>
      <c r="E3189" s="29" t="s">
        <v>368</v>
      </c>
      <c r="F3189" s="29" t="s">
        <v>364</v>
      </c>
      <c r="G3189">
        <v>130</v>
      </c>
      <c r="H3189" t="s">
        <v>323</v>
      </c>
      <c r="J3189" t="s">
        <v>92</v>
      </c>
      <c r="K3189" t="s">
        <v>394</v>
      </c>
    </row>
    <row r="3190" spans="1:11">
      <c r="A3190" s="34" t="s">
        <v>2790</v>
      </c>
      <c r="B3190" t="s">
        <v>2791</v>
      </c>
      <c r="C3190" t="s">
        <v>2815</v>
      </c>
      <c r="D3190" s="29">
        <v>6300100113819</v>
      </c>
      <c r="E3190" s="29" t="s">
        <v>393</v>
      </c>
      <c r="F3190" s="29" t="s">
        <v>372</v>
      </c>
      <c r="G3190">
        <v>50</v>
      </c>
      <c r="H3190" t="s">
        <v>1051</v>
      </c>
      <c r="J3190" t="s">
        <v>92</v>
      </c>
      <c r="K3190" t="s">
        <v>394</v>
      </c>
    </row>
    <row r="3191" spans="1:11">
      <c r="A3191" s="34" t="s">
        <v>2790</v>
      </c>
      <c r="B3191" t="s">
        <v>2791</v>
      </c>
      <c r="C3191" t="s">
        <v>2816</v>
      </c>
      <c r="D3191" s="29">
        <v>6300100114002</v>
      </c>
      <c r="E3191" s="29" t="s">
        <v>368</v>
      </c>
      <c r="F3191" s="29" t="s">
        <v>364</v>
      </c>
      <c r="G3191">
        <v>24</v>
      </c>
      <c r="H3191" t="s">
        <v>1051</v>
      </c>
      <c r="J3191" t="s">
        <v>92</v>
      </c>
      <c r="K3191" t="s">
        <v>285</v>
      </c>
    </row>
    <row r="3192" spans="1:11">
      <c r="A3192" s="34" t="s">
        <v>2790</v>
      </c>
      <c r="B3192" t="s">
        <v>2791</v>
      </c>
      <c r="C3192" t="s">
        <v>2817</v>
      </c>
      <c r="D3192" s="29">
        <v>6300100132086</v>
      </c>
      <c r="E3192" s="29" t="s">
        <v>393</v>
      </c>
      <c r="F3192" s="29" t="s">
        <v>372</v>
      </c>
      <c r="G3192">
        <v>50</v>
      </c>
      <c r="H3192" t="s">
        <v>1051</v>
      </c>
      <c r="J3192" t="s">
        <v>92</v>
      </c>
      <c r="K3192" t="s">
        <v>394</v>
      </c>
    </row>
    <row r="3193" spans="1:11">
      <c r="A3193" s="34" t="s">
        <v>2790</v>
      </c>
      <c r="B3193" t="s">
        <v>2791</v>
      </c>
      <c r="C3193" t="s">
        <v>2818</v>
      </c>
      <c r="D3193" s="29">
        <v>6300100132097</v>
      </c>
      <c r="E3193" s="29" t="s">
        <v>393</v>
      </c>
      <c r="F3193" s="29" t="s">
        <v>372</v>
      </c>
      <c r="G3193">
        <v>50</v>
      </c>
      <c r="H3193" t="s">
        <v>1051</v>
      </c>
      <c r="J3193" t="s">
        <v>92</v>
      </c>
      <c r="K3193" t="s">
        <v>394</v>
      </c>
    </row>
    <row r="3194" spans="1:11">
      <c r="A3194" s="34" t="s">
        <v>2790</v>
      </c>
      <c r="B3194" t="s">
        <v>2791</v>
      </c>
      <c r="C3194" t="s">
        <v>2819</v>
      </c>
      <c r="D3194" s="29">
        <v>6300100132106</v>
      </c>
      <c r="E3194" s="29" t="s">
        <v>393</v>
      </c>
      <c r="F3194" s="29" t="s">
        <v>372</v>
      </c>
      <c r="G3194">
        <v>50</v>
      </c>
      <c r="H3194" t="s">
        <v>1051</v>
      </c>
      <c r="J3194" t="s">
        <v>92</v>
      </c>
      <c r="K3194" t="s">
        <v>394</v>
      </c>
    </row>
    <row r="3195" spans="1:11">
      <c r="A3195" s="34" t="s">
        <v>2790</v>
      </c>
      <c r="B3195" t="s">
        <v>2791</v>
      </c>
      <c r="C3195" t="s">
        <v>2820</v>
      </c>
      <c r="D3195" s="29">
        <v>6300100132118</v>
      </c>
      <c r="E3195" s="29" t="s">
        <v>393</v>
      </c>
      <c r="F3195" s="29" t="s">
        <v>372</v>
      </c>
      <c r="G3195">
        <v>50</v>
      </c>
      <c r="H3195" t="s">
        <v>1051</v>
      </c>
      <c r="J3195" t="s">
        <v>92</v>
      </c>
      <c r="K3195" t="s">
        <v>394</v>
      </c>
    </row>
    <row r="3196" spans="1:11">
      <c r="A3196" s="34" t="s">
        <v>2790</v>
      </c>
      <c r="B3196" t="s">
        <v>2791</v>
      </c>
      <c r="C3196" t="s">
        <v>2821</v>
      </c>
      <c r="D3196" s="29">
        <v>6300100132139</v>
      </c>
      <c r="E3196" s="29" t="s">
        <v>393</v>
      </c>
      <c r="F3196" s="29" t="s">
        <v>372</v>
      </c>
      <c r="G3196">
        <v>50</v>
      </c>
      <c r="H3196" t="s">
        <v>1051</v>
      </c>
      <c r="J3196" t="s">
        <v>92</v>
      </c>
      <c r="K3196" t="s">
        <v>394</v>
      </c>
    </row>
    <row r="3197" spans="1:11">
      <c r="A3197" s="34" t="s">
        <v>2790</v>
      </c>
      <c r="B3197" t="s">
        <v>2822</v>
      </c>
      <c r="C3197" t="s">
        <v>2823</v>
      </c>
      <c r="D3197" s="29">
        <v>6313000020115</v>
      </c>
      <c r="E3197" s="29" t="s">
        <v>987</v>
      </c>
      <c r="F3197" s="29" t="s">
        <v>364</v>
      </c>
      <c r="G3197">
        <v>175</v>
      </c>
      <c r="H3197" t="s">
        <v>1051</v>
      </c>
      <c r="J3197" t="s">
        <v>2824</v>
      </c>
      <c r="K3197" t="s">
        <v>337</v>
      </c>
    </row>
    <row r="3198" spans="1:11">
      <c r="A3198" s="34" t="s">
        <v>2790</v>
      </c>
      <c r="B3198" t="s">
        <v>2822</v>
      </c>
      <c r="C3198" t="s">
        <v>2825</v>
      </c>
      <c r="D3198" s="29">
        <v>6313000019791</v>
      </c>
      <c r="E3198" s="29" t="s">
        <v>987</v>
      </c>
      <c r="F3198" s="29" t="s">
        <v>364</v>
      </c>
      <c r="G3198">
        <v>197</v>
      </c>
      <c r="H3198" t="s">
        <v>1051</v>
      </c>
      <c r="J3198" t="s">
        <v>2824</v>
      </c>
      <c r="K3198" t="s">
        <v>394</v>
      </c>
    </row>
    <row r="3199" spans="1:11">
      <c r="A3199" s="34" t="s">
        <v>2790</v>
      </c>
      <c r="B3199" t="s">
        <v>2822</v>
      </c>
      <c r="C3199" t="s">
        <v>2826</v>
      </c>
      <c r="D3199" s="29">
        <v>6313000020602</v>
      </c>
      <c r="E3199" s="29" t="s">
        <v>987</v>
      </c>
      <c r="F3199" s="29" t="s">
        <v>364</v>
      </c>
      <c r="G3199">
        <v>60</v>
      </c>
      <c r="H3199" t="s">
        <v>1051</v>
      </c>
      <c r="J3199" t="s">
        <v>2824</v>
      </c>
      <c r="K3199" t="s">
        <v>394</v>
      </c>
    </row>
    <row r="3200" spans="1:11">
      <c r="A3200" s="34" t="s">
        <v>2790</v>
      </c>
      <c r="B3200" t="s">
        <v>2822</v>
      </c>
      <c r="C3200" t="s">
        <v>2827</v>
      </c>
      <c r="D3200" s="29">
        <v>6313000042198</v>
      </c>
      <c r="E3200" s="29" t="s">
        <v>363</v>
      </c>
      <c r="F3200" s="29" t="s">
        <v>364</v>
      </c>
      <c r="G3200">
        <v>23</v>
      </c>
      <c r="H3200" t="s">
        <v>1051</v>
      </c>
      <c r="J3200" t="s">
        <v>2824</v>
      </c>
      <c r="K3200" t="s">
        <v>365</v>
      </c>
    </row>
    <row r="3201" spans="1:11">
      <c r="A3201" s="34" t="s">
        <v>2790</v>
      </c>
      <c r="B3201" t="s">
        <v>2822</v>
      </c>
      <c r="C3201" t="s">
        <v>2828</v>
      </c>
      <c r="D3201" s="29">
        <v>6313000124829</v>
      </c>
      <c r="E3201" s="29" t="s">
        <v>363</v>
      </c>
      <c r="F3201" s="29" t="s">
        <v>364</v>
      </c>
      <c r="G3201">
        <v>54</v>
      </c>
      <c r="H3201" t="s">
        <v>1051</v>
      </c>
      <c r="J3201" t="s">
        <v>2824</v>
      </c>
      <c r="K3201" t="s">
        <v>365</v>
      </c>
    </row>
    <row r="3202" spans="1:11">
      <c r="A3202" s="34" t="s">
        <v>2790</v>
      </c>
      <c r="B3202" t="s">
        <v>2822</v>
      </c>
      <c r="C3202" t="s">
        <v>2829</v>
      </c>
      <c r="D3202" s="29">
        <v>6313000023738</v>
      </c>
      <c r="E3202" s="29" t="s">
        <v>363</v>
      </c>
      <c r="F3202" s="29" t="s">
        <v>364</v>
      </c>
      <c r="G3202">
        <v>84</v>
      </c>
      <c r="H3202" t="s">
        <v>1051</v>
      </c>
      <c r="J3202" t="s">
        <v>2824</v>
      </c>
      <c r="K3202" t="s">
        <v>365</v>
      </c>
    </row>
    <row r="3203" spans="1:11">
      <c r="A3203" s="34" t="s">
        <v>2790</v>
      </c>
      <c r="B3203" t="s">
        <v>2822</v>
      </c>
      <c r="C3203" t="s">
        <v>2830</v>
      </c>
      <c r="D3203" s="29">
        <v>6313000023760</v>
      </c>
      <c r="E3203" s="29" t="s">
        <v>363</v>
      </c>
      <c r="F3203" s="29" t="s">
        <v>364</v>
      </c>
      <c r="G3203">
        <v>37</v>
      </c>
      <c r="H3203" t="s">
        <v>1051</v>
      </c>
      <c r="J3203" t="s">
        <v>2824</v>
      </c>
      <c r="K3203" t="s">
        <v>365</v>
      </c>
    </row>
    <row r="3204" spans="1:11">
      <c r="A3204" s="34" t="s">
        <v>2790</v>
      </c>
      <c r="B3204" t="s">
        <v>2822</v>
      </c>
      <c r="C3204" t="s">
        <v>2831</v>
      </c>
      <c r="D3204" s="29">
        <v>631301146869</v>
      </c>
      <c r="E3204" s="29" t="s">
        <v>368</v>
      </c>
      <c r="F3204" s="29" t="s">
        <v>364</v>
      </c>
      <c r="G3204">
        <v>91</v>
      </c>
      <c r="H3204" t="s">
        <v>1051</v>
      </c>
      <c r="J3204" t="s">
        <v>2824</v>
      </c>
      <c r="K3204" t="s">
        <v>394</v>
      </c>
    </row>
    <row r="3205" spans="1:11">
      <c r="A3205" s="34" t="s">
        <v>2790</v>
      </c>
      <c r="B3205" t="s">
        <v>2822</v>
      </c>
      <c r="C3205" t="s">
        <v>2832</v>
      </c>
      <c r="D3205" s="29">
        <v>6313000023772</v>
      </c>
      <c r="E3205" s="29" t="s">
        <v>368</v>
      </c>
      <c r="F3205" s="29" t="s">
        <v>364</v>
      </c>
      <c r="G3205">
        <v>48</v>
      </c>
      <c r="H3205" t="s">
        <v>1051</v>
      </c>
      <c r="J3205" t="s">
        <v>2824</v>
      </c>
      <c r="K3205" t="s">
        <v>394</v>
      </c>
    </row>
    <row r="3206" spans="1:11">
      <c r="A3206" s="34" t="s">
        <v>2790</v>
      </c>
      <c r="B3206" t="s">
        <v>2822</v>
      </c>
      <c r="C3206" t="s">
        <v>2833</v>
      </c>
      <c r="D3206" s="29">
        <v>6313000100083</v>
      </c>
      <c r="E3206" s="29" t="s">
        <v>393</v>
      </c>
      <c r="F3206" s="29" t="s">
        <v>372</v>
      </c>
      <c r="G3206">
        <v>50</v>
      </c>
      <c r="H3206" t="s">
        <v>1051</v>
      </c>
      <c r="J3206" t="s">
        <v>2824</v>
      </c>
      <c r="K3206" t="s">
        <v>394</v>
      </c>
    </row>
    <row r="3207" spans="1:11">
      <c r="A3207" s="34" t="s">
        <v>2790</v>
      </c>
      <c r="B3207" t="s">
        <v>2822</v>
      </c>
      <c r="C3207" t="s">
        <v>1643</v>
      </c>
      <c r="D3207" s="29">
        <v>6313000129701</v>
      </c>
      <c r="E3207" s="29" t="s">
        <v>393</v>
      </c>
      <c r="F3207" s="29" t="s">
        <v>372</v>
      </c>
      <c r="G3207">
        <v>49</v>
      </c>
      <c r="H3207" t="s">
        <v>1051</v>
      </c>
      <c r="J3207" t="s">
        <v>2824</v>
      </c>
      <c r="K3207" t="s">
        <v>394</v>
      </c>
    </row>
    <row r="3208" spans="1:11">
      <c r="A3208" s="34" t="s">
        <v>2790</v>
      </c>
      <c r="B3208" t="s">
        <v>2822</v>
      </c>
      <c r="C3208" t="s">
        <v>2834</v>
      </c>
      <c r="D3208" s="29">
        <v>6313000129706</v>
      </c>
      <c r="E3208" s="29" t="s">
        <v>393</v>
      </c>
      <c r="F3208" s="29" t="s">
        <v>372</v>
      </c>
      <c r="G3208">
        <v>49</v>
      </c>
      <c r="H3208" t="s">
        <v>1051</v>
      </c>
      <c r="J3208" t="s">
        <v>2824</v>
      </c>
      <c r="K3208" t="s">
        <v>394</v>
      </c>
    </row>
    <row r="3209" spans="1:11">
      <c r="A3209" s="34" t="s">
        <v>2790</v>
      </c>
      <c r="B3209" t="s">
        <v>2822</v>
      </c>
      <c r="C3209" t="s">
        <v>2835</v>
      </c>
      <c r="D3209" s="29">
        <v>6313000129714</v>
      </c>
      <c r="E3209" s="29" t="s">
        <v>393</v>
      </c>
      <c r="F3209" s="29" t="s">
        <v>372</v>
      </c>
      <c r="G3209">
        <v>49</v>
      </c>
      <c r="H3209" t="s">
        <v>1051</v>
      </c>
      <c r="J3209" t="s">
        <v>2824</v>
      </c>
      <c r="K3209" t="s">
        <v>394</v>
      </c>
    </row>
    <row r="3210" spans="1:11">
      <c r="A3210" s="34" t="s">
        <v>2790</v>
      </c>
      <c r="B3210" t="s">
        <v>2791</v>
      </c>
      <c r="C3210" t="s">
        <v>2836</v>
      </c>
      <c r="D3210" s="29">
        <v>6319000000382</v>
      </c>
      <c r="E3210" s="29" t="s">
        <v>987</v>
      </c>
      <c r="F3210" s="29" t="s">
        <v>364</v>
      </c>
      <c r="G3210">
        <v>161</v>
      </c>
      <c r="H3210" t="s">
        <v>1051</v>
      </c>
      <c r="J3210" t="s">
        <v>2837</v>
      </c>
      <c r="K3210" t="s">
        <v>989</v>
      </c>
    </row>
    <row r="3211" spans="1:11">
      <c r="A3211" s="34" t="s">
        <v>2790</v>
      </c>
      <c r="B3211" t="s">
        <v>2822</v>
      </c>
      <c r="C3211" t="s">
        <v>2838</v>
      </c>
      <c r="D3211" s="29">
        <v>6321200020220</v>
      </c>
      <c r="E3211" s="29" t="s">
        <v>987</v>
      </c>
      <c r="F3211" s="29" t="s">
        <v>364</v>
      </c>
      <c r="G3211">
        <v>60</v>
      </c>
      <c r="H3211" t="s">
        <v>1051</v>
      </c>
      <c r="J3211" t="s">
        <v>2839</v>
      </c>
      <c r="K3211" t="s">
        <v>394</v>
      </c>
    </row>
    <row r="3212" spans="1:11">
      <c r="A3212" s="34" t="s">
        <v>2790</v>
      </c>
      <c r="B3212" t="s">
        <v>2822</v>
      </c>
      <c r="C3212" t="s">
        <v>2840</v>
      </c>
      <c r="D3212" s="29">
        <v>6321200074115</v>
      </c>
      <c r="E3212" s="29" t="s">
        <v>393</v>
      </c>
      <c r="F3212" s="29" t="s">
        <v>372</v>
      </c>
      <c r="G3212">
        <v>64</v>
      </c>
      <c r="H3212" t="s">
        <v>1051</v>
      </c>
      <c r="J3212" t="s">
        <v>2839</v>
      </c>
      <c r="K3212" t="s">
        <v>394</v>
      </c>
    </row>
    <row r="3213" spans="1:11">
      <c r="A3213" s="34" t="s">
        <v>2790</v>
      </c>
      <c r="B3213" t="s">
        <v>2822</v>
      </c>
      <c r="C3213" t="s">
        <v>2841</v>
      </c>
      <c r="D3213" s="29">
        <v>633021140008</v>
      </c>
      <c r="E3213" s="29" t="s">
        <v>393</v>
      </c>
      <c r="F3213" s="29" t="s">
        <v>372</v>
      </c>
      <c r="G3213">
        <v>40</v>
      </c>
      <c r="H3213" t="s">
        <v>1051</v>
      </c>
      <c r="J3213" t="s">
        <v>2842</v>
      </c>
      <c r="K3213" t="s">
        <v>394</v>
      </c>
    </row>
    <row r="3214" spans="1:11">
      <c r="A3214" s="34" t="s">
        <v>2790</v>
      </c>
      <c r="B3214" t="s">
        <v>2822</v>
      </c>
      <c r="C3214" t="s">
        <v>2843</v>
      </c>
      <c r="D3214" s="29">
        <v>6330200040403</v>
      </c>
      <c r="E3214" s="29" t="s">
        <v>987</v>
      </c>
      <c r="F3214" s="29" t="s">
        <v>364</v>
      </c>
      <c r="G3214">
        <v>86</v>
      </c>
      <c r="H3214" t="s">
        <v>1051</v>
      </c>
      <c r="J3214" t="s">
        <v>2842</v>
      </c>
      <c r="K3214" t="s">
        <v>394</v>
      </c>
    </row>
    <row r="3215" spans="1:11">
      <c r="A3215" s="34" t="s">
        <v>2790</v>
      </c>
      <c r="B3215" t="s">
        <v>2822</v>
      </c>
      <c r="C3215" t="s">
        <v>2844</v>
      </c>
      <c r="D3215" s="29">
        <v>6330200113695</v>
      </c>
      <c r="E3215" s="29" t="s">
        <v>368</v>
      </c>
      <c r="F3215" s="29" t="s">
        <v>364</v>
      </c>
      <c r="G3215">
        <v>35</v>
      </c>
      <c r="H3215" t="s">
        <v>1051</v>
      </c>
      <c r="J3215" t="s">
        <v>2842</v>
      </c>
      <c r="K3215" t="s">
        <v>394</v>
      </c>
    </row>
    <row r="3216" spans="1:11">
      <c r="A3216" s="34" t="s">
        <v>2790</v>
      </c>
      <c r="B3216" t="s">
        <v>2822</v>
      </c>
      <c r="C3216" t="s">
        <v>2845</v>
      </c>
      <c r="D3216" s="29">
        <v>6354800047551</v>
      </c>
      <c r="E3216" s="29" t="s">
        <v>987</v>
      </c>
      <c r="F3216" s="29" t="s">
        <v>364</v>
      </c>
      <c r="G3216">
        <v>43</v>
      </c>
      <c r="H3216" t="s">
        <v>1051</v>
      </c>
      <c r="J3216" t="s">
        <v>2846</v>
      </c>
      <c r="K3216" t="s">
        <v>394</v>
      </c>
    </row>
    <row r="3217" spans="1:11">
      <c r="A3217" s="34" t="s">
        <v>2790</v>
      </c>
      <c r="B3217" t="s">
        <v>2822</v>
      </c>
      <c r="C3217" t="s">
        <v>395</v>
      </c>
      <c r="D3217" s="29">
        <v>6354800074133</v>
      </c>
      <c r="E3217" s="29" t="s">
        <v>393</v>
      </c>
      <c r="F3217" s="29" t="s">
        <v>372</v>
      </c>
      <c r="G3217">
        <v>72</v>
      </c>
      <c r="H3217" t="s">
        <v>323</v>
      </c>
      <c r="J3217" t="s">
        <v>2846</v>
      </c>
      <c r="K3217" t="s">
        <v>394</v>
      </c>
    </row>
    <row r="3218" spans="1:11">
      <c r="A3218" s="34" t="s">
        <v>2790</v>
      </c>
      <c r="B3218" t="s">
        <v>2791</v>
      </c>
      <c r="C3218" t="s">
        <v>2847</v>
      </c>
      <c r="D3218" s="29">
        <v>6327200000374</v>
      </c>
      <c r="E3218" s="29" t="s">
        <v>987</v>
      </c>
      <c r="F3218" s="29" t="s">
        <v>364</v>
      </c>
      <c r="G3218">
        <v>55</v>
      </c>
      <c r="H3218" t="s">
        <v>1051</v>
      </c>
      <c r="J3218" t="s">
        <v>2848</v>
      </c>
      <c r="K3218" t="s">
        <v>365</v>
      </c>
    </row>
    <row r="3219" spans="1:11">
      <c r="A3219" s="34" t="s">
        <v>2790</v>
      </c>
      <c r="B3219" t="s">
        <v>2791</v>
      </c>
      <c r="C3219" t="s">
        <v>1611</v>
      </c>
      <c r="D3219" s="29">
        <v>6347000132070</v>
      </c>
      <c r="E3219" s="29" t="s">
        <v>393</v>
      </c>
      <c r="F3219" s="29" t="s">
        <v>372</v>
      </c>
      <c r="G3219">
        <v>40</v>
      </c>
      <c r="H3219" t="s">
        <v>1051</v>
      </c>
      <c r="J3219" t="s">
        <v>2849</v>
      </c>
      <c r="K3219" t="s">
        <v>394</v>
      </c>
    </row>
    <row r="3220" spans="1:11">
      <c r="A3220" s="34" t="s">
        <v>2790</v>
      </c>
      <c r="B3220" t="s">
        <v>2791</v>
      </c>
      <c r="C3220" t="s">
        <v>1403</v>
      </c>
      <c r="D3220" s="29">
        <v>6347000132072</v>
      </c>
      <c r="E3220" s="29" t="s">
        <v>393</v>
      </c>
      <c r="F3220" s="29" t="s">
        <v>372</v>
      </c>
      <c r="G3220">
        <v>40</v>
      </c>
      <c r="H3220" t="s">
        <v>1051</v>
      </c>
      <c r="J3220" t="s">
        <v>2849</v>
      </c>
      <c r="K3220" t="s">
        <v>394</v>
      </c>
    </row>
    <row r="3221" spans="1:11">
      <c r="A3221" s="34" t="s">
        <v>2790</v>
      </c>
      <c r="B3221" t="s">
        <v>2791</v>
      </c>
      <c r="C3221" t="s">
        <v>2850</v>
      </c>
      <c r="D3221" s="29">
        <v>6347000000408</v>
      </c>
      <c r="E3221" s="29" t="s">
        <v>987</v>
      </c>
      <c r="F3221" s="29" t="s">
        <v>364</v>
      </c>
      <c r="G3221">
        <v>210</v>
      </c>
      <c r="H3221" t="s">
        <v>323</v>
      </c>
      <c r="J3221" t="s">
        <v>2849</v>
      </c>
      <c r="K3221" t="s">
        <v>394</v>
      </c>
    </row>
    <row r="3222" spans="1:11">
      <c r="A3222" s="34" t="s">
        <v>2790</v>
      </c>
      <c r="B3222" t="s">
        <v>2791</v>
      </c>
      <c r="C3222" t="s">
        <v>2851</v>
      </c>
      <c r="D3222" s="29">
        <v>635941139865</v>
      </c>
      <c r="E3222" s="29" t="s">
        <v>393</v>
      </c>
      <c r="F3222" s="29" t="s">
        <v>372</v>
      </c>
      <c r="G3222">
        <v>39</v>
      </c>
      <c r="H3222" t="s">
        <v>1051</v>
      </c>
      <c r="J3222" t="s">
        <v>2852</v>
      </c>
      <c r="K3222" t="s">
        <v>394</v>
      </c>
    </row>
    <row r="3223" spans="1:11">
      <c r="A3223" s="34" t="s">
        <v>2790</v>
      </c>
      <c r="B3223" t="s">
        <v>2791</v>
      </c>
      <c r="C3223" t="s">
        <v>2853</v>
      </c>
      <c r="D3223" s="29">
        <v>635941140232</v>
      </c>
      <c r="E3223" s="29" t="s">
        <v>368</v>
      </c>
      <c r="F3223" s="29" t="s">
        <v>364</v>
      </c>
      <c r="G3223">
        <v>87</v>
      </c>
      <c r="H3223" t="s">
        <v>1051</v>
      </c>
      <c r="J3223" t="s">
        <v>2852</v>
      </c>
      <c r="K3223" t="s">
        <v>394</v>
      </c>
    </row>
    <row r="3224" spans="1:11">
      <c r="A3224" s="34" t="s">
        <v>2790</v>
      </c>
      <c r="B3224" t="s">
        <v>2791</v>
      </c>
      <c r="C3224" t="s">
        <v>1517</v>
      </c>
      <c r="D3224" s="29">
        <v>6359400000570</v>
      </c>
      <c r="E3224" s="29" t="s">
        <v>987</v>
      </c>
      <c r="F3224" s="29" t="s">
        <v>364</v>
      </c>
      <c r="G3224">
        <v>120</v>
      </c>
      <c r="H3224" t="s">
        <v>1051</v>
      </c>
      <c r="J3224" t="s">
        <v>2852</v>
      </c>
      <c r="K3224" t="s">
        <v>394</v>
      </c>
    </row>
    <row r="3225" spans="1:11">
      <c r="A3225" s="34" t="s">
        <v>2790</v>
      </c>
      <c r="B3225" t="s">
        <v>2791</v>
      </c>
      <c r="C3225" t="s">
        <v>2854</v>
      </c>
      <c r="D3225" s="29">
        <v>6359400023733</v>
      </c>
      <c r="E3225" s="29" t="s">
        <v>368</v>
      </c>
      <c r="F3225" s="29" t="s">
        <v>364</v>
      </c>
      <c r="G3225">
        <v>32</v>
      </c>
      <c r="H3225" t="s">
        <v>323</v>
      </c>
      <c r="J3225" t="s">
        <v>2852</v>
      </c>
      <c r="K3225" t="s">
        <v>394</v>
      </c>
    </row>
    <row r="3226" spans="1:11">
      <c r="A3226" s="34" t="s">
        <v>2790</v>
      </c>
      <c r="B3226" t="s">
        <v>2791</v>
      </c>
      <c r="C3226" t="s">
        <v>2855</v>
      </c>
      <c r="D3226" s="29">
        <v>6359400042142</v>
      </c>
      <c r="E3226" s="29" t="s">
        <v>363</v>
      </c>
      <c r="F3226" s="29" t="s">
        <v>364</v>
      </c>
      <c r="G3226">
        <v>40</v>
      </c>
      <c r="H3226" t="s">
        <v>1051</v>
      </c>
      <c r="J3226" t="s">
        <v>2852</v>
      </c>
      <c r="K3226" t="s">
        <v>365</v>
      </c>
    </row>
    <row r="3227" spans="1:11">
      <c r="A3227" s="34" t="s">
        <v>2790</v>
      </c>
      <c r="B3227" t="s">
        <v>2791</v>
      </c>
      <c r="C3227" t="s">
        <v>2856</v>
      </c>
      <c r="D3227" s="29">
        <v>6359400100097</v>
      </c>
      <c r="E3227" s="29" t="s">
        <v>393</v>
      </c>
      <c r="F3227" s="29" t="s">
        <v>372</v>
      </c>
      <c r="G3227">
        <v>39</v>
      </c>
      <c r="H3227" t="s">
        <v>1051</v>
      </c>
      <c r="J3227" t="s">
        <v>2852</v>
      </c>
      <c r="K3227" t="s">
        <v>394</v>
      </c>
    </row>
    <row r="3228" spans="1:11">
      <c r="A3228" s="34" t="s">
        <v>2790</v>
      </c>
      <c r="B3228" t="s">
        <v>2791</v>
      </c>
      <c r="C3228" t="s">
        <v>2857</v>
      </c>
      <c r="D3228" s="29">
        <v>6319000015167</v>
      </c>
      <c r="E3228" s="29" t="s">
        <v>371</v>
      </c>
      <c r="F3228" s="29" t="s">
        <v>372</v>
      </c>
      <c r="G3228">
        <v>10</v>
      </c>
      <c r="H3228" t="s">
        <v>1051</v>
      </c>
      <c r="J3228" t="s">
        <v>2837</v>
      </c>
      <c r="K3228" t="s">
        <v>285</v>
      </c>
    </row>
    <row r="3229" spans="1:11">
      <c r="A3229" s="34" t="s">
        <v>2790</v>
      </c>
      <c r="B3229" t="s">
        <v>2791</v>
      </c>
      <c r="C3229" t="s">
        <v>2858</v>
      </c>
      <c r="D3229" s="29">
        <v>6319000015564</v>
      </c>
      <c r="E3229" s="29" t="s">
        <v>371</v>
      </c>
      <c r="F3229" s="29" t="s">
        <v>372</v>
      </c>
      <c r="G3229">
        <v>13</v>
      </c>
      <c r="H3229" t="s">
        <v>1051</v>
      </c>
      <c r="J3229" t="s">
        <v>2837</v>
      </c>
      <c r="K3229" t="s">
        <v>285</v>
      </c>
    </row>
    <row r="3230" spans="1:11">
      <c r="A3230" s="34" t="s">
        <v>2790</v>
      </c>
      <c r="B3230" t="s">
        <v>2791</v>
      </c>
      <c r="C3230" t="s">
        <v>2859</v>
      </c>
      <c r="D3230" s="29">
        <v>6319000015587</v>
      </c>
      <c r="E3230" s="29" t="s">
        <v>371</v>
      </c>
      <c r="F3230" s="29" t="s">
        <v>372</v>
      </c>
      <c r="G3230">
        <v>13</v>
      </c>
      <c r="H3230" t="s">
        <v>1051</v>
      </c>
      <c r="J3230" t="s">
        <v>2837</v>
      </c>
      <c r="K3230" t="s">
        <v>285</v>
      </c>
    </row>
    <row r="3231" spans="1:11">
      <c r="A3231" s="34" t="s">
        <v>2790</v>
      </c>
      <c r="B3231" t="s">
        <v>2791</v>
      </c>
      <c r="C3231" t="s">
        <v>2860</v>
      </c>
      <c r="D3231" s="29">
        <v>6319000015610</v>
      </c>
      <c r="E3231" s="29" t="s">
        <v>371</v>
      </c>
      <c r="F3231" s="29" t="s">
        <v>372</v>
      </c>
      <c r="G3231">
        <v>13</v>
      </c>
      <c r="H3231" t="s">
        <v>1051</v>
      </c>
      <c r="J3231" t="s">
        <v>2837</v>
      </c>
      <c r="K3231" t="s">
        <v>285</v>
      </c>
    </row>
    <row r="3232" spans="1:11">
      <c r="A3232" s="34" t="s">
        <v>2790</v>
      </c>
      <c r="B3232" t="s">
        <v>2791</v>
      </c>
      <c r="C3232" t="s">
        <v>2861</v>
      </c>
      <c r="D3232" s="29">
        <v>6319000015641</v>
      </c>
      <c r="E3232" s="29" t="s">
        <v>371</v>
      </c>
      <c r="F3232" s="29" t="s">
        <v>372</v>
      </c>
      <c r="G3232">
        <v>13</v>
      </c>
      <c r="H3232" t="s">
        <v>1051</v>
      </c>
      <c r="J3232" t="s">
        <v>2837</v>
      </c>
      <c r="K3232" t="s">
        <v>285</v>
      </c>
    </row>
    <row r="3233" spans="1:11">
      <c r="A3233" s="34" t="s">
        <v>2790</v>
      </c>
      <c r="B3233" t="s">
        <v>2791</v>
      </c>
      <c r="C3233" t="s">
        <v>2862</v>
      </c>
      <c r="D3233" s="29">
        <v>6319000112328</v>
      </c>
      <c r="E3233" s="29" t="s">
        <v>371</v>
      </c>
      <c r="F3233" s="29" t="s">
        <v>372</v>
      </c>
      <c r="G3233">
        <v>13</v>
      </c>
      <c r="H3233" t="s">
        <v>1051</v>
      </c>
      <c r="J3233" t="s">
        <v>2837</v>
      </c>
      <c r="K3233" t="s">
        <v>285</v>
      </c>
    </row>
    <row r="3234" spans="1:11">
      <c r="A3234" s="34" t="s">
        <v>2790</v>
      </c>
      <c r="B3234" t="s">
        <v>2822</v>
      </c>
      <c r="C3234" t="s">
        <v>2863</v>
      </c>
      <c r="D3234" s="29">
        <v>6354800000417</v>
      </c>
      <c r="E3234" s="29" t="s">
        <v>1045</v>
      </c>
      <c r="F3234" s="29" t="s">
        <v>372</v>
      </c>
      <c r="G3234">
        <v>15</v>
      </c>
      <c r="H3234" t="s">
        <v>323</v>
      </c>
      <c r="J3234" t="s">
        <v>2846</v>
      </c>
      <c r="K3234" t="s">
        <v>394</v>
      </c>
    </row>
    <row r="3235" spans="1:11">
      <c r="A3235" s="34" t="s">
        <v>2790</v>
      </c>
      <c r="B3235" t="s">
        <v>2791</v>
      </c>
      <c r="C3235" t="s">
        <v>2864</v>
      </c>
      <c r="D3235" s="29">
        <v>6347000036303</v>
      </c>
      <c r="E3235" s="29" t="s">
        <v>371</v>
      </c>
      <c r="F3235" s="29" t="s">
        <v>372</v>
      </c>
      <c r="G3235">
        <v>13</v>
      </c>
      <c r="H3235" t="s">
        <v>323</v>
      </c>
      <c r="J3235" t="s">
        <v>2849</v>
      </c>
      <c r="K3235" t="s">
        <v>285</v>
      </c>
    </row>
    <row r="3236" spans="1:11">
      <c r="A3236" s="34" t="s">
        <v>2790</v>
      </c>
      <c r="B3236" t="s">
        <v>2791</v>
      </c>
      <c r="C3236" t="s">
        <v>2865</v>
      </c>
      <c r="D3236" s="29">
        <v>6347000036525</v>
      </c>
      <c r="E3236" s="29" t="s">
        <v>371</v>
      </c>
      <c r="F3236" s="29" t="s">
        <v>372</v>
      </c>
      <c r="G3236">
        <v>13</v>
      </c>
      <c r="H3236" t="s">
        <v>323</v>
      </c>
      <c r="J3236" t="s">
        <v>2849</v>
      </c>
      <c r="K3236" t="s">
        <v>285</v>
      </c>
    </row>
    <row r="3237" spans="1:11">
      <c r="A3237" s="34" t="s">
        <v>2790</v>
      </c>
      <c r="B3237" t="s">
        <v>2791</v>
      </c>
      <c r="C3237" t="s">
        <v>2866</v>
      </c>
      <c r="D3237" s="29">
        <v>6347000036542</v>
      </c>
      <c r="E3237" s="29" t="s">
        <v>371</v>
      </c>
      <c r="F3237" s="29" t="s">
        <v>372</v>
      </c>
      <c r="G3237">
        <v>13</v>
      </c>
      <c r="H3237" t="s">
        <v>323</v>
      </c>
      <c r="J3237" t="s">
        <v>2849</v>
      </c>
      <c r="K3237" t="s">
        <v>285</v>
      </c>
    </row>
    <row r="3238" spans="1:11">
      <c r="A3238" s="34" t="s">
        <v>2790</v>
      </c>
      <c r="B3238" t="s">
        <v>2791</v>
      </c>
      <c r="C3238" t="s">
        <v>2867</v>
      </c>
      <c r="D3238" s="29">
        <v>6347000040262</v>
      </c>
      <c r="E3238" s="29" t="s">
        <v>371</v>
      </c>
      <c r="F3238" s="29" t="s">
        <v>372</v>
      </c>
      <c r="G3238">
        <v>12</v>
      </c>
      <c r="H3238" t="s">
        <v>323</v>
      </c>
      <c r="J3238" t="s">
        <v>2849</v>
      </c>
      <c r="K3238" t="s">
        <v>285</v>
      </c>
    </row>
    <row r="3239" spans="1:11">
      <c r="A3239" s="34" t="s">
        <v>2790</v>
      </c>
      <c r="B3239" t="s">
        <v>2791</v>
      </c>
      <c r="C3239" t="s">
        <v>2868</v>
      </c>
      <c r="D3239" s="29">
        <v>6347000046059</v>
      </c>
      <c r="E3239" s="29" t="s">
        <v>371</v>
      </c>
      <c r="F3239" s="29" t="s">
        <v>372</v>
      </c>
      <c r="G3239">
        <v>10</v>
      </c>
      <c r="H3239" t="s">
        <v>323</v>
      </c>
      <c r="J3239" t="s">
        <v>2849</v>
      </c>
      <c r="K3239" t="s">
        <v>285</v>
      </c>
    </row>
    <row r="3240" spans="1:11">
      <c r="A3240" s="34" t="s">
        <v>2790</v>
      </c>
      <c r="B3240" t="s">
        <v>2791</v>
      </c>
      <c r="C3240" t="s">
        <v>2869</v>
      </c>
      <c r="D3240" s="29">
        <v>6347000046062</v>
      </c>
      <c r="E3240" s="29" t="s">
        <v>371</v>
      </c>
      <c r="F3240" s="29" t="s">
        <v>372</v>
      </c>
      <c r="G3240">
        <v>13</v>
      </c>
      <c r="H3240" t="s">
        <v>323</v>
      </c>
      <c r="J3240" t="s">
        <v>2849</v>
      </c>
      <c r="K3240" t="s">
        <v>285</v>
      </c>
    </row>
    <row r="3241" spans="1:11">
      <c r="A3241" s="34" t="s">
        <v>2790</v>
      </c>
      <c r="B3241" t="s">
        <v>2791</v>
      </c>
      <c r="C3241" t="s">
        <v>2870</v>
      </c>
      <c r="D3241" s="29">
        <v>6347000046112</v>
      </c>
      <c r="E3241" s="29" t="s">
        <v>371</v>
      </c>
      <c r="F3241" s="29" t="s">
        <v>372</v>
      </c>
      <c r="G3241">
        <v>13</v>
      </c>
      <c r="H3241" t="s">
        <v>323</v>
      </c>
      <c r="J3241" t="s">
        <v>2849</v>
      </c>
      <c r="K3241" t="s">
        <v>285</v>
      </c>
    </row>
    <row r="3242" spans="1:11">
      <c r="A3242" s="34" t="s">
        <v>2790</v>
      </c>
      <c r="B3242" t="s">
        <v>2791</v>
      </c>
      <c r="C3242" t="s">
        <v>2871</v>
      </c>
      <c r="D3242" s="29">
        <v>6347000056822</v>
      </c>
      <c r="E3242" s="29" t="s">
        <v>371</v>
      </c>
      <c r="F3242" s="29" t="s">
        <v>372</v>
      </c>
      <c r="G3242">
        <v>10</v>
      </c>
      <c r="H3242" t="s">
        <v>323</v>
      </c>
      <c r="J3242" t="s">
        <v>2849</v>
      </c>
      <c r="K3242" t="s">
        <v>285</v>
      </c>
    </row>
    <row r="3243" spans="1:11">
      <c r="A3243" s="34" t="s">
        <v>2790</v>
      </c>
      <c r="B3243" t="s">
        <v>2791</v>
      </c>
      <c r="C3243" t="s">
        <v>2872</v>
      </c>
      <c r="D3243" s="29">
        <v>6347000070366</v>
      </c>
      <c r="E3243" s="29" t="s">
        <v>371</v>
      </c>
      <c r="F3243" s="29" t="s">
        <v>372</v>
      </c>
      <c r="G3243">
        <v>12</v>
      </c>
      <c r="H3243" t="s">
        <v>323</v>
      </c>
      <c r="J3243" t="s">
        <v>2849</v>
      </c>
      <c r="K3243" t="s">
        <v>285</v>
      </c>
    </row>
    <row r="3244" spans="1:11">
      <c r="A3244" s="34" t="s">
        <v>2790</v>
      </c>
      <c r="B3244" t="s">
        <v>2791</v>
      </c>
      <c r="C3244" t="s">
        <v>2873</v>
      </c>
      <c r="D3244" s="29">
        <v>6347000070441</v>
      </c>
      <c r="E3244" s="29" t="s">
        <v>371</v>
      </c>
      <c r="F3244" s="29" t="s">
        <v>372</v>
      </c>
      <c r="G3244">
        <v>12</v>
      </c>
      <c r="H3244" t="s">
        <v>323</v>
      </c>
      <c r="J3244" t="s">
        <v>2849</v>
      </c>
      <c r="K3244" t="s">
        <v>285</v>
      </c>
    </row>
    <row r="3245" spans="1:11">
      <c r="A3245" s="34" t="s">
        <v>2790</v>
      </c>
      <c r="B3245" t="s">
        <v>2791</v>
      </c>
      <c r="C3245" t="s">
        <v>2874</v>
      </c>
      <c r="D3245" s="29">
        <v>6347000000698</v>
      </c>
      <c r="E3245" s="29" t="s">
        <v>1045</v>
      </c>
      <c r="F3245" s="29" t="s">
        <v>372</v>
      </c>
      <c r="G3245">
        <v>15</v>
      </c>
      <c r="H3245" t="s">
        <v>323</v>
      </c>
      <c r="J3245" t="s">
        <v>2849</v>
      </c>
      <c r="K3245" t="s">
        <v>394</v>
      </c>
    </row>
    <row r="3246" spans="1:11">
      <c r="A3246" s="34" t="s">
        <v>2790</v>
      </c>
      <c r="B3246" t="s">
        <v>2791</v>
      </c>
      <c r="C3246" t="s">
        <v>2875</v>
      </c>
      <c r="D3246" s="29">
        <v>6347000000729</v>
      </c>
      <c r="E3246" s="29" t="s">
        <v>1045</v>
      </c>
      <c r="F3246" s="29" t="s">
        <v>372</v>
      </c>
      <c r="G3246">
        <v>15</v>
      </c>
      <c r="H3246" t="s">
        <v>323</v>
      </c>
      <c r="J3246" t="s">
        <v>2849</v>
      </c>
      <c r="K3246" t="s">
        <v>394</v>
      </c>
    </row>
    <row r="3247" spans="1:11">
      <c r="A3247" s="34" t="s">
        <v>2790</v>
      </c>
      <c r="B3247" t="s">
        <v>2791</v>
      </c>
      <c r="C3247" t="s">
        <v>2876</v>
      </c>
      <c r="D3247" s="29">
        <v>6347000000815</v>
      </c>
      <c r="E3247" s="29" t="s">
        <v>1045</v>
      </c>
      <c r="F3247" s="29" t="s">
        <v>372</v>
      </c>
      <c r="G3247">
        <v>15</v>
      </c>
      <c r="H3247" t="s">
        <v>323</v>
      </c>
      <c r="J3247" t="s">
        <v>2849</v>
      </c>
      <c r="K3247" t="s">
        <v>394</v>
      </c>
    </row>
    <row r="3248" spans="1:11">
      <c r="A3248" s="34" t="s">
        <v>2790</v>
      </c>
      <c r="B3248" t="s">
        <v>2791</v>
      </c>
      <c r="C3248" t="s">
        <v>2877</v>
      </c>
      <c r="D3248" s="29">
        <v>6359400045905</v>
      </c>
      <c r="E3248" s="29" t="s">
        <v>371</v>
      </c>
      <c r="F3248" s="29" t="s">
        <v>372</v>
      </c>
      <c r="G3248">
        <v>13</v>
      </c>
      <c r="H3248" t="s">
        <v>323</v>
      </c>
      <c r="J3248" t="s">
        <v>2852</v>
      </c>
      <c r="K3248" t="s">
        <v>285</v>
      </c>
    </row>
    <row r="3249" spans="1:11">
      <c r="A3249" s="34" t="s">
        <v>2790</v>
      </c>
      <c r="B3249" t="s">
        <v>2791</v>
      </c>
      <c r="C3249" t="s">
        <v>2878</v>
      </c>
      <c r="D3249" s="29">
        <v>6359400045924</v>
      </c>
      <c r="E3249" s="29" t="s">
        <v>371</v>
      </c>
      <c r="F3249" s="29" t="s">
        <v>372</v>
      </c>
      <c r="G3249">
        <v>13</v>
      </c>
      <c r="H3249" t="s">
        <v>323</v>
      </c>
      <c r="J3249" t="s">
        <v>2852</v>
      </c>
      <c r="K3249" t="s">
        <v>285</v>
      </c>
    </row>
    <row r="3250" spans="1:11">
      <c r="A3250" s="34" t="s">
        <v>2790</v>
      </c>
      <c r="B3250" t="s">
        <v>2791</v>
      </c>
      <c r="C3250" t="s">
        <v>2879</v>
      </c>
      <c r="D3250" s="29">
        <v>6359400046139</v>
      </c>
      <c r="E3250" s="29" t="s">
        <v>371</v>
      </c>
      <c r="F3250" s="29" t="s">
        <v>372</v>
      </c>
      <c r="G3250">
        <v>13</v>
      </c>
      <c r="H3250" t="s">
        <v>323</v>
      </c>
      <c r="J3250" t="s">
        <v>2852</v>
      </c>
      <c r="K3250" t="s">
        <v>285</v>
      </c>
    </row>
    <row r="3251" spans="1:11">
      <c r="A3251" s="34" t="s">
        <v>2790</v>
      </c>
      <c r="B3251" t="s">
        <v>2791</v>
      </c>
      <c r="C3251" t="s">
        <v>2880</v>
      </c>
      <c r="D3251" s="29">
        <v>6359400056752</v>
      </c>
      <c r="E3251" s="29" t="s">
        <v>371</v>
      </c>
      <c r="F3251" s="29" t="s">
        <v>372</v>
      </c>
      <c r="G3251">
        <v>7</v>
      </c>
      <c r="H3251" t="s">
        <v>323</v>
      </c>
      <c r="J3251" t="s">
        <v>2852</v>
      </c>
      <c r="K3251" t="s">
        <v>285</v>
      </c>
    </row>
    <row r="3252" spans="1:11">
      <c r="A3252" s="34" t="s">
        <v>2790</v>
      </c>
      <c r="B3252" t="s">
        <v>2791</v>
      </c>
      <c r="C3252" t="s">
        <v>2881</v>
      </c>
      <c r="D3252" s="29">
        <v>6359400000908</v>
      </c>
      <c r="E3252" s="29" t="s">
        <v>1045</v>
      </c>
      <c r="F3252" s="29" t="s">
        <v>372</v>
      </c>
      <c r="G3252">
        <v>15</v>
      </c>
      <c r="H3252" t="s">
        <v>323</v>
      </c>
      <c r="J3252" t="s">
        <v>2852</v>
      </c>
      <c r="K3252" t="s">
        <v>394</v>
      </c>
    </row>
    <row r="3253" spans="1:11">
      <c r="A3253" s="34" t="s">
        <v>2790</v>
      </c>
      <c r="B3253" t="s">
        <v>2791</v>
      </c>
      <c r="C3253" t="s">
        <v>2882</v>
      </c>
      <c r="D3253" s="29">
        <v>6359400000930</v>
      </c>
      <c r="E3253" s="29" t="s">
        <v>1045</v>
      </c>
      <c r="F3253" s="29" t="s">
        <v>372</v>
      </c>
      <c r="G3253">
        <v>15</v>
      </c>
      <c r="H3253" t="s">
        <v>323</v>
      </c>
      <c r="J3253" t="s">
        <v>2852</v>
      </c>
      <c r="K3253" t="s">
        <v>394</v>
      </c>
    </row>
    <row r="3254" spans="1:11">
      <c r="A3254" s="34" t="s">
        <v>2790</v>
      </c>
      <c r="B3254" t="s">
        <v>2791</v>
      </c>
      <c r="C3254" t="s">
        <v>2883</v>
      </c>
      <c r="D3254" s="29">
        <v>6359400000939</v>
      </c>
      <c r="E3254" s="29" t="s">
        <v>1045</v>
      </c>
      <c r="F3254" s="29" t="s">
        <v>372</v>
      </c>
      <c r="G3254">
        <v>15</v>
      </c>
      <c r="H3254" t="s">
        <v>323</v>
      </c>
      <c r="J3254" t="s">
        <v>2852</v>
      </c>
      <c r="K3254" t="s">
        <v>394</v>
      </c>
    </row>
    <row r="3255" spans="1:11">
      <c r="A3255" s="34" t="s">
        <v>2790</v>
      </c>
      <c r="B3255" t="s">
        <v>2791</v>
      </c>
      <c r="C3255" t="s">
        <v>2884</v>
      </c>
      <c r="D3255" s="29">
        <v>634011151459</v>
      </c>
      <c r="E3255" s="29" t="s">
        <v>371</v>
      </c>
      <c r="F3255" s="29" t="s">
        <v>372</v>
      </c>
      <c r="G3255">
        <v>13</v>
      </c>
      <c r="H3255" t="s">
        <v>1051</v>
      </c>
      <c r="J3255" t="s">
        <v>2885</v>
      </c>
      <c r="K3255" t="s">
        <v>285</v>
      </c>
    </row>
    <row r="3256" spans="1:11">
      <c r="A3256" s="34" t="s">
        <v>2790</v>
      </c>
      <c r="B3256" t="s">
        <v>2791</v>
      </c>
      <c r="C3256" t="s">
        <v>2886</v>
      </c>
      <c r="D3256" s="29">
        <v>6340100040191</v>
      </c>
      <c r="E3256" s="29" t="s">
        <v>371</v>
      </c>
      <c r="F3256" s="29" t="s">
        <v>372</v>
      </c>
      <c r="G3256">
        <v>13</v>
      </c>
      <c r="H3256" t="s">
        <v>1051</v>
      </c>
      <c r="J3256" t="s">
        <v>2885</v>
      </c>
      <c r="K3256" t="s">
        <v>285</v>
      </c>
    </row>
    <row r="3257" spans="1:11">
      <c r="A3257" s="34" t="s">
        <v>2790</v>
      </c>
      <c r="B3257" t="s">
        <v>2791</v>
      </c>
      <c r="C3257" t="s">
        <v>2887</v>
      </c>
      <c r="D3257" s="29">
        <v>6340100040234</v>
      </c>
      <c r="E3257" s="29" t="s">
        <v>371</v>
      </c>
      <c r="F3257" s="29" t="s">
        <v>372</v>
      </c>
      <c r="G3257">
        <v>13</v>
      </c>
      <c r="H3257" t="s">
        <v>1051</v>
      </c>
      <c r="J3257" t="s">
        <v>2885</v>
      </c>
      <c r="K3257" t="s">
        <v>285</v>
      </c>
    </row>
    <row r="3258" spans="1:11">
      <c r="A3258" s="34" t="s">
        <v>2790</v>
      </c>
      <c r="B3258" t="s">
        <v>2791</v>
      </c>
      <c r="C3258" t="s">
        <v>2888</v>
      </c>
      <c r="D3258" s="29">
        <v>6340100040514</v>
      </c>
      <c r="E3258" s="29" t="s">
        <v>371</v>
      </c>
      <c r="F3258" s="29" t="s">
        <v>372</v>
      </c>
      <c r="G3258">
        <v>13</v>
      </c>
      <c r="H3258" t="s">
        <v>1051</v>
      </c>
      <c r="J3258" t="s">
        <v>2885</v>
      </c>
      <c r="K3258" t="s">
        <v>285</v>
      </c>
    </row>
    <row r="3259" spans="1:11">
      <c r="A3259" s="34" t="s">
        <v>2790</v>
      </c>
      <c r="B3259" t="s">
        <v>2791</v>
      </c>
      <c r="C3259" t="s">
        <v>2886</v>
      </c>
      <c r="D3259" s="29">
        <v>6340100040537</v>
      </c>
      <c r="E3259" s="29" t="s">
        <v>371</v>
      </c>
      <c r="F3259" s="29" t="s">
        <v>372</v>
      </c>
      <c r="G3259">
        <v>13</v>
      </c>
      <c r="H3259" t="s">
        <v>1051</v>
      </c>
      <c r="J3259" t="s">
        <v>2885</v>
      </c>
      <c r="K3259" t="s">
        <v>285</v>
      </c>
    </row>
    <row r="3260" spans="1:11">
      <c r="A3260" s="34" t="s">
        <v>2790</v>
      </c>
      <c r="B3260" t="s">
        <v>2791</v>
      </c>
      <c r="C3260" t="s">
        <v>2889</v>
      </c>
      <c r="D3260" s="29">
        <v>6340100040674</v>
      </c>
      <c r="E3260" s="29" t="s">
        <v>371</v>
      </c>
      <c r="F3260" s="29" t="s">
        <v>372</v>
      </c>
      <c r="G3260">
        <v>13</v>
      </c>
      <c r="H3260" t="s">
        <v>1051</v>
      </c>
      <c r="J3260" t="s">
        <v>2885</v>
      </c>
      <c r="K3260" t="s">
        <v>285</v>
      </c>
    </row>
    <row r="3261" spans="1:11">
      <c r="A3261" s="34" t="s">
        <v>2790</v>
      </c>
      <c r="B3261" t="s">
        <v>2791</v>
      </c>
      <c r="C3261" t="s">
        <v>2890</v>
      </c>
      <c r="D3261" s="29">
        <v>6340100040836</v>
      </c>
      <c r="E3261" s="29" t="s">
        <v>371</v>
      </c>
      <c r="F3261" s="29" t="s">
        <v>372</v>
      </c>
      <c r="G3261">
        <v>13</v>
      </c>
      <c r="H3261" t="s">
        <v>1051</v>
      </c>
      <c r="J3261" t="s">
        <v>2885</v>
      </c>
      <c r="K3261" t="s">
        <v>285</v>
      </c>
    </row>
    <row r="3262" spans="1:11">
      <c r="A3262" s="34" t="s">
        <v>2790</v>
      </c>
      <c r="B3262" t="s">
        <v>2791</v>
      </c>
      <c r="C3262" t="s">
        <v>2891</v>
      </c>
      <c r="D3262" s="29">
        <v>6340100041104</v>
      </c>
      <c r="E3262" s="29" t="s">
        <v>371</v>
      </c>
      <c r="F3262" s="29" t="s">
        <v>372</v>
      </c>
      <c r="G3262">
        <v>13</v>
      </c>
      <c r="H3262" t="s">
        <v>1051</v>
      </c>
      <c r="J3262" t="s">
        <v>2885</v>
      </c>
      <c r="K3262" t="s">
        <v>285</v>
      </c>
    </row>
    <row r="3263" spans="1:11">
      <c r="A3263" s="34" t="s">
        <v>2790</v>
      </c>
      <c r="B3263" t="s">
        <v>2791</v>
      </c>
      <c r="C3263" t="s">
        <v>2892</v>
      </c>
      <c r="D3263" s="29">
        <v>6340100041151</v>
      </c>
      <c r="E3263" s="29" t="s">
        <v>371</v>
      </c>
      <c r="F3263" s="29" t="s">
        <v>372</v>
      </c>
      <c r="G3263">
        <v>13</v>
      </c>
      <c r="H3263" t="s">
        <v>1051</v>
      </c>
      <c r="J3263" t="s">
        <v>2885</v>
      </c>
      <c r="K3263" t="s">
        <v>285</v>
      </c>
    </row>
    <row r="3264" spans="1:11">
      <c r="A3264" s="34" t="s">
        <v>2790</v>
      </c>
      <c r="B3264" t="s">
        <v>2791</v>
      </c>
      <c r="C3264" t="s">
        <v>2893</v>
      </c>
      <c r="D3264" s="29">
        <v>6340100041355</v>
      </c>
      <c r="E3264" s="29" t="s">
        <v>371</v>
      </c>
      <c r="F3264" s="29" t="s">
        <v>372</v>
      </c>
      <c r="G3264">
        <v>13</v>
      </c>
      <c r="H3264" t="s">
        <v>1051</v>
      </c>
      <c r="J3264" t="s">
        <v>2885</v>
      </c>
      <c r="K3264" t="s">
        <v>285</v>
      </c>
    </row>
    <row r="3265" spans="1:12">
      <c r="A3265" s="34" t="s">
        <v>2790</v>
      </c>
      <c r="B3265" t="s">
        <v>2791</v>
      </c>
      <c r="C3265" t="s">
        <v>2894</v>
      </c>
      <c r="D3265" s="29">
        <v>6340100041387</v>
      </c>
      <c r="E3265" s="29" t="s">
        <v>371</v>
      </c>
      <c r="F3265" s="29" t="s">
        <v>372</v>
      </c>
      <c r="G3265">
        <v>13</v>
      </c>
      <c r="H3265" t="s">
        <v>323</v>
      </c>
      <c r="J3265" t="s">
        <v>2885</v>
      </c>
      <c r="K3265" t="s">
        <v>285</v>
      </c>
    </row>
    <row r="3266" spans="1:12">
      <c r="A3266" s="34" t="s">
        <v>2790</v>
      </c>
      <c r="B3266" t="s">
        <v>2791</v>
      </c>
      <c r="C3266" t="s">
        <v>2895</v>
      </c>
      <c r="D3266" s="29">
        <v>6340100041411</v>
      </c>
      <c r="E3266" s="29" t="s">
        <v>371</v>
      </c>
      <c r="F3266" s="29" t="s">
        <v>372</v>
      </c>
      <c r="G3266">
        <v>13</v>
      </c>
      <c r="H3266" t="s">
        <v>1051</v>
      </c>
      <c r="J3266" t="s">
        <v>2885</v>
      </c>
      <c r="K3266" t="s">
        <v>285</v>
      </c>
    </row>
    <row r="3267" spans="1:12">
      <c r="A3267" s="34" t="s">
        <v>2790</v>
      </c>
      <c r="B3267" t="s">
        <v>2791</v>
      </c>
      <c r="C3267" t="s">
        <v>2896</v>
      </c>
      <c r="D3267" s="29">
        <v>6340100041487</v>
      </c>
      <c r="E3267" s="29" t="s">
        <v>371</v>
      </c>
      <c r="F3267" s="29" t="s">
        <v>372</v>
      </c>
      <c r="G3267">
        <v>13</v>
      </c>
      <c r="H3267" t="s">
        <v>1051</v>
      </c>
      <c r="J3267" t="s">
        <v>2885</v>
      </c>
      <c r="K3267" t="s">
        <v>285</v>
      </c>
    </row>
    <row r="3268" spans="1:12">
      <c r="A3268" s="34" t="s">
        <v>2790</v>
      </c>
      <c r="B3268" t="s">
        <v>2791</v>
      </c>
      <c r="C3268" t="s">
        <v>2897</v>
      </c>
      <c r="D3268" s="29">
        <v>6340100041665</v>
      </c>
      <c r="E3268" s="29" t="s">
        <v>371</v>
      </c>
      <c r="F3268" s="29" t="s">
        <v>372</v>
      </c>
      <c r="G3268">
        <v>13</v>
      </c>
      <c r="H3268" t="s">
        <v>1051</v>
      </c>
      <c r="J3268" t="s">
        <v>2885</v>
      </c>
      <c r="K3268" t="s">
        <v>285</v>
      </c>
    </row>
    <row r="3269" spans="1:12">
      <c r="A3269" s="34" t="s">
        <v>2790</v>
      </c>
      <c r="B3269" t="s">
        <v>2791</v>
      </c>
      <c r="C3269" t="s">
        <v>2898</v>
      </c>
      <c r="D3269" s="29">
        <v>6340100041826</v>
      </c>
      <c r="E3269" s="29" t="s">
        <v>371</v>
      </c>
      <c r="F3269" s="29" t="s">
        <v>372</v>
      </c>
      <c r="G3269">
        <v>13</v>
      </c>
      <c r="H3269" t="s">
        <v>1051</v>
      </c>
      <c r="J3269" t="s">
        <v>2885</v>
      </c>
      <c r="K3269" t="s">
        <v>285</v>
      </c>
    </row>
    <row r="3270" spans="1:12">
      <c r="A3270" s="34" t="s">
        <v>2790</v>
      </c>
      <c r="B3270" t="s">
        <v>2791</v>
      </c>
      <c r="C3270" t="s">
        <v>2899</v>
      </c>
      <c r="D3270" s="29">
        <v>6340100041860</v>
      </c>
      <c r="E3270" s="29" t="s">
        <v>371</v>
      </c>
      <c r="F3270" s="29" t="s">
        <v>372</v>
      </c>
      <c r="G3270">
        <v>13</v>
      </c>
      <c r="H3270" t="s">
        <v>1051</v>
      </c>
      <c r="J3270" t="s">
        <v>2885</v>
      </c>
      <c r="K3270" t="s">
        <v>285</v>
      </c>
    </row>
    <row r="3271" spans="1:12">
      <c r="A3271" s="34" t="s">
        <v>2790</v>
      </c>
      <c r="B3271" t="s">
        <v>2791</v>
      </c>
      <c r="C3271" t="s">
        <v>2900</v>
      </c>
      <c r="D3271" s="29">
        <v>6340100044051</v>
      </c>
      <c r="E3271" s="29" t="s">
        <v>1045</v>
      </c>
      <c r="F3271" s="29" t="s">
        <v>372</v>
      </c>
      <c r="G3271">
        <v>15</v>
      </c>
      <c r="H3271" t="s">
        <v>1051</v>
      </c>
      <c r="J3271" t="s">
        <v>2885</v>
      </c>
      <c r="K3271" t="s">
        <v>394</v>
      </c>
    </row>
    <row r="3272" spans="1:12">
      <c r="A3272" s="34" t="s">
        <v>2790</v>
      </c>
      <c r="B3272" t="s">
        <v>2791</v>
      </c>
      <c r="C3272" t="s">
        <v>2901</v>
      </c>
      <c r="D3272" s="29">
        <v>6340100058938</v>
      </c>
      <c r="E3272" s="29" t="s">
        <v>371</v>
      </c>
      <c r="F3272" s="29" t="s">
        <v>372</v>
      </c>
      <c r="G3272">
        <v>13</v>
      </c>
      <c r="H3272" t="s">
        <v>1051</v>
      </c>
      <c r="J3272" t="s">
        <v>2885</v>
      </c>
      <c r="K3272" t="s">
        <v>285</v>
      </c>
    </row>
    <row r="3273" spans="1:12">
      <c r="A3273" s="34" t="s">
        <v>2790</v>
      </c>
      <c r="B3273" t="s">
        <v>2791</v>
      </c>
      <c r="C3273" t="s">
        <v>2902</v>
      </c>
      <c r="D3273" s="29">
        <v>6340100062679</v>
      </c>
      <c r="E3273" s="29" t="s">
        <v>371</v>
      </c>
      <c r="F3273" s="29" t="s">
        <v>372</v>
      </c>
      <c r="G3273">
        <v>13</v>
      </c>
      <c r="H3273" t="s">
        <v>1051</v>
      </c>
      <c r="J3273" t="s">
        <v>2885</v>
      </c>
      <c r="K3273" t="s">
        <v>285</v>
      </c>
    </row>
    <row r="3274" spans="1:12">
      <c r="A3274" s="34" t="s">
        <v>2790</v>
      </c>
      <c r="B3274" t="s">
        <v>2791</v>
      </c>
      <c r="C3274" t="s">
        <v>2903</v>
      </c>
      <c r="D3274" s="29">
        <v>6340100112320</v>
      </c>
      <c r="E3274" s="29" t="s">
        <v>371</v>
      </c>
      <c r="F3274" s="29" t="s">
        <v>372</v>
      </c>
      <c r="G3274">
        <v>13</v>
      </c>
      <c r="H3274" t="s">
        <v>1051</v>
      </c>
      <c r="J3274" t="s">
        <v>2885</v>
      </c>
      <c r="K3274" t="s">
        <v>285</v>
      </c>
    </row>
    <row r="3275" spans="1:12">
      <c r="A3275" s="34" t="s">
        <v>2790</v>
      </c>
      <c r="B3275" t="s">
        <v>2791</v>
      </c>
      <c r="C3275" t="s">
        <v>2904</v>
      </c>
      <c r="D3275" s="29">
        <v>6340100122079</v>
      </c>
      <c r="E3275" s="29" t="s">
        <v>371</v>
      </c>
      <c r="F3275" s="29" t="s">
        <v>372</v>
      </c>
      <c r="G3275">
        <v>13</v>
      </c>
      <c r="H3275" t="s">
        <v>1051</v>
      </c>
      <c r="J3275" t="s">
        <v>2885</v>
      </c>
      <c r="K3275" t="s">
        <v>285</v>
      </c>
    </row>
    <row r="3276" spans="1:12">
      <c r="A3276" t="s">
        <v>2729</v>
      </c>
      <c r="B3276" t="s">
        <v>2730</v>
      </c>
      <c r="C3276" t="s">
        <v>2905</v>
      </c>
      <c r="D3276" s="29">
        <v>2700100093505</v>
      </c>
      <c r="E3276" s="29" t="s">
        <v>371</v>
      </c>
      <c r="F3276" s="29" t="s">
        <v>372</v>
      </c>
      <c r="H3276" t="s">
        <v>323</v>
      </c>
      <c r="J3276" t="s">
        <v>2732</v>
      </c>
      <c r="K3276" t="s">
        <v>337</v>
      </c>
      <c r="L3276" t="s">
        <v>1090</v>
      </c>
    </row>
    <row r="3277" spans="1:12">
      <c r="A3277" t="s">
        <v>2729</v>
      </c>
      <c r="B3277" t="s">
        <v>2730</v>
      </c>
      <c r="C3277" t="s">
        <v>2906</v>
      </c>
      <c r="D3277" s="29">
        <v>2700100093543</v>
      </c>
      <c r="E3277" s="29" t="s">
        <v>371</v>
      </c>
      <c r="F3277" s="29" t="s">
        <v>372</v>
      </c>
      <c r="H3277" t="s">
        <v>323</v>
      </c>
      <c r="J3277" t="s">
        <v>2732</v>
      </c>
      <c r="K3277" t="s">
        <v>337</v>
      </c>
      <c r="L3277" t="s">
        <v>1090</v>
      </c>
    </row>
    <row r="3278" spans="1:12">
      <c r="A3278" t="s">
        <v>2729</v>
      </c>
      <c r="B3278" t="s">
        <v>2730</v>
      </c>
      <c r="C3278" t="s">
        <v>2907</v>
      </c>
      <c r="D3278" s="29">
        <v>2700100093564</v>
      </c>
      <c r="E3278" s="29" t="s">
        <v>371</v>
      </c>
      <c r="F3278" s="29" t="s">
        <v>372</v>
      </c>
      <c r="H3278" t="s">
        <v>323</v>
      </c>
      <c r="J3278" t="s">
        <v>2732</v>
      </c>
      <c r="K3278" t="s">
        <v>337</v>
      </c>
      <c r="L3278" t="s">
        <v>1090</v>
      </c>
    </row>
    <row r="3279" spans="1:12">
      <c r="A3279" t="s">
        <v>2729</v>
      </c>
      <c r="B3279" t="s">
        <v>2730</v>
      </c>
      <c r="C3279" t="s">
        <v>2908</v>
      </c>
      <c r="D3279" s="29">
        <v>2700100093576</v>
      </c>
      <c r="E3279" s="29" t="s">
        <v>371</v>
      </c>
      <c r="F3279" s="29" t="s">
        <v>372</v>
      </c>
      <c r="H3279" t="s">
        <v>323</v>
      </c>
      <c r="J3279" t="s">
        <v>2732</v>
      </c>
      <c r="K3279" t="s">
        <v>337</v>
      </c>
      <c r="L3279" t="s">
        <v>1090</v>
      </c>
    </row>
    <row r="3280" spans="1:12">
      <c r="A3280" t="s">
        <v>2729</v>
      </c>
      <c r="B3280" t="s">
        <v>2730</v>
      </c>
      <c r="C3280" t="s">
        <v>2909</v>
      </c>
      <c r="D3280" s="29">
        <v>2700100081864</v>
      </c>
      <c r="E3280" s="29" t="s">
        <v>371</v>
      </c>
      <c r="F3280" s="29" t="s">
        <v>372</v>
      </c>
      <c r="H3280" t="s">
        <v>1051</v>
      </c>
      <c r="J3280" t="s">
        <v>2732</v>
      </c>
      <c r="K3280" t="s">
        <v>337</v>
      </c>
      <c r="L3280" t="s">
        <v>327</v>
      </c>
    </row>
    <row r="3281" spans="1:12">
      <c r="A3281" t="s">
        <v>2729</v>
      </c>
      <c r="B3281" t="s">
        <v>2730</v>
      </c>
      <c r="C3281" t="s">
        <v>2910</v>
      </c>
      <c r="D3281" s="29">
        <v>2700100092934</v>
      </c>
      <c r="E3281" s="29" t="s">
        <v>371</v>
      </c>
      <c r="F3281" s="29" t="s">
        <v>372</v>
      </c>
      <c r="H3281" t="s">
        <v>1051</v>
      </c>
      <c r="J3281" t="s">
        <v>2732</v>
      </c>
      <c r="K3281" t="s">
        <v>337</v>
      </c>
      <c r="L3281" t="s">
        <v>327</v>
      </c>
    </row>
    <row r="3282" spans="1:12">
      <c r="A3282" t="s">
        <v>2729</v>
      </c>
      <c r="B3282" t="s">
        <v>2730</v>
      </c>
      <c r="C3282" t="s">
        <v>2911</v>
      </c>
      <c r="D3282" s="29">
        <v>2700100070431</v>
      </c>
      <c r="E3282" s="29" t="s">
        <v>371</v>
      </c>
      <c r="F3282" s="29" t="s">
        <v>372</v>
      </c>
      <c r="H3282" t="s">
        <v>323</v>
      </c>
      <c r="J3282" t="s">
        <v>2732</v>
      </c>
      <c r="K3282" t="s">
        <v>337</v>
      </c>
      <c r="L3282" t="s">
        <v>1090</v>
      </c>
    </row>
    <row r="3283" spans="1:12">
      <c r="A3283" t="s">
        <v>2729</v>
      </c>
      <c r="B3283" t="s">
        <v>2730</v>
      </c>
      <c r="C3283" t="s">
        <v>2912</v>
      </c>
      <c r="D3283" s="29">
        <v>2700100083765</v>
      </c>
      <c r="E3283" s="29" t="s">
        <v>371</v>
      </c>
      <c r="F3283" s="29" t="s">
        <v>372</v>
      </c>
      <c r="H3283" t="s">
        <v>323</v>
      </c>
      <c r="J3283" t="s">
        <v>2732</v>
      </c>
      <c r="K3283" t="s">
        <v>337</v>
      </c>
      <c r="L3283" t="s">
        <v>1090</v>
      </c>
    </row>
    <row r="3284" spans="1:12">
      <c r="A3284" t="s">
        <v>2729</v>
      </c>
      <c r="B3284" t="s">
        <v>2730</v>
      </c>
      <c r="C3284" t="s">
        <v>2913</v>
      </c>
      <c r="D3284" s="29">
        <v>2700100091331</v>
      </c>
      <c r="E3284" s="29" t="s">
        <v>371</v>
      </c>
      <c r="F3284" s="29" t="s">
        <v>372</v>
      </c>
      <c r="H3284" t="s">
        <v>1051</v>
      </c>
      <c r="J3284" t="s">
        <v>2732</v>
      </c>
      <c r="K3284" t="s">
        <v>337</v>
      </c>
      <c r="L3284" t="s">
        <v>327</v>
      </c>
    </row>
    <row r="3285" spans="1:12">
      <c r="A3285" t="s">
        <v>2729</v>
      </c>
      <c r="B3285" t="s">
        <v>2730</v>
      </c>
      <c r="C3285" t="s">
        <v>2914</v>
      </c>
      <c r="D3285" s="29">
        <v>2700100091342</v>
      </c>
      <c r="E3285" s="29" t="s">
        <v>371</v>
      </c>
      <c r="F3285" s="29" t="s">
        <v>372</v>
      </c>
      <c r="H3285" t="s">
        <v>1051</v>
      </c>
      <c r="J3285" t="s">
        <v>2732</v>
      </c>
      <c r="K3285" t="s">
        <v>337</v>
      </c>
      <c r="L3285" t="s">
        <v>327</v>
      </c>
    </row>
    <row r="3286" spans="1:12">
      <c r="A3286" t="s">
        <v>2729</v>
      </c>
      <c r="B3286" t="s">
        <v>2730</v>
      </c>
      <c r="C3286" t="s">
        <v>2915</v>
      </c>
      <c r="D3286" s="29">
        <v>2700100091890</v>
      </c>
      <c r="E3286" s="29" t="s">
        <v>371</v>
      </c>
      <c r="F3286" s="29" t="s">
        <v>372</v>
      </c>
      <c r="H3286" t="s">
        <v>1051</v>
      </c>
      <c r="J3286" t="s">
        <v>2732</v>
      </c>
      <c r="K3286" t="s">
        <v>337</v>
      </c>
      <c r="L3286" t="s">
        <v>327</v>
      </c>
    </row>
    <row r="3287" spans="1:12">
      <c r="A3287" t="s">
        <v>2729</v>
      </c>
      <c r="B3287" t="s">
        <v>2730</v>
      </c>
      <c r="C3287" t="s">
        <v>2916</v>
      </c>
      <c r="D3287" s="29">
        <v>2700100092906</v>
      </c>
      <c r="E3287" s="29" t="s">
        <v>371</v>
      </c>
      <c r="F3287" s="29" t="s">
        <v>372</v>
      </c>
      <c r="H3287" t="s">
        <v>1051</v>
      </c>
      <c r="J3287" t="s">
        <v>2732</v>
      </c>
      <c r="K3287" t="s">
        <v>337</v>
      </c>
      <c r="L3287" t="s">
        <v>327</v>
      </c>
    </row>
    <row r="3288" spans="1:12">
      <c r="A3288" t="s">
        <v>2729</v>
      </c>
      <c r="B3288" t="s">
        <v>2730</v>
      </c>
      <c r="C3288" t="s">
        <v>2917</v>
      </c>
      <c r="D3288" s="29">
        <v>2700100053498</v>
      </c>
      <c r="E3288" s="29" t="s">
        <v>987</v>
      </c>
      <c r="F3288" s="29" t="s">
        <v>364</v>
      </c>
      <c r="H3288" t="s">
        <v>1051</v>
      </c>
      <c r="J3288" t="s">
        <v>2732</v>
      </c>
      <c r="K3288" t="s">
        <v>365</v>
      </c>
      <c r="L3288" t="s">
        <v>1090</v>
      </c>
    </row>
    <row r="3289" spans="1:12">
      <c r="A3289" t="s">
        <v>2729</v>
      </c>
      <c r="B3289" t="s">
        <v>2730</v>
      </c>
      <c r="C3289" t="s">
        <v>2918</v>
      </c>
      <c r="D3289" s="29">
        <v>2700100066556</v>
      </c>
      <c r="E3289" s="29" t="s">
        <v>987</v>
      </c>
      <c r="F3289" s="29" t="s">
        <v>364</v>
      </c>
      <c r="H3289" t="s">
        <v>1051</v>
      </c>
      <c r="J3289" t="s">
        <v>2732</v>
      </c>
      <c r="K3289" t="s">
        <v>365</v>
      </c>
      <c r="L3289" t="s">
        <v>1090</v>
      </c>
    </row>
    <row r="3290" spans="1:12">
      <c r="A3290" t="s">
        <v>2729</v>
      </c>
      <c r="B3290" t="s">
        <v>2730</v>
      </c>
      <c r="C3290" t="s">
        <v>2919</v>
      </c>
      <c r="D3290" s="29">
        <v>2700100066574</v>
      </c>
      <c r="E3290" s="29" t="s">
        <v>987</v>
      </c>
      <c r="F3290" s="29" t="s">
        <v>364</v>
      </c>
      <c r="H3290" t="s">
        <v>1051</v>
      </c>
      <c r="J3290" t="s">
        <v>2732</v>
      </c>
      <c r="K3290" t="s">
        <v>394</v>
      </c>
      <c r="L3290" t="s">
        <v>1090</v>
      </c>
    </row>
    <row r="3291" spans="1:12">
      <c r="A3291" t="s">
        <v>2729</v>
      </c>
      <c r="B3291" t="s">
        <v>2730</v>
      </c>
      <c r="C3291" t="s">
        <v>2920</v>
      </c>
      <c r="D3291" s="29">
        <v>2700100070322</v>
      </c>
      <c r="E3291" s="29" t="s">
        <v>371</v>
      </c>
      <c r="F3291" s="29" t="s">
        <v>372</v>
      </c>
      <c r="H3291" t="s">
        <v>1051</v>
      </c>
      <c r="J3291" t="s">
        <v>2732</v>
      </c>
      <c r="K3291" t="s">
        <v>337</v>
      </c>
      <c r="L3291" t="s">
        <v>1090</v>
      </c>
    </row>
    <row r="3292" spans="1:12">
      <c r="A3292" t="s">
        <v>2729</v>
      </c>
      <c r="B3292" t="s">
        <v>2730</v>
      </c>
      <c r="C3292" t="s">
        <v>2921</v>
      </c>
      <c r="D3292" s="29">
        <v>2700100070352</v>
      </c>
      <c r="E3292" s="29" t="s">
        <v>371</v>
      </c>
      <c r="F3292" s="29" t="s">
        <v>372</v>
      </c>
      <c r="H3292" t="s">
        <v>1051</v>
      </c>
      <c r="J3292" t="s">
        <v>2732</v>
      </c>
      <c r="K3292" t="s">
        <v>337</v>
      </c>
      <c r="L3292" t="s">
        <v>1090</v>
      </c>
    </row>
    <row r="3293" spans="1:12">
      <c r="A3293" t="s">
        <v>2729</v>
      </c>
      <c r="B3293" t="s">
        <v>2730</v>
      </c>
      <c r="C3293" t="s">
        <v>2922</v>
      </c>
      <c r="D3293" s="29">
        <v>2700100070971</v>
      </c>
      <c r="E3293" s="29" t="s">
        <v>371</v>
      </c>
      <c r="F3293" s="29" t="s">
        <v>372</v>
      </c>
      <c r="H3293" t="s">
        <v>1051</v>
      </c>
      <c r="J3293" t="s">
        <v>2732</v>
      </c>
      <c r="K3293" t="s">
        <v>337</v>
      </c>
      <c r="L3293" t="s">
        <v>1090</v>
      </c>
    </row>
    <row r="3294" spans="1:12">
      <c r="A3294" t="s">
        <v>2729</v>
      </c>
      <c r="B3294" t="s">
        <v>2730</v>
      </c>
      <c r="C3294" t="s">
        <v>2923</v>
      </c>
      <c r="D3294" s="29">
        <v>2700100083690</v>
      </c>
      <c r="E3294" s="29" t="s">
        <v>371</v>
      </c>
      <c r="F3294" s="29" t="s">
        <v>372</v>
      </c>
      <c r="H3294" t="s">
        <v>323</v>
      </c>
      <c r="J3294" t="s">
        <v>2732</v>
      </c>
      <c r="K3294" t="s">
        <v>337</v>
      </c>
      <c r="L3294" t="s">
        <v>1090</v>
      </c>
    </row>
    <row r="3295" spans="1:12">
      <c r="A3295" t="s">
        <v>2729</v>
      </c>
      <c r="B3295" t="s">
        <v>2730</v>
      </c>
      <c r="C3295" t="s">
        <v>2924</v>
      </c>
      <c r="D3295" s="29">
        <v>2700100083761</v>
      </c>
      <c r="E3295" s="29" t="s">
        <v>371</v>
      </c>
      <c r="F3295" s="29" t="s">
        <v>372</v>
      </c>
      <c r="H3295" t="s">
        <v>1051</v>
      </c>
      <c r="J3295" t="s">
        <v>2732</v>
      </c>
      <c r="K3295" t="s">
        <v>337</v>
      </c>
      <c r="L3295" t="s">
        <v>1090</v>
      </c>
    </row>
    <row r="3296" spans="1:12">
      <c r="A3296" t="s">
        <v>2729</v>
      </c>
      <c r="B3296" t="s">
        <v>2730</v>
      </c>
      <c r="C3296" t="s">
        <v>2925</v>
      </c>
      <c r="D3296" s="29">
        <v>2700100083834</v>
      </c>
      <c r="E3296" s="29" t="s">
        <v>371</v>
      </c>
      <c r="F3296" s="29" t="s">
        <v>372</v>
      </c>
      <c r="H3296" t="s">
        <v>1051</v>
      </c>
      <c r="J3296" t="s">
        <v>2732</v>
      </c>
      <c r="K3296" t="s">
        <v>337</v>
      </c>
      <c r="L3296" t="s">
        <v>1090</v>
      </c>
    </row>
    <row r="3297" spans="1:12">
      <c r="A3297" t="s">
        <v>2729</v>
      </c>
      <c r="B3297" t="s">
        <v>2730</v>
      </c>
      <c r="C3297" t="s">
        <v>2926</v>
      </c>
      <c r="D3297" s="29">
        <v>2700100083860</v>
      </c>
      <c r="E3297" s="29" t="s">
        <v>371</v>
      </c>
      <c r="F3297" s="29" t="s">
        <v>372</v>
      </c>
      <c r="H3297" t="s">
        <v>1051</v>
      </c>
      <c r="J3297" t="s">
        <v>2732</v>
      </c>
      <c r="K3297" t="s">
        <v>337</v>
      </c>
      <c r="L3297" t="s">
        <v>1090</v>
      </c>
    </row>
    <row r="3298" spans="1:12">
      <c r="A3298" t="s">
        <v>2729</v>
      </c>
      <c r="B3298" t="s">
        <v>2730</v>
      </c>
      <c r="C3298" t="s">
        <v>2927</v>
      </c>
      <c r="D3298" s="29">
        <v>2700100081848</v>
      </c>
      <c r="E3298" s="29" t="s">
        <v>371</v>
      </c>
      <c r="F3298" s="29" t="s">
        <v>372</v>
      </c>
      <c r="H3298" t="s">
        <v>1051</v>
      </c>
      <c r="J3298" t="s">
        <v>2732</v>
      </c>
      <c r="K3298" t="s">
        <v>337</v>
      </c>
      <c r="L3298" t="s">
        <v>327</v>
      </c>
    </row>
    <row r="3299" spans="1:12">
      <c r="A3299" t="s">
        <v>2729</v>
      </c>
      <c r="B3299" t="s">
        <v>2730</v>
      </c>
      <c r="C3299" t="s">
        <v>2928</v>
      </c>
      <c r="D3299" s="29">
        <v>2700100081873</v>
      </c>
      <c r="E3299" s="29" t="s">
        <v>371</v>
      </c>
      <c r="F3299" s="29" t="s">
        <v>372</v>
      </c>
      <c r="H3299" t="s">
        <v>1051</v>
      </c>
      <c r="J3299" t="s">
        <v>2732</v>
      </c>
      <c r="K3299" t="s">
        <v>337</v>
      </c>
      <c r="L3299" t="s">
        <v>327</v>
      </c>
    </row>
    <row r="3300" spans="1:12">
      <c r="A3300" t="s">
        <v>2729</v>
      </c>
      <c r="B3300" t="s">
        <v>2730</v>
      </c>
      <c r="C3300" t="s">
        <v>2929</v>
      </c>
      <c r="D3300" s="29">
        <v>2700100092331</v>
      </c>
      <c r="E3300" s="29" t="s">
        <v>371</v>
      </c>
      <c r="F3300" s="29" t="s">
        <v>372</v>
      </c>
      <c r="H3300" t="s">
        <v>1051</v>
      </c>
      <c r="J3300" t="s">
        <v>2732</v>
      </c>
      <c r="K3300" t="s">
        <v>337</v>
      </c>
      <c r="L3300" t="s">
        <v>327</v>
      </c>
    </row>
    <row r="3301" spans="1:12">
      <c r="A3301" t="s">
        <v>2729</v>
      </c>
      <c r="B3301" t="s">
        <v>2730</v>
      </c>
      <c r="C3301" t="s">
        <v>2930</v>
      </c>
      <c r="D3301" s="29">
        <v>2700100095602</v>
      </c>
      <c r="E3301" s="29" t="s">
        <v>371</v>
      </c>
      <c r="F3301" s="29" t="s">
        <v>372</v>
      </c>
      <c r="H3301" t="s">
        <v>1051</v>
      </c>
      <c r="J3301" t="s">
        <v>2732</v>
      </c>
      <c r="K3301" t="s">
        <v>337</v>
      </c>
      <c r="L3301" t="s">
        <v>327</v>
      </c>
    </row>
    <row r="3302" spans="1:12">
      <c r="A3302" t="s">
        <v>2729</v>
      </c>
      <c r="B3302" t="s">
        <v>2730</v>
      </c>
      <c r="C3302" t="s">
        <v>2931</v>
      </c>
      <c r="D3302" s="29">
        <v>2700100067001</v>
      </c>
      <c r="E3302" s="29" t="s">
        <v>371</v>
      </c>
      <c r="F3302" s="29" t="s">
        <v>372</v>
      </c>
      <c r="H3302" t="s">
        <v>1051</v>
      </c>
      <c r="J3302" t="s">
        <v>2732</v>
      </c>
      <c r="K3302" t="s">
        <v>337</v>
      </c>
      <c r="L3302" t="s">
        <v>1090</v>
      </c>
    </row>
    <row r="3303" spans="1:12">
      <c r="A3303" t="s">
        <v>2729</v>
      </c>
      <c r="B3303" t="s">
        <v>2730</v>
      </c>
      <c r="C3303" t="s">
        <v>2932</v>
      </c>
      <c r="D3303" s="29">
        <v>2700100083838</v>
      </c>
      <c r="E3303" s="29" t="s">
        <v>371</v>
      </c>
      <c r="F3303" s="29" t="s">
        <v>372</v>
      </c>
      <c r="H3303" t="s">
        <v>1051</v>
      </c>
      <c r="J3303" t="s">
        <v>2732</v>
      </c>
      <c r="K3303" t="s">
        <v>337</v>
      </c>
      <c r="L3303" t="s">
        <v>1090</v>
      </c>
    </row>
    <row r="3304" spans="1:12">
      <c r="A3304" t="s">
        <v>2729</v>
      </c>
      <c r="B3304" t="s">
        <v>2730</v>
      </c>
      <c r="C3304" t="s">
        <v>2933</v>
      </c>
      <c r="D3304" s="29">
        <v>2700100070895</v>
      </c>
      <c r="E3304" s="29" t="s">
        <v>371</v>
      </c>
      <c r="F3304" s="29" t="s">
        <v>372</v>
      </c>
      <c r="H3304" t="s">
        <v>1051</v>
      </c>
      <c r="J3304" t="s">
        <v>2732</v>
      </c>
      <c r="K3304" t="s">
        <v>337</v>
      </c>
      <c r="L3304" t="s">
        <v>1090</v>
      </c>
    </row>
    <row r="3305" spans="1:12">
      <c r="A3305" t="s">
        <v>2729</v>
      </c>
      <c r="B3305" t="s">
        <v>2730</v>
      </c>
      <c r="C3305" t="s">
        <v>2934</v>
      </c>
      <c r="D3305" s="29">
        <v>2700100081799</v>
      </c>
      <c r="E3305" s="29" t="s">
        <v>371</v>
      </c>
      <c r="F3305" s="29" t="s">
        <v>372</v>
      </c>
      <c r="H3305" t="s">
        <v>1051</v>
      </c>
      <c r="J3305" t="s">
        <v>2732</v>
      </c>
      <c r="K3305" t="s">
        <v>337</v>
      </c>
      <c r="L3305" t="s">
        <v>327</v>
      </c>
    </row>
    <row r="3306" spans="1:12">
      <c r="A3306" t="s">
        <v>2729</v>
      </c>
      <c r="B3306" t="s">
        <v>2730</v>
      </c>
      <c r="C3306" t="s">
        <v>2935</v>
      </c>
      <c r="D3306" s="29">
        <v>2700100091346</v>
      </c>
      <c r="E3306" s="29" t="s">
        <v>371</v>
      </c>
      <c r="F3306" s="29" t="s">
        <v>372</v>
      </c>
      <c r="H3306" t="s">
        <v>1051</v>
      </c>
      <c r="J3306" t="s">
        <v>2732</v>
      </c>
      <c r="K3306" t="s">
        <v>337</v>
      </c>
      <c r="L3306" t="s">
        <v>327</v>
      </c>
    </row>
    <row r="3307" spans="1:12">
      <c r="A3307" t="s">
        <v>2729</v>
      </c>
      <c r="B3307" t="s">
        <v>2730</v>
      </c>
      <c r="C3307" t="s">
        <v>2936</v>
      </c>
      <c r="D3307" s="29">
        <v>2700100092318</v>
      </c>
      <c r="E3307" s="29" t="s">
        <v>371</v>
      </c>
      <c r="F3307" s="29" t="s">
        <v>372</v>
      </c>
      <c r="H3307" t="s">
        <v>1051</v>
      </c>
      <c r="J3307" t="s">
        <v>2732</v>
      </c>
      <c r="K3307" t="s">
        <v>337</v>
      </c>
      <c r="L3307" t="s">
        <v>327</v>
      </c>
    </row>
    <row r="3308" spans="1:12">
      <c r="A3308" t="s">
        <v>2729</v>
      </c>
      <c r="B3308" t="s">
        <v>2730</v>
      </c>
      <c r="C3308" t="s">
        <v>2937</v>
      </c>
      <c r="D3308" s="29">
        <v>2700100053471</v>
      </c>
      <c r="E3308" s="29" t="s">
        <v>371</v>
      </c>
      <c r="F3308" s="29" t="s">
        <v>372</v>
      </c>
      <c r="H3308" t="s">
        <v>1051</v>
      </c>
      <c r="J3308" t="s">
        <v>2732</v>
      </c>
      <c r="K3308" t="s">
        <v>337</v>
      </c>
      <c r="L3308" t="s">
        <v>327</v>
      </c>
    </row>
    <row r="3309" spans="1:12">
      <c r="A3309" t="s">
        <v>2729</v>
      </c>
      <c r="B3309" t="s">
        <v>2730</v>
      </c>
      <c r="C3309" t="s">
        <v>2938</v>
      </c>
      <c r="D3309" s="29">
        <v>2700100066601</v>
      </c>
      <c r="E3309" s="29" t="s">
        <v>371</v>
      </c>
      <c r="F3309" s="29" t="s">
        <v>372</v>
      </c>
      <c r="H3309" t="s">
        <v>1051</v>
      </c>
      <c r="J3309" t="s">
        <v>2732</v>
      </c>
      <c r="K3309" t="s">
        <v>337</v>
      </c>
      <c r="L3309" t="s">
        <v>327</v>
      </c>
    </row>
    <row r="3310" spans="1:12">
      <c r="A3310" t="s">
        <v>2729</v>
      </c>
      <c r="B3310" t="s">
        <v>2730</v>
      </c>
      <c r="C3310" t="s">
        <v>2939</v>
      </c>
      <c r="D3310" s="29">
        <v>2700100070299</v>
      </c>
      <c r="E3310" s="29" t="s">
        <v>371</v>
      </c>
      <c r="F3310" s="29" t="s">
        <v>372</v>
      </c>
      <c r="H3310" t="s">
        <v>1051</v>
      </c>
      <c r="J3310" t="s">
        <v>2732</v>
      </c>
      <c r="K3310" t="s">
        <v>337</v>
      </c>
      <c r="L3310" t="s">
        <v>1090</v>
      </c>
    </row>
    <row r="3311" spans="1:12">
      <c r="A3311" t="s">
        <v>2729</v>
      </c>
      <c r="B3311" t="s">
        <v>2730</v>
      </c>
      <c r="C3311" t="s">
        <v>2940</v>
      </c>
      <c r="D3311" s="29">
        <v>2700100083815</v>
      </c>
      <c r="E3311" s="29" t="s">
        <v>371</v>
      </c>
      <c r="F3311" s="29" t="s">
        <v>372</v>
      </c>
      <c r="H3311" t="s">
        <v>323</v>
      </c>
      <c r="J3311" t="s">
        <v>2732</v>
      </c>
      <c r="K3311" t="s">
        <v>337</v>
      </c>
      <c r="L3311" t="s">
        <v>1090</v>
      </c>
    </row>
    <row r="3312" spans="1:12">
      <c r="A3312" t="s">
        <v>2729</v>
      </c>
      <c r="B3312" t="s">
        <v>2730</v>
      </c>
      <c r="C3312" t="s">
        <v>2941</v>
      </c>
      <c r="D3312" s="29">
        <v>2700100083842</v>
      </c>
      <c r="E3312" s="29" t="s">
        <v>371</v>
      </c>
      <c r="F3312" s="29" t="s">
        <v>372</v>
      </c>
      <c r="H3312" t="s">
        <v>1051</v>
      </c>
      <c r="J3312" t="s">
        <v>2732</v>
      </c>
      <c r="K3312" t="s">
        <v>337</v>
      </c>
      <c r="L3312" t="s">
        <v>1090</v>
      </c>
    </row>
    <row r="3313" spans="1:12">
      <c r="A3313" t="s">
        <v>2729</v>
      </c>
      <c r="B3313" t="s">
        <v>2730</v>
      </c>
      <c r="C3313" t="s">
        <v>2942</v>
      </c>
      <c r="D3313" s="29">
        <v>2700100083855</v>
      </c>
      <c r="E3313" s="29" t="s">
        <v>371</v>
      </c>
      <c r="F3313" s="29" t="s">
        <v>372</v>
      </c>
      <c r="H3313" t="s">
        <v>1051</v>
      </c>
      <c r="J3313" t="s">
        <v>2732</v>
      </c>
      <c r="K3313" t="s">
        <v>337</v>
      </c>
      <c r="L3313" t="s">
        <v>1090</v>
      </c>
    </row>
    <row r="3314" spans="1:12">
      <c r="A3314" t="s">
        <v>2729</v>
      </c>
      <c r="B3314" t="s">
        <v>2730</v>
      </c>
      <c r="C3314" t="s">
        <v>2943</v>
      </c>
      <c r="D3314" s="29">
        <v>2700100083909</v>
      </c>
      <c r="E3314" s="29" t="s">
        <v>371</v>
      </c>
      <c r="F3314" s="29" t="s">
        <v>372</v>
      </c>
      <c r="H3314" t="s">
        <v>323</v>
      </c>
      <c r="J3314" t="s">
        <v>2732</v>
      </c>
      <c r="K3314" t="s">
        <v>337</v>
      </c>
      <c r="L3314" t="s">
        <v>1090</v>
      </c>
    </row>
    <row r="3315" spans="1:12">
      <c r="A3315" t="s">
        <v>2729</v>
      </c>
      <c r="B3315" t="s">
        <v>2730</v>
      </c>
      <c r="C3315" t="s">
        <v>2944</v>
      </c>
      <c r="D3315" s="29">
        <v>2700100066647</v>
      </c>
      <c r="E3315" s="29" t="s">
        <v>987</v>
      </c>
      <c r="F3315" s="29" t="s">
        <v>364</v>
      </c>
      <c r="H3315" t="s">
        <v>1051</v>
      </c>
      <c r="J3315" t="s">
        <v>2732</v>
      </c>
      <c r="K3315" t="s">
        <v>394</v>
      </c>
      <c r="L3315" t="s">
        <v>1090</v>
      </c>
    </row>
    <row r="3316" spans="1:12">
      <c r="A3316" t="s">
        <v>2729</v>
      </c>
      <c r="B3316" t="s">
        <v>2730</v>
      </c>
      <c r="C3316" t="s">
        <v>2945</v>
      </c>
      <c r="D3316" s="29">
        <v>2700100086886</v>
      </c>
      <c r="E3316" s="29" t="s">
        <v>368</v>
      </c>
      <c r="F3316" s="29" t="s">
        <v>364</v>
      </c>
      <c r="H3316" t="s">
        <v>323</v>
      </c>
      <c r="J3316" t="s">
        <v>2732</v>
      </c>
      <c r="K3316" t="s">
        <v>394</v>
      </c>
      <c r="L3316" t="s">
        <v>327</v>
      </c>
    </row>
    <row r="3317" spans="1:12">
      <c r="A3317" t="s">
        <v>2729</v>
      </c>
      <c r="B3317" t="s">
        <v>2730</v>
      </c>
      <c r="C3317" t="s">
        <v>2946</v>
      </c>
      <c r="D3317" s="29">
        <v>2700100092941</v>
      </c>
      <c r="E3317" s="29" t="s">
        <v>371</v>
      </c>
      <c r="F3317" s="29" t="s">
        <v>372</v>
      </c>
      <c r="H3317" t="s">
        <v>323</v>
      </c>
      <c r="J3317" t="s">
        <v>2732</v>
      </c>
      <c r="K3317" t="s">
        <v>337</v>
      </c>
      <c r="L3317" t="s">
        <v>1090</v>
      </c>
    </row>
    <row r="3318" spans="1:12">
      <c r="A3318" t="s">
        <v>2729</v>
      </c>
      <c r="B3318" t="s">
        <v>2730</v>
      </c>
      <c r="C3318" t="s">
        <v>2947</v>
      </c>
      <c r="D3318" s="29">
        <v>2700100093489</v>
      </c>
      <c r="E3318" s="29" t="s">
        <v>371</v>
      </c>
      <c r="F3318" s="29" t="s">
        <v>372</v>
      </c>
      <c r="H3318" t="s">
        <v>1051</v>
      </c>
      <c r="J3318" t="s">
        <v>2732</v>
      </c>
      <c r="K3318" t="s">
        <v>337</v>
      </c>
      <c r="L3318" t="s">
        <v>1090</v>
      </c>
    </row>
    <row r="3319" spans="1:12">
      <c r="A3319" t="s">
        <v>2729</v>
      </c>
      <c r="B3319" t="s">
        <v>2730</v>
      </c>
      <c r="C3319" t="s">
        <v>2948</v>
      </c>
      <c r="D3319" s="29">
        <v>2700100093535</v>
      </c>
      <c r="E3319" s="29" t="s">
        <v>371</v>
      </c>
      <c r="F3319" s="29" t="s">
        <v>372</v>
      </c>
      <c r="H3319" t="s">
        <v>1051</v>
      </c>
      <c r="J3319" t="s">
        <v>2732</v>
      </c>
      <c r="K3319" t="s">
        <v>337</v>
      </c>
      <c r="L3319" t="s">
        <v>1090</v>
      </c>
    </row>
    <row r="3320" spans="1:12">
      <c r="A3320" t="s">
        <v>2729</v>
      </c>
      <c r="B3320" t="s">
        <v>2730</v>
      </c>
      <c r="C3320" t="s">
        <v>2949</v>
      </c>
      <c r="D3320" s="29">
        <v>2700100093573</v>
      </c>
      <c r="E3320" s="29" t="s">
        <v>371</v>
      </c>
      <c r="F3320" s="29" t="s">
        <v>372</v>
      </c>
      <c r="H3320" t="s">
        <v>1051</v>
      </c>
      <c r="J3320" t="s">
        <v>2732</v>
      </c>
      <c r="K3320" t="s">
        <v>337</v>
      </c>
      <c r="L3320" t="s">
        <v>1090</v>
      </c>
    </row>
    <row r="3321" spans="1:12">
      <c r="A3321" t="s">
        <v>2729</v>
      </c>
      <c r="B3321" t="s">
        <v>2730</v>
      </c>
      <c r="C3321" t="s">
        <v>2950</v>
      </c>
      <c r="D3321" s="29">
        <v>2700100091326</v>
      </c>
      <c r="E3321" s="29" t="s">
        <v>371</v>
      </c>
      <c r="F3321" s="29" t="s">
        <v>372</v>
      </c>
      <c r="H3321" t="s">
        <v>1051</v>
      </c>
      <c r="J3321" t="s">
        <v>2732</v>
      </c>
      <c r="K3321" t="s">
        <v>337</v>
      </c>
      <c r="L3321" t="s">
        <v>327</v>
      </c>
    </row>
    <row r="3322" spans="1:12">
      <c r="A3322" t="s">
        <v>2729</v>
      </c>
      <c r="B3322" t="s">
        <v>2730</v>
      </c>
      <c r="C3322" t="s">
        <v>2951</v>
      </c>
      <c r="D3322" s="29">
        <v>2700100091335</v>
      </c>
      <c r="E3322" s="29" t="s">
        <v>371</v>
      </c>
      <c r="F3322" s="29" t="s">
        <v>372</v>
      </c>
      <c r="H3322" t="s">
        <v>1051</v>
      </c>
      <c r="J3322" t="s">
        <v>2732</v>
      </c>
      <c r="K3322" t="s">
        <v>337</v>
      </c>
      <c r="L3322" t="s">
        <v>327</v>
      </c>
    </row>
    <row r="3323" spans="1:12">
      <c r="A3323" t="s">
        <v>2729</v>
      </c>
      <c r="B3323" t="s">
        <v>2730</v>
      </c>
      <c r="C3323" t="s">
        <v>2952</v>
      </c>
      <c r="D3323" s="29">
        <v>2700100070364</v>
      </c>
      <c r="E3323" s="29" t="s">
        <v>371</v>
      </c>
      <c r="F3323" s="29" t="s">
        <v>372</v>
      </c>
      <c r="H3323" t="s">
        <v>1051</v>
      </c>
      <c r="J3323" t="s">
        <v>2732</v>
      </c>
      <c r="K3323" t="s">
        <v>337</v>
      </c>
      <c r="L3323" t="s">
        <v>1090</v>
      </c>
    </row>
    <row r="3324" spans="1:12">
      <c r="A3324" t="s">
        <v>2729</v>
      </c>
      <c r="B3324" t="s">
        <v>2730</v>
      </c>
      <c r="C3324" t="s">
        <v>2953</v>
      </c>
      <c r="D3324" s="29">
        <v>2700100070405</v>
      </c>
      <c r="E3324" s="29" t="s">
        <v>371</v>
      </c>
      <c r="F3324" s="29" t="s">
        <v>372</v>
      </c>
      <c r="H3324" t="s">
        <v>1051</v>
      </c>
      <c r="J3324" t="s">
        <v>2732</v>
      </c>
      <c r="K3324" t="s">
        <v>337</v>
      </c>
      <c r="L3324" t="s">
        <v>1090</v>
      </c>
    </row>
    <row r="3325" spans="1:12">
      <c r="A3325" t="s">
        <v>2729</v>
      </c>
      <c r="B3325" t="s">
        <v>2730</v>
      </c>
      <c r="C3325" t="s">
        <v>2954</v>
      </c>
      <c r="D3325" s="29">
        <v>2700100070980</v>
      </c>
      <c r="E3325" s="29" t="s">
        <v>371</v>
      </c>
      <c r="F3325" s="29" t="s">
        <v>372</v>
      </c>
      <c r="H3325" t="s">
        <v>323</v>
      </c>
      <c r="J3325" t="s">
        <v>2732</v>
      </c>
      <c r="K3325" t="s">
        <v>337</v>
      </c>
      <c r="L3325" t="s">
        <v>1090</v>
      </c>
    </row>
    <row r="3326" spans="1:12">
      <c r="A3326" t="s">
        <v>2729</v>
      </c>
      <c r="B3326" t="s">
        <v>2730</v>
      </c>
      <c r="C3326" t="s">
        <v>2955</v>
      </c>
      <c r="D3326" s="29">
        <v>2700100081877</v>
      </c>
      <c r="E3326" s="29" t="s">
        <v>371</v>
      </c>
      <c r="F3326" s="29" t="s">
        <v>372</v>
      </c>
      <c r="H3326" t="s">
        <v>323</v>
      </c>
      <c r="J3326" t="s">
        <v>2732</v>
      </c>
      <c r="K3326" t="s">
        <v>337</v>
      </c>
      <c r="L3326" t="s">
        <v>1090</v>
      </c>
    </row>
    <row r="3327" spans="1:12">
      <c r="A3327" t="s">
        <v>2729</v>
      </c>
      <c r="B3327" t="s">
        <v>2730</v>
      </c>
      <c r="C3327" t="s">
        <v>2956</v>
      </c>
      <c r="D3327" s="29">
        <v>2700100083873</v>
      </c>
      <c r="E3327" s="29" t="s">
        <v>371</v>
      </c>
      <c r="F3327" s="29" t="s">
        <v>372</v>
      </c>
      <c r="H3327" t="s">
        <v>323</v>
      </c>
      <c r="J3327" t="s">
        <v>2732</v>
      </c>
      <c r="K3327" t="s">
        <v>337</v>
      </c>
      <c r="L3327" t="s">
        <v>1090</v>
      </c>
    </row>
    <row r="3328" spans="1:12">
      <c r="A3328" t="s">
        <v>2729</v>
      </c>
      <c r="B3328" t="s">
        <v>2730</v>
      </c>
      <c r="C3328" t="s">
        <v>2957</v>
      </c>
      <c r="D3328" s="29">
        <v>2700100130179</v>
      </c>
      <c r="E3328" s="29" t="s">
        <v>368</v>
      </c>
      <c r="F3328" s="29" t="s">
        <v>364</v>
      </c>
      <c r="H3328" t="s">
        <v>1051</v>
      </c>
      <c r="J3328" t="s">
        <v>2732</v>
      </c>
      <c r="K3328" t="s">
        <v>394</v>
      </c>
      <c r="L3328" t="s">
        <v>1090</v>
      </c>
    </row>
    <row r="3329" spans="1:12">
      <c r="A3329" t="s">
        <v>2729</v>
      </c>
      <c r="B3329" t="s">
        <v>2730</v>
      </c>
      <c r="C3329" t="s">
        <v>2958</v>
      </c>
      <c r="D3329" s="29">
        <v>2700100070547</v>
      </c>
      <c r="E3329" s="29" t="s">
        <v>371</v>
      </c>
      <c r="F3329" s="29" t="s">
        <v>372</v>
      </c>
      <c r="H3329" t="s">
        <v>1051</v>
      </c>
      <c r="J3329" t="s">
        <v>2732</v>
      </c>
      <c r="K3329" t="s">
        <v>337</v>
      </c>
      <c r="L3329" t="s">
        <v>1090</v>
      </c>
    </row>
    <row r="3330" spans="1:12">
      <c r="A3330" t="s">
        <v>2729</v>
      </c>
      <c r="B3330" t="s">
        <v>2730</v>
      </c>
      <c r="C3330" t="s">
        <v>2959</v>
      </c>
      <c r="D3330" s="29">
        <v>2700100070824</v>
      </c>
      <c r="E3330" s="29" t="s">
        <v>371</v>
      </c>
      <c r="F3330" s="29" t="s">
        <v>372</v>
      </c>
      <c r="H3330" t="s">
        <v>1051</v>
      </c>
      <c r="J3330" t="s">
        <v>2732</v>
      </c>
      <c r="K3330" t="s">
        <v>337</v>
      </c>
      <c r="L3330" t="s">
        <v>1090</v>
      </c>
    </row>
    <row r="3331" spans="1:12">
      <c r="A3331" t="s">
        <v>2729</v>
      </c>
      <c r="B3331" t="s">
        <v>2730</v>
      </c>
      <c r="C3331" t="s">
        <v>2960</v>
      </c>
      <c r="D3331" s="29">
        <v>2700100070924</v>
      </c>
      <c r="E3331" s="29" t="s">
        <v>371</v>
      </c>
      <c r="F3331" s="29" t="s">
        <v>372</v>
      </c>
      <c r="H3331" t="s">
        <v>1051</v>
      </c>
      <c r="J3331" t="s">
        <v>2732</v>
      </c>
      <c r="K3331" t="s">
        <v>337</v>
      </c>
      <c r="L3331" t="s">
        <v>1090</v>
      </c>
    </row>
    <row r="3332" spans="1:12">
      <c r="A3332" t="s">
        <v>2729</v>
      </c>
      <c r="B3332" t="s">
        <v>2730</v>
      </c>
      <c r="C3332" t="s">
        <v>2961</v>
      </c>
      <c r="D3332" s="29">
        <v>2700100070939</v>
      </c>
      <c r="E3332" s="29" t="s">
        <v>371</v>
      </c>
      <c r="F3332" s="29" t="s">
        <v>372</v>
      </c>
      <c r="H3332" t="s">
        <v>1051</v>
      </c>
      <c r="J3332" t="s">
        <v>2732</v>
      </c>
      <c r="K3332" t="s">
        <v>337</v>
      </c>
      <c r="L3332" t="s">
        <v>1090</v>
      </c>
    </row>
    <row r="3333" spans="1:12">
      <c r="A3333" t="s">
        <v>2729</v>
      </c>
      <c r="B3333" t="s">
        <v>2730</v>
      </c>
      <c r="C3333" t="s">
        <v>2962</v>
      </c>
      <c r="D3333" s="29">
        <v>2700100086877</v>
      </c>
      <c r="E3333" s="29" t="s">
        <v>2748</v>
      </c>
      <c r="F3333" s="29" t="s">
        <v>364</v>
      </c>
      <c r="H3333" t="s">
        <v>1051</v>
      </c>
      <c r="J3333" t="s">
        <v>2732</v>
      </c>
      <c r="K3333" t="s">
        <v>394</v>
      </c>
      <c r="L3333" t="s">
        <v>1090</v>
      </c>
    </row>
    <row r="3334" spans="1:12">
      <c r="A3334" t="s">
        <v>2729</v>
      </c>
      <c r="B3334" t="s">
        <v>2730</v>
      </c>
      <c r="C3334" t="s">
        <v>2963</v>
      </c>
      <c r="D3334" s="29">
        <v>2700100092937</v>
      </c>
      <c r="E3334" s="29" t="s">
        <v>371</v>
      </c>
      <c r="F3334" s="29" t="s">
        <v>372</v>
      </c>
      <c r="H3334" t="s">
        <v>1051</v>
      </c>
      <c r="J3334" t="s">
        <v>2732</v>
      </c>
      <c r="K3334" t="s">
        <v>337</v>
      </c>
      <c r="L3334" t="s">
        <v>1090</v>
      </c>
    </row>
    <row r="3335" spans="1:12">
      <c r="A3335" t="s">
        <v>2729</v>
      </c>
      <c r="B3335" t="s">
        <v>2730</v>
      </c>
      <c r="C3335" t="s">
        <v>2964</v>
      </c>
      <c r="D3335" s="29">
        <v>2700100093484</v>
      </c>
      <c r="E3335" s="29" t="s">
        <v>371</v>
      </c>
      <c r="F3335" s="29" t="s">
        <v>372</v>
      </c>
      <c r="H3335" t="s">
        <v>323</v>
      </c>
      <c r="J3335" t="s">
        <v>2732</v>
      </c>
      <c r="K3335" t="s">
        <v>337</v>
      </c>
      <c r="L3335" t="s">
        <v>1090</v>
      </c>
    </row>
    <row r="3336" spans="1:12">
      <c r="A3336" t="s">
        <v>2729</v>
      </c>
      <c r="B3336" t="s">
        <v>2730</v>
      </c>
      <c r="C3336" t="s">
        <v>2965</v>
      </c>
      <c r="D3336" s="29">
        <v>2700100093487</v>
      </c>
      <c r="E3336" s="29" t="s">
        <v>371</v>
      </c>
      <c r="F3336" s="29" t="s">
        <v>372</v>
      </c>
      <c r="H3336" t="s">
        <v>1051</v>
      </c>
      <c r="J3336" t="s">
        <v>2732</v>
      </c>
      <c r="K3336" t="s">
        <v>337</v>
      </c>
      <c r="L3336" t="s">
        <v>1090</v>
      </c>
    </row>
    <row r="3337" spans="1:12">
      <c r="A3337" t="s">
        <v>2729</v>
      </c>
      <c r="B3337" t="s">
        <v>2730</v>
      </c>
      <c r="C3337" t="s">
        <v>2966</v>
      </c>
      <c r="D3337" s="29">
        <v>2700100093550</v>
      </c>
      <c r="E3337" s="29" t="s">
        <v>371</v>
      </c>
      <c r="F3337" s="29" t="s">
        <v>372</v>
      </c>
      <c r="H3337" t="s">
        <v>1051</v>
      </c>
      <c r="J3337" t="s">
        <v>2732</v>
      </c>
      <c r="K3337" t="s">
        <v>337</v>
      </c>
      <c r="L3337" t="s">
        <v>1090</v>
      </c>
    </row>
    <row r="3338" spans="1:12">
      <c r="A3338" t="s">
        <v>2729</v>
      </c>
      <c r="B3338" t="s">
        <v>2730</v>
      </c>
      <c r="C3338" t="s">
        <v>2967</v>
      </c>
      <c r="D3338" s="29">
        <v>270011126506</v>
      </c>
      <c r="E3338" s="29" t="s">
        <v>371</v>
      </c>
      <c r="F3338" s="29" t="s">
        <v>372</v>
      </c>
      <c r="H3338" t="s">
        <v>1051</v>
      </c>
      <c r="J3338" t="s">
        <v>2732</v>
      </c>
      <c r="K3338" t="s">
        <v>337</v>
      </c>
      <c r="L3338" t="s">
        <v>1090</v>
      </c>
    </row>
    <row r="3339" spans="1:12">
      <c r="A3339" t="s">
        <v>2729</v>
      </c>
      <c r="B3339" t="s">
        <v>2730</v>
      </c>
      <c r="C3339" t="s">
        <v>2968</v>
      </c>
      <c r="D3339" s="29">
        <v>2700100084191</v>
      </c>
      <c r="E3339" s="29" t="s">
        <v>529</v>
      </c>
      <c r="F3339" s="29" t="s">
        <v>372</v>
      </c>
      <c r="H3339" t="s">
        <v>1051</v>
      </c>
      <c r="J3339" t="s">
        <v>2732</v>
      </c>
      <c r="K3339" t="s">
        <v>337</v>
      </c>
      <c r="L3339" t="s">
        <v>327</v>
      </c>
    </row>
    <row r="3340" spans="1:12">
      <c r="A3340" t="s">
        <v>2729</v>
      </c>
      <c r="B3340" t="s">
        <v>2730</v>
      </c>
      <c r="C3340" t="s">
        <v>2969</v>
      </c>
      <c r="D3340" s="29">
        <v>2700100084786</v>
      </c>
      <c r="E3340" s="29" t="s">
        <v>529</v>
      </c>
      <c r="F3340" s="29" t="s">
        <v>372</v>
      </c>
      <c r="H3340" t="s">
        <v>1051</v>
      </c>
      <c r="J3340" t="s">
        <v>2732</v>
      </c>
      <c r="K3340" t="s">
        <v>337</v>
      </c>
      <c r="L3340" t="s">
        <v>327</v>
      </c>
    </row>
    <row r="3341" spans="1:12">
      <c r="A3341" t="s">
        <v>2729</v>
      </c>
      <c r="B3341" t="s">
        <v>2730</v>
      </c>
      <c r="C3341" t="s">
        <v>2970</v>
      </c>
      <c r="D3341" s="29">
        <v>2700100084852</v>
      </c>
      <c r="E3341" s="29" t="s">
        <v>529</v>
      </c>
      <c r="F3341" s="29" t="s">
        <v>372</v>
      </c>
      <c r="H3341" t="s">
        <v>1051</v>
      </c>
      <c r="J3341" t="s">
        <v>2732</v>
      </c>
      <c r="K3341" t="s">
        <v>337</v>
      </c>
      <c r="L3341" t="s">
        <v>327</v>
      </c>
    </row>
    <row r="3342" spans="1:12">
      <c r="A3342" t="s">
        <v>2729</v>
      </c>
      <c r="B3342" t="s">
        <v>2730</v>
      </c>
      <c r="C3342" t="s">
        <v>2971</v>
      </c>
      <c r="D3342" s="29">
        <v>2700100115419</v>
      </c>
      <c r="E3342" s="29" t="s">
        <v>529</v>
      </c>
      <c r="F3342" s="29" t="s">
        <v>372</v>
      </c>
      <c r="H3342" t="s">
        <v>1051</v>
      </c>
      <c r="J3342" t="s">
        <v>2732</v>
      </c>
      <c r="K3342" t="s">
        <v>337</v>
      </c>
      <c r="L3342" t="s">
        <v>327</v>
      </c>
    </row>
    <row r="3343" spans="1:12">
      <c r="A3343" t="s">
        <v>2729</v>
      </c>
      <c r="B3343" t="s">
        <v>2730</v>
      </c>
      <c r="C3343" t="s">
        <v>2972</v>
      </c>
      <c r="D3343" s="29">
        <v>2700100066709</v>
      </c>
      <c r="E3343" s="29" t="s">
        <v>371</v>
      </c>
      <c r="F3343" s="29" t="s">
        <v>372</v>
      </c>
      <c r="H3343" t="s">
        <v>1051</v>
      </c>
      <c r="J3343" t="s">
        <v>2732</v>
      </c>
      <c r="K3343" t="s">
        <v>337</v>
      </c>
      <c r="L3343" t="s">
        <v>327</v>
      </c>
    </row>
    <row r="3344" spans="1:12">
      <c r="A3344" t="s">
        <v>2729</v>
      </c>
      <c r="B3344" t="s">
        <v>2730</v>
      </c>
      <c r="C3344" t="s">
        <v>2973</v>
      </c>
      <c r="D3344" s="29">
        <v>2700100070284</v>
      </c>
      <c r="E3344" s="29" t="s">
        <v>371</v>
      </c>
      <c r="F3344" s="29" t="s">
        <v>372</v>
      </c>
      <c r="H3344" t="s">
        <v>1051</v>
      </c>
      <c r="J3344" t="s">
        <v>2732</v>
      </c>
      <c r="K3344" t="s">
        <v>337</v>
      </c>
      <c r="L3344" t="s">
        <v>327</v>
      </c>
    </row>
    <row r="3345" spans="1:12">
      <c r="A3345" t="s">
        <v>2729</v>
      </c>
      <c r="B3345" t="s">
        <v>2730</v>
      </c>
      <c r="C3345" t="s">
        <v>2974</v>
      </c>
      <c r="D3345" s="29">
        <v>2700100070956</v>
      </c>
      <c r="E3345" s="29" t="s">
        <v>371</v>
      </c>
      <c r="F3345" s="29" t="s">
        <v>372</v>
      </c>
      <c r="H3345" t="s">
        <v>1051</v>
      </c>
      <c r="J3345" t="s">
        <v>2732</v>
      </c>
      <c r="K3345" t="s">
        <v>337</v>
      </c>
      <c r="L3345" t="s">
        <v>327</v>
      </c>
    </row>
    <row r="3346" spans="1:12">
      <c r="A3346" t="s">
        <v>2729</v>
      </c>
      <c r="B3346" t="s">
        <v>2730</v>
      </c>
      <c r="C3346" t="s">
        <v>2975</v>
      </c>
      <c r="D3346" s="29">
        <v>2700100071040</v>
      </c>
      <c r="E3346" s="29" t="s">
        <v>371</v>
      </c>
      <c r="F3346" s="29" t="s">
        <v>372</v>
      </c>
      <c r="H3346" t="s">
        <v>1051</v>
      </c>
      <c r="J3346" t="s">
        <v>2732</v>
      </c>
      <c r="K3346" t="s">
        <v>337</v>
      </c>
      <c r="L3346" t="s">
        <v>327</v>
      </c>
    </row>
    <row r="3347" spans="1:12">
      <c r="A3347" t="s">
        <v>2729</v>
      </c>
      <c r="B3347" t="s">
        <v>2730</v>
      </c>
      <c r="C3347" t="s">
        <v>2976</v>
      </c>
      <c r="D3347" s="29">
        <v>2700100072506</v>
      </c>
      <c r="E3347" s="29" t="s">
        <v>529</v>
      </c>
      <c r="F3347" s="29" t="s">
        <v>372</v>
      </c>
      <c r="H3347" t="s">
        <v>1051</v>
      </c>
      <c r="J3347" t="s">
        <v>2732</v>
      </c>
      <c r="K3347" t="s">
        <v>337</v>
      </c>
      <c r="L3347" t="s">
        <v>327</v>
      </c>
    </row>
    <row r="3348" spans="1:12">
      <c r="A3348" t="s">
        <v>2729</v>
      </c>
      <c r="B3348" t="s">
        <v>2730</v>
      </c>
      <c r="C3348" t="s">
        <v>2977</v>
      </c>
      <c r="D3348" s="29">
        <v>2700100081689</v>
      </c>
      <c r="E3348" s="29" t="s">
        <v>371</v>
      </c>
      <c r="F3348" s="29" t="s">
        <v>372</v>
      </c>
      <c r="H3348" t="s">
        <v>323</v>
      </c>
      <c r="J3348" t="s">
        <v>2732</v>
      </c>
      <c r="K3348" t="s">
        <v>337</v>
      </c>
      <c r="L3348" t="s">
        <v>1090</v>
      </c>
    </row>
    <row r="3349" spans="1:12">
      <c r="A3349" t="s">
        <v>2729</v>
      </c>
      <c r="B3349" t="s">
        <v>2730</v>
      </c>
      <c r="C3349" t="s">
        <v>2978</v>
      </c>
      <c r="D3349" s="29">
        <v>2700100081697</v>
      </c>
      <c r="E3349" s="29" t="s">
        <v>371</v>
      </c>
      <c r="F3349" s="29" t="s">
        <v>372</v>
      </c>
      <c r="H3349" t="s">
        <v>323</v>
      </c>
      <c r="J3349" t="s">
        <v>2732</v>
      </c>
      <c r="K3349" t="s">
        <v>337</v>
      </c>
      <c r="L3349" t="s">
        <v>1090</v>
      </c>
    </row>
    <row r="3350" spans="1:12">
      <c r="A3350" t="s">
        <v>2729</v>
      </c>
      <c r="B3350" t="s">
        <v>2730</v>
      </c>
      <c r="C3350" t="s">
        <v>2979</v>
      </c>
      <c r="D3350" s="29">
        <v>2700100093500</v>
      </c>
      <c r="E3350" s="29" t="s">
        <v>371</v>
      </c>
      <c r="F3350" s="29" t="s">
        <v>372</v>
      </c>
      <c r="H3350" t="s">
        <v>323</v>
      </c>
      <c r="J3350" t="s">
        <v>2732</v>
      </c>
      <c r="K3350" t="s">
        <v>337</v>
      </c>
      <c r="L3350" t="s">
        <v>1090</v>
      </c>
    </row>
    <row r="3351" spans="1:12">
      <c r="A3351" t="s">
        <v>2729</v>
      </c>
      <c r="B3351" t="s">
        <v>2730</v>
      </c>
      <c r="C3351" t="s">
        <v>2980</v>
      </c>
      <c r="D3351" s="29">
        <v>2700100093570</v>
      </c>
      <c r="E3351" s="29" t="s">
        <v>371</v>
      </c>
      <c r="F3351" s="29" t="s">
        <v>372</v>
      </c>
      <c r="H3351" t="s">
        <v>323</v>
      </c>
      <c r="J3351" t="s">
        <v>2732</v>
      </c>
      <c r="K3351" t="s">
        <v>337</v>
      </c>
      <c r="L3351" t="s">
        <v>1090</v>
      </c>
    </row>
    <row r="3352" spans="1:12">
      <c r="A3352" t="s">
        <v>2729</v>
      </c>
      <c r="B3352" t="s">
        <v>2730</v>
      </c>
      <c r="C3352" t="s">
        <v>2981</v>
      </c>
      <c r="D3352" s="29">
        <v>2700100070421</v>
      </c>
      <c r="E3352" s="29" t="s">
        <v>371</v>
      </c>
      <c r="F3352" s="29" t="s">
        <v>372</v>
      </c>
      <c r="H3352" t="s">
        <v>323</v>
      </c>
      <c r="J3352" t="s">
        <v>2732</v>
      </c>
      <c r="K3352" t="s">
        <v>337</v>
      </c>
      <c r="L3352" t="s">
        <v>1090</v>
      </c>
    </row>
    <row r="3353" spans="1:12">
      <c r="A3353" t="s">
        <v>2729</v>
      </c>
      <c r="B3353" t="s">
        <v>2730</v>
      </c>
      <c r="C3353" t="s">
        <v>2982</v>
      </c>
      <c r="D3353" s="29">
        <v>2700100070999</v>
      </c>
      <c r="E3353" s="29" t="s">
        <v>371</v>
      </c>
      <c r="F3353" s="29" t="s">
        <v>372</v>
      </c>
      <c r="H3353" t="s">
        <v>1051</v>
      </c>
      <c r="J3353" t="s">
        <v>2732</v>
      </c>
      <c r="K3353" t="s">
        <v>337</v>
      </c>
      <c r="L3353" t="s">
        <v>1090</v>
      </c>
    </row>
    <row r="3354" spans="1:12">
      <c r="A3354" t="s">
        <v>2729</v>
      </c>
      <c r="B3354" t="s">
        <v>2730</v>
      </c>
      <c r="C3354" t="s">
        <v>2983</v>
      </c>
      <c r="D3354" s="29">
        <v>2700100083758</v>
      </c>
      <c r="E3354" s="29" t="s">
        <v>371</v>
      </c>
      <c r="F3354" s="29" t="s">
        <v>372</v>
      </c>
      <c r="H3354" t="s">
        <v>1051</v>
      </c>
      <c r="J3354" t="s">
        <v>2732</v>
      </c>
      <c r="K3354" t="s">
        <v>337</v>
      </c>
      <c r="L3354" t="s">
        <v>1090</v>
      </c>
    </row>
    <row r="3355" spans="1:12">
      <c r="A3355" t="s">
        <v>2729</v>
      </c>
      <c r="B3355" t="s">
        <v>2730</v>
      </c>
      <c r="C3355" t="s">
        <v>2984</v>
      </c>
      <c r="D3355" s="29">
        <v>2700100083770</v>
      </c>
      <c r="E3355" s="29" t="s">
        <v>371</v>
      </c>
      <c r="F3355" s="29" t="s">
        <v>372</v>
      </c>
      <c r="H3355" t="s">
        <v>1051</v>
      </c>
      <c r="J3355" t="s">
        <v>2732</v>
      </c>
      <c r="K3355" t="s">
        <v>337</v>
      </c>
      <c r="L3355" t="s">
        <v>1090</v>
      </c>
    </row>
    <row r="3356" spans="1:12">
      <c r="A3356" t="s">
        <v>2729</v>
      </c>
      <c r="B3356" t="s">
        <v>2730</v>
      </c>
      <c r="C3356" t="s">
        <v>818</v>
      </c>
      <c r="D3356" s="29">
        <v>2700100083821</v>
      </c>
      <c r="E3356" s="29" t="s">
        <v>371</v>
      </c>
      <c r="F3356" s="29" t="s">
        <v>372</v>
      </c>
      <c r="H3356" t="s">
        <v>1051</v>
      </c>
      <c r="J3356" t="s">
        <v>2732</v>
      </c>
      <c r="K3356" t="s">
        <v>337</v>
      </c>
      <c r="L3356" t="s">
        <v>1090</v>
      </c>
    </row>
    <row r="3357" spans="1:12">
      <c r="A3357" t="s">
        <v>2729</v>
      </c>
      <c r="B3357" t="s">
        <v>2730</v>
      </c>
      <c r="C3357" t="s">
        <v>2985</v>
      </c>
      <c r="D3357" s="29">
        <v>2700100066653</v>
      </c>
      <c r="E3357" s="29" t="s">
        <v>371</v>
      </c>
      <c r="F3357" s="29" t="s">
        <v>372</v>
      </c>
      <c r="H3357" t="s">
        <v>1051</v>
      </c>
      <c r="J3357" t="s">
        <v>2732</v>
      </c>
      <c r="K3357" t="s">
        <v>337</v>
      </c>
      <c r="L3357" t="s">
        <v>1090</v>
      </c>
    </row>
    <row r="3358" spans="1:12">
      <c r="A3358" t="s">
        <v>2729</v>
      </c>
      <c r="B3358" t="s">
        <v>2730</v>
      </c>
      <c r="C3358" t="s">
        <v>2986</v>
      </c>
      <c r="D3358" s="29">
        <v>2700100076935</v>
      </c>
      <c r="E3358" s="29" t="s">
        <v>987</v>
      </c>
      <c r="F3358" s="29" t="s">
        <v>364</v>
      </c>
      <c r="H3358" t="s">
        <v>1051</v>
      </c>
      <c r="J3358" t="s">
        <v>2732</v>
      </c>
      <c r="K3358" t="s">
        <v>365</v>
      </c>
      <c r="L3358" t="s">
        <v>1090</v>
      </c>
    </row>
    <row r="3359" spans="1:12">
      <c r="A3359" t="s">
        <v>2729</v>
      </c>
      <c r="B3359" t="s">
        <v>2730</v>
      </c>
      <c r="C3359" t="s">
        <v>2987</v>
      </c>
      <c r="D3359" s="29">
        <v>2700100081734</v>
      </c>
      <c r="E3359" s="29" t="s">
        <v>371</v>
      </c>
      <c r="F3359" s="29" t="s">
        <v>372</v>
      </c>
      <c r="H3359" t="s">
        <v>1051</v>
      </c>
      <c r="J3359" t="s">
        <v>2732</v>
      </c>
      <c r="K3359" t="s">
        <v>337</v>
      </c>
      <c r="L3359" t="s">
        <v>327</v>
      </c>
    </row>
    <row r="3360" spans="1:12">
      <c r="A3360" t="s">
        <v>2729</v>
      </c>
      <c r="B3360" t="s">
        <v>2730</v>
      </c>
      <c r="C3360" t="s">
        <v>2988</v>
      </c>
      <c r="D3360" s="29">
        <v>2700100081869</v>
      </c>
      <c r="E3360" s="29" t="s">
        <v>371</v>
      </c>
      <c r="F3360" s="29" t="s">
        <v>372</v>
      </c>
      <c r="H3360" t="s">
        <v>1051</v>
      </c>
      <c r="J3360" t="s">
        <v>2732</v>
      </c>
      <c r="K3360" t="s">
        <v>337</v>
      </c>
      <c r="L3360" t="s">
        <v>327</v>
      </c>
    </row>
    <row r="3361" spans="1:12">
      <c r="A3361" t="s">
        <v>2729</v>
      </c>
      <c r="B3361" t="s">
        <v>2730</v>
      </c>
      <c r="C3361" t="s">
        <v>2989</v>
      </c>
      <c r="D3361" s="29">
        <v>2700100091344</v>
      </c>
      <c r="E3361" s="29" t="s">
        <v>371</v>
      </c>
      <c r="F3361" s="29" t="s">
        <v>372</v>
      </c>
      <c r="H3361" t="s">
        <v>1051</v>
      </c>
      <c r="J3361" t="s">
        <v>2732</v>
      </c>
      <c r="K3361" t="s">
        <v>337</v>
      </c>
      <c r="L3361" t="s">
        <v>327</v>
      </c>
    </row>
    <row r="3362" spans="1:12">
      <c r="A3362" t="s">
        <v>2729</v>
      </c>
      <c r="B3362" t="s">
        <v>2730</v>
      </c>
      <c r="C3362" t="s">
        <v>2990</v>
      </c>
      <c r="D3362" s="29">
        <v>2700100092328</v>
      </c>
      <c r="E3362" s="29" t="s">
        <v>371</v>
      </c>
      <c r="F3362" s="29" t="s">
        <v>372</v>
      </c>
      <c r="H3362" t="s">
        <v>1051</v>
      </c>
      <c r="J3362" t="s">
        <v>2732</v>
      </c>
      <c r="K3362" t="s">
        <v>337</v>
      </c>
      <c r="L3362" t="s">
        <v>327</v>
      </c>
    </row>
    <row r="3363" spans="1:12">
      <c r="A3363" t="s">
        <v>2729</v>
      </c>
      <c r="B3363" t="s">
        <v>2730</v>
      </c>
      <c r="C3363" t="s">
        <v>2991</v>
      </c>
      <c r="D3363" s="29">
        <v>2700100092337</v>
      </c>
      <c r="E3363" s="29" t="s">
        <v>371</v>
      </c>
      <c r="F3363" s="29" t="s">
        <v>372</v>
      </c>
      <c r="H3363" t="s">
        <v>1051</v>
      </c>
      <c r="J3363" t="s">
        <v>2732</v>
      </c>
      <c r="K3363" t="s">
        <v>337</v>
      </c>
      <c r="L3363" t="s">
        <v>327</v>
      </c>
    </row>
    <row r="3364" spans="1:12">
      <c r="A3364" t="s">
        <v>2729</v>
      </c>
      <c r="B3364" t="s">
        <v>2730</v>
      </c>
      <c r="C3364" t="s">
        <v>2992</v>
      </c>
      <c r="D3364" s="29">
        <v>2700100092338</v>
      </c>
      <c r="E3364" s="29" t="s">
        <v>371</v>
      </c>
      <c r="F3364" s="29" t="s">
        <v>372</v>
      </c>
      <c r="H3364" t="s">
        <v>1051</v>
      </c>
      <c r="J3364" t="s">
        <v>2732</v>
      </c>
      <c r="K3364" t="s">
        <v>337</v>
      </c>
      <c r="L3364" t="s">
        <v>327</v>
      </c>
    </row>
    <row r="3365" spans="1:12">
      <c r="A3365" t="s">
        <v>2729</v>
      </c>
      <c r="B3365" t="s">
        <v>2730</v>
      </c>
      <c r="C3365" t="s">
        <v>2993</v>
      </c>
      <c r="D3365" s="29">
        <v>2700100070862</v>
      </c>
      <c r="E3365" s="29" t="s">
        <v>371</v>
      </c>
      <c r="F3365" s="29" t="s">
        <v>372</v>
      </c>
      <c r="H3365" t="s">
        <v>1051</v>
      </c>
      <c r="J3365" t="s">
        <v>2732</v>
      </c>
      <c r="K3365" t="s">
        <v>337</v>
      </c>
      <c r="L3365" t="s">
        <v>1090</v>
      </c>
    </row>
    <row r="3366" spans="1:12">
      <c r="A3366" t="s">
        <v>2729</v>
      </c>
      <c r="B3366" t="s">
        <v>2730</v>
      </c>
      <c r="C3366" t="s">
        <v>2994</v>
      </c>
      <c r="D3366" s="29">
        <v>2700100124535</v>
      </c>
      <c r="E3366" s="29" t="s">
        <v>371</v>
      </c>
      <c r="F3366" s="29" t="s">
        <v>372</v>
      </c>
      <c r="H3366" t="s">
        <v>1051</v>
      </c>
      <c r="J3366" t="s">
        <v>2732</v>
      </c>
      <c r="K3366" t="s">
        <v>337</v>
      </c>
      <c r="L3366" t="s">
        <v>327</v>
      </c>
    </row>
    <row r="3367" spans="1:12">
      <c r="A3367" t="s">
        <v>2729</v>
      </c>
      <c r="B3367" t="s">
        <v>2730</v>
      </c>
      <c r="C3367" t="s">
        <v>2995</v>
      </c>
      <c r="D3367" s="29">
        <v>270011150241</v>
      </c>
      <c r="E3367" s="29" t="s">
        <v>371</v>
      </c>
      <c r="F3367" s="29" t="s">
        <v>372</v>
      </c>
      <c r="H3367" t="s">
        <v>323</v>
      </c>
      <c r="J3367" t="s">
        <v>2732</v>
      </c>
      <c r="K3367" t="s">
        <v>337</v>
      </c>
      <c r="L3367" t="s">
        <v>327</v>
      </c>
    </row>
    <row r="3368" spans="1:12">
      <c r="A3368" t="s">
        <v>2729</v>
      </c>
      <c r="B3368" t="s">
        <v>2730</v>
      </c>
      <c r="C3368" t="s">
        <v>2996</v>
      </c>
      <c r="D3368" s="29">
        <v>2700100079398</v>
      </c>
      <c r="E3368" s="29" t="s">
        <v>371</v>
      </c>
      <c r="F3368" s="29" t="s">
        <v>372</v>
      </c>
      <c r="H3368" t="s">
        <v>1051</v>
      </c>
      <c r="J3368" t="s">
        <v>2732</v>
      </c>
      <c r="K3368" t="s">
        <v>337</v>
      </c>
      <c r="L3368" t="s">
        <v>327</v>
      </c>
    </row>
    <row r="3369" spans="1:12">
      <c r="A3369" t="s">
        <v>2729</v>
      </c>
      <c r="B3369" t="s">
        <v>2730</v>
      </c>
      <c r="C3369" t="s">
        <v>2997</v>
      </c>
      <c r="D3369" s="29">
        <v>2700100093497</v>
      </c>
      <c r="E3369" s="29" t="s">
        <v>371</v>
      </c>
      <c r="F3369" s="29" t="s">
        <v>372</v>
      </c>
      <c r="H3369" t="s">
        <v>1051</v>
      </c>
      <c r="J3369" t="s">
        <v>2732</v>
      </c>
      <c r="K3369" t="s">
        <v>337</v>
      </c>
      <c r="L3369" t="s">
        <v>327</v>
      </c>
    </row>
    <row r="3370" spans="1:12">
      <c r="A3370" t="s">
        <v>2729</v>
      </c>
      <c r="B3370" t="s">
        <v>2730</v>
      </c>
      <c r="C3370" t="s">
        <v>2998</v>
      </c>
      <c r="D3370" s="29">
        <v>2700100093566</v>
      </c>
      <c r="E3370" s="29" t="s">
        <v>371</v>
      </c>
      <c r="F3370" s="29" t="s">
        <v>372</v>
      </c>
      <c r="H3370" t="s">
        <v>1051</v>
      </c>
      <c r="J3370" t="s">
        <v>2732</v>
      </c>
      <c r="K3370" t="s">
        <v>337</v>
      </c>
      <c r="L3370" t="s">
        <v>327</v>
      </c>
    </row>
    <row r="3371" spans="1:12">
      <c r="A3371" t="s">
        <v>2729</v>
      </c>
      <c r="B3371" t="s">
        <v>2730</v>
      </c>
      <c r="C3371" t="s">
        <v>2999</v>
      </c>
      <c r="D3371" s="29">
        <v>2700100136533</v>
      </c>
      <c r="E3371" s="29" t="s">
        <v>371</v>
      </c>
      <c r="F3371" s="29" t="s">
        <v>372</v>
      </c>
      <c r="H3371" t="s">
        <v>1051</v>
      </c>
      <c r="J3371" t="s">
        <v>2732</v>
      </c>
      <c r="K3371" t="s">
        <v>337</v>
      </c>
      <c r="L3371" t="s">
        <v>327</v>
      </c>
    </row>
    <row r="3372" spans="1:12">
      <c r="A3372" t="s">
        <v>2729</v>
      </c>
      <c r="B3372" t="s">
        <v>2730</v>
      </c>
      <c r="C3372" t="s">
        <v>3000</v>
      </c>
      <c r="D3372" s="29">
        <v>270011125945</v>
      </c>
      <c r="E3372" s="29" t="s">
        <v>371</v>
      </c>
      <c r="F3372" s="29" t="s">
        <v>372</v>
      </c>
      <c r="H3372" t="s">
        <v>1051</v>
      </c>
      <c r="J3372" t="s">
        <v>2732</v>
      </c>
      <c r="K3372" t="s">
        <v>337</v>
      </c>
      <c r="L3372" t="s">
        <v>327</v>
      </c>
    </row>
    <row r="3373" spans="1:12">
      <c r="A3373" t="s">
        <v>2729</v>
      </c>
      <c r="B3373" t="s">
        <v>2730</v>
      </c>
      <c r="C3373" t="s">
        <v>3001</v>
      </c>
      <c r="D3373" s="29">
        <v>2700100066684</v>
      </c>
      <c r="E3373" s="29" t="s">
        <v>371</v>
      </c>
      <c r="F3373" s="29" t="s">
        <v>372</v>
      </c>
      <c r="H3373" t="s">
        <v>1051</v>
      </c>
      <c r="J3373" t="s">
        <v>2732</v>
      </c>
      <c r="K3373" t="s">
        <v>337</v>
      </c>
      <c r="L3373" t="s">
        <v>1090</v>
      </c>
    </row>
    <row r="3374" spans="1:12">
      <c r="A3374" t="s">
        <v>2729</v>
      </c>
      <c r="B3374" t="s">
        <v>2730</v>
      </c>
      <c r="C3374" t="s">
        <v>3002</v>
      </c>
      <c r="D3374" s="29">
        <v>2700100095599</v>
      </c>
      <c r="E3374" s="29" t="s">
        <v>371</v>
      </c>
      <c r="F3374" s="29" t="s">
        <v>372</v>
      </c>
      <c r="H3374" t="s">
        <v>323</v>
      </c>
      <c r="J3374" t="s">
        <v>2732</v>
      </c>
      <c r="K3374" t="s">
        <v>337</v>
      </c>
      <c r="L3374" t="s">
        <v>1090</v>
      </c>
    </row>
    <row r="3375" spans="1:12">
      <c r="A3375" t="s">
        <v>2729</v>
      </c>
      <c r="B3375" t="s">
        <v>2730</v>
      </c>
      <c r="C3375" t="s">
        <v>3003</v>
      </c>
      <c r="D3375" s="29">
        <v>2700100136795</v>
      </c>
      <c r="E3375" s="29" t="s">
        <v>371</v>
      </c>
      <c r="F3375" s="29" t="s">
        <v>372</v>
      </c>
      <c r="H3375" t="s">
        <v>1051</v>
      </c>
      <c r="J3375" t="s">
        <v>2732</v>
      </c>
      <c r="K3375" t="s">
        <v>337</v>
      </c>
      <c r="L3375" t="s">
        <v>1090</v>
      </c>
    </row>
    <row r="3376" spans="1:12">
      <c r="A3376" t="s">
        <v>2729</v>
      </c>
      <c r="B3376" t="s">
        <v>2730</v>
      </c>
      <c r="C3376" t="s">
        <v>3004</v>
      </c>
      <c r="D3376" s="29">
        <v>2700100066539</v>
      </c>
      <c r="E3376" s="29" t="s">
        <v>363</v>
      </c>
      <c r="F3376" s="29" t="s">
        <v>364</v>
      </c>
      <c r="H3376" t="s">
        <v>1051</v>
      </c>
      <c r="J3376" t="s">
        <v>2732</v>
      </c>
      <c r="K3376" t="s">
        <v>365</v>
      </c>
      <c r="L3376" t="s">
        <v>1090</v>
      </c>
    </row>
    <row r="3377" spans="1:12">
      <c r="A3377" t="s">
        <v>2729</v>
      </c>
      <c r="B3377" t="s">
        <v>2730</v>
      </c>
      <c r="C3377" t="s">
        <v>3005</v>
      </c>
      <c r="D3377" s="29">
        <v>2700100072352</v>
      </c>
      <c r="E3377" s="29" t="s">
        <v>529</v>
      </c>
      <c r="F3377" s="29" t="s">
        <v>372</v>
      </c>
      <c r="H3377" t="s">
        <v>1051</v>
      </c>
      <c r="J3377" t="s">
        <v>2732</v>
      </c>
      <c r="K3377" t="s">
        <v>337</v>
      </c>
      <c r="L3377" t="s">
        <v>327</v>
      </c>
    </row>
    <row r="3378" spans="1:12">
      <c r="A3378" t="s">
        <v>2729</v>
      </c>
      <c r="B3378" t="s">
        <v>2730</v>
      </c>
      <c r="C3378" t="s">
        <v>3006</v>
      </c>
      <c r="D3378" s="29">
        <v>2700100084234</v>
      </c>
      <c r="E3378" s="29" t="s">
        <v>529</v>
      </c>
      <c r="F3378" s="29" t="s">
        <v>372</v>
      </c>
      <c r="H3378" t="s">
        <v>1051</v>
      </c>
      <c r="J3378" t="s">
        <v>2732</v>
      </c>
      <c r="K3378" t="s">
        <v>337</v>
      </c>
      <c r="L3378" t="s">
        <v>327</v>
      </c>
    </row>
    <row r="3379" spans="1:12">
      <c r="A3379" t="s">
        <v>2729</v>
      </c>
      <c r="B3379" t="s">
        <v>2730</v>
      </c>
      <c r="C3379" t="s">
        <v>3007</v>
      </c>
      <c r="D3379" s="29">
        <v>2700100050886</v>
      </c>
      <c r="E3379" s="29" t="s">
        <v>371</v>
      </c>
      <c r="F3379" s="29" t="s">
        <v>372</v>
      </c>
      <c r="H3379" t="s">
        <v>1051</v>
      </c>
      <c r="J3379" t="s">
        <v>2732</v>
      </c>
      <c r="K3379" t="s">
        <v>337</v>
      </c>
      <c r="L3379" t="s">
        <v>327</v>
      </c>
    </row>
    <row r="3380" spans="1:12">
      <c r="A3380" t="s">
        <v>2729</v>
      </c>
      <c r="B3380" t="s">
        <v>2730</v>
      </c>
      <c r="C3380" t="s">
        <v>3008</v>
      </c>
      <c r="D3380" s="29">
        <v>2700100067312</v>
      </c>
      <c r="E3380" s="29" t="s">
        <v>371</v>
      </c>
      <c r="F3380" s="29" t="s">
        <v>372</v>
      </c>
      <c r="H3380" t="s">
        <v>1051</v>
      </c>
      <c r="J3380" t="s">
        <v>2732</v>
      </c>
      <c r="K3380" t="s">
        <v>337</v>
      </c>
      <c r="L3380" t="s">
        <v>327</v>
      </c>
    </row>
    <row r="3381" spans="1:12">
      <c r="A3381" t="s">
        <v>2729</v>
      </c>
      <c r="B3381" t="s">
        <v>2730</v>
      </c>
      <c r="C3381" t="s">
        <v>3009</v>
      </c>
      <c r="D3381" s="29">
        <v>2700100070485</v>
      </c>
      <c r="E3381" s="29" t="s">
        <v>371</v>
      </c>
      <c r="F3381" s="29" t="s">
        <v>372</v>
      </c>
      <c r="H3381" t="s">
        <v>1051</v>
      </c>
      <c r="J3381" t="s">
        <v>2732</v>
      </c>
      <c r="K3381" t="s">
        <v>3010</v>
      </c>
      <c r="L3381" t="s">
        <v>327</v>
      </c>
    </row>
    <row r="3382" spans="1:12">
      <c r="A3382" t="s">
        <v>2729</v>
      </c>
      <c r="B3382" t="s">
        <v>2730</v>
      </c>
      <c r="C3382" t="s">
        <v>3011</v>
      </c>
      <c r="D3382" s="29">
        <v>2700100084172</v>
      </c>
      <c r="E3382" s="29" t="s">
        <v>529</v>
      </c>
      <c r="F3382" s="29" t="s">
        <v>372</v>
      </c>
      <c r="H3382" t="s">
        <v>1051</v>
      </c>
      <c r="J3382" t="s">
        <v>2732</v>
      </c>
      <c r="K3382" t="s">
        <v>337</v>
      </c>
      <c r="L3382" t="s">
        <v>327</v>
      </c>
    </row>
    <row r="3383" spans="1:12">
      <c r="A3383" t="s">
        <v>2729</v>
      </c>
      <c r="B3383" t="s">
        <v>2730</v>
      </c>
      <c r="C3383" t="s">
        <v>3012</v>
      </c>
      <c r="D3383" s="29">
        <v>2700100084290</v>
      </c>
      <c r="E3383" s="29" t="s">
        <v>529</v>
      </c>
      <c r="F3383" s="29" t="s">
        <v>372</v>
      </c>
      <c r="H3383" t="s">
        <v>1051</v>
      </c>
      <c r="J3383" t="s">
        <v>2732</v>
      </c>
      <c r="K3383" t="s">
        <v>337</v>
      </c>
      <c r="L3383" t="s">
        <v>327</v>
      </c>
    </row>
    <row r="3384" spans="1:12">
      <c r="A3384" t="s">
        <v>2729</v>
      </c>
      <c r="B3384" t="s">
        <v>2730</v>
      </c>
      <c r="C3384" t="s">
        <v>3013</v>
      </c>
      <c r="D3384" s="29">
        <v>2700100084656</v>
      </c>
      <c r="E3384" s="29" t="s">
        <v>529</v>
      </c>
      <c r="F3384" s="29" t="s">
        <v>372</v>
      </c>
      <c r="H3384" t="s">
        <v>1051</v>
      </c>
      <c r="J3384" t="s">
        <v>2732</v>
      </c>
      <c r="K3384" t="s">
        <v>337</v>
      </c>
      <c r="L3384" t="s">
        <v>327</v>
      </c>
    </row>
    <row r="3385" spans="1:12">
      <c r="A3385" t="s">
        <v>2729</v>
      </c>
      <c r="B3385" t="s">
        <v>2730</v>
      </c>
      <c r="C3385" t="s">
        <v>3014</v>
      </c>
      <c r="D3385" s="29">
        <v>2700100084723</v>
      </c>
      <c r="E3385" s="29" t="s">
        <v>529</v>
      </c>
      <c r="F3385" s="29" t="s">
        <v>372</v>
      </c>
      <c r="H3385" t="s">
        <v>1051</v>
      </c>
      <c r="J3385" t="s">
        <v>2732</v>
      </c>
      <c r="K3385" t="s">
        <v>337</v>
      </c>
      <c r="L3385" t="s">
        <v>327</v>
      </c>
    </row>
    <row r="3386" spans="1:12">
      <c r="A3386" t="s">
        <v>2729</v>
      </c>
      <c r="B3386" t="s">
        <v>2730</v>
      </c>
      <c r="C3386" t="s">
        <v>3015</v>
      </c>
      <c r="D3386" s="29">
        <v>2700100072210</v>
      </c>
      <c r="E3386" s="29" t="s">
        <v>529</v>
      </c>
      <c r="F3386" s="29" t="s">
        <v>372</v>
      </c>
      <c r="H3386" t="s">
        <v>1051</v>
      </c>
      <c r="J3386" t="s">
        <v>2732</v>
      </c>
      <c r="K3386" t="s">
        <v>337</v>
      </c>
      <c r="L3386" t="s">
        <v>327</v>
      </c>
    </row>
    <row r="3387" spans="1:12">
      <c r="A3387" t="s">
        <v>2729</v>
      </c>
      <c r="B3387" t="s">
        <v>2730</v>
      </c>
      <c r="C3387" t="s">
        <v>3016</v>
      </c>
      <c r="D3387" s="29">
        <v>2700100075664</v>
      </c>
      <c r="E3387" s="29" t="s">
        <v>371</v>
      </c>
      <c r="F3387" s="29" t="s">
        <v>372</v>
      </c>
      <c r="H3387" t="s">
        <v>1051</v>
      </c>
      <c r="J3387" t="s">
        <v>2732</v>
      </c>
      <c r="K3387" t="s">
        <v>337</v>
      </c>
      <c r="L3387" t="s">
        <v>327</v>
      </c>
    </row>
    <row r="3388" spans="1:12">
      <c r="A3388" t="s">
        <v>2729</v>
      </c>
      <c r="B3388" t="s">
        <v>2730</v>
      </c>
      <c r="C3388" t="s">
        <v>3017</v>
      </c>
      <c r="D3388" s="29">
        <v>2700100079393</v>
      </c>
      <c r="E3388" s="29" t="s">
        <v>371</v>
      </c>
      <c r="F3388" s="29" t="s">
        <v>372</v>
      </c>
      <c r="H3388" t="s">
        <v>1051</v>
      </c>
      <c r="J3388" t="s">
        <v>2732</v>
      </c>
      <c r="K3388" t="s">
        <v>3010</v>
      </c>
      <c r="L3388" t="s">
        <v>327</v>
      </c>
    </row>
    <row r="3389" spans="1:12">
      <c r="A3389" t="s">
        <v>2729</v>
      </c>
      <c r="B3389" t="s">
        <v>2730</v>
      </c>
      <c r="C3389" t="s">
        <v>3018</v>
      </c>
      <c r="D3389" s="29">
        <v>2700100085438</v>
      </c>
      <c r="E3389" s="29" t="s">
        <v>529</v>
      </c>
      <c r="F3389" s="29" t="s">
        <v>372</v>
      </c>
      <c r="H3389" t="s">
        <v>1051</v>
      </c>
      <c r="J3389" t="s">
        <v>2732</v>
      </c>
      <c r="K3389" t="s">
        <v>337</v>
      </c>
      <c r="L3389" t="s">
        <v>327</v>
      </c>
    </row>
    <row r="3390" spans="1:12">
      <c r="A3390" t="s">
        <v>2729</v>
      </c>
      <c r="B3390" t="s">
        <v>2730</v>
      </c>
      <c r="C3390" t="s">
        <v>3019</v>
      </c>
      <c r="D3390" s="29">
        <v>2700100070872</v>
      </c>
      <c r="E3390" s="29" t="s">
        <v>371</v>
      </c>
      <c r="F3390" s="29" t="s">
        <v>372</v>
      </c>
      <c r="H3390" t="s">
        <v>1051</v>
      </c>
      <c r="J3390" t="s">
        <v>2732</v>
      </c>
      <c r="K3390" t="s">
        <v>337</v>
      </c>
      <c r="L3390" t="s">
        <v>327</v>
      </c>
    </row>
    <row r="3391" spans="1:12">
      <c r="A3391" t="s">
        <v>2729</v>
      </c>
      <c r="B3391" t="s">
        <v>2730</v>
      </c>
      <c r="C3391" t="s">
        <v>3020</v>
      </c>
      <c r="D3391" s="29">
        <v>2700100070993</v>
      </c>
      <c r="E3391" s="29" t="s">
        <v>371</v>
      </c>
      <c r="F3391" s="29" t="s">
        <v>372</v>
      </c>
      <c r="H3391" t="s">
        <v>1051</v>
      </c>
      <c r="J3391" t="s">
        <v>2732</v>
      </c>
      <c r="K3391" t="s">
        <v>337</v>
      </c>
      <c r="L3391" t="s">
        <v>327</v>
      </c>
    </row>
    <row r="3392" spans="1:12">
      <c r="A3392" t="s">
        <v>2729</v>
      </c>
      <c r="B3392" t="s">
        <v>2730</v>
      </c>
      <c r="C3392" t="s">
        <v>3021</v>
      </c>
      <c r="D3392" s="29">
        <v>2700100071028</v>
      </c>
      <c r="E3392" s="29" t="s">
        <v>371</v>
      </c>
      <c r="F3392" s="29" t="s">
        <v>372</v>
      </c>
      <c r="H3392" t="s">
        <v>1051</v>
      </c>
      <c r="J3392" t="s">
        <v>2732</v>
      </c>
      <c r="K3392" t="s">
        <v>337</v>
      </c>
      <c r="L3392" t="s">
        <v>327</v>
      </c>
    </row>
    <row r="3393" spans="1:12">
      <c r="A3393" t="s">
        <v>2729</v>
      </c>
      <c r="B3393" t="s">
        <v>2730</v>
      </c>
      <c r="C3393" t="s">
        <v>3022</v>
      </c>
      <c r="D3393" s="29">
        <v>2700100072190</v>
      </c>
      <c r="E3393" s="29" t="s">
        <v>529</v>
      </c>
      <c r="F3393" s="29" t="s">
        <v>372</v>
      </c>
      <c r="H3393" t="s">
        <v>1051</v>
      </c>
      <c r="J3393" t="s">
        <v>2732</v>
      </c>
      <c r="K3393" t="s">
        <v>337</v>
      </c>
      <c r="L3393" t="s">
        <v>327</v>
      </c>
    </row>
    <row r="3394" spans="1:12">
      <c r="A3394" t="s">
        <v>2729</v>
      </c>
      <c r="B3394" t="s">
        <v>2730</v>
      </c>
      <c r="C3394" t="s">
        <v>3023</v>
      </c>
      <c r="D3394" s="29">
        <v>2700100081816</v>
      </c>
      <c r="E3394" s="29" t="s">
        <v>371</v>
      </c>
      <c r="F3394" s="29" t="s">
        <v>372</v>
      </c>
      <c r="H3394" t="s">
        <v>1051</v>
      </c>
      <c r="J3394" t="s">
        <v>2732</v>
      </c>
      <c r="K3394" t="s">
        <v>337</v>
      </c>
      <c r="L3394" t="s">
        <v>327</v>
      </c>
    </row>
    <row r="3395" spans="1:12">
      <c r="A3395" t="s">
        <v>2729</v>
      </c>
      <c r="B3395" t="s">
        <v>2730</v>
      </c>
      <c r="C3395" t="s">
        <v>3024</v>
      </c>
      <c r="D3395" s="29">
        <v>2700100093537</v>
      </c>
      <c r="E3395" s="29" t="s">
        <v>371</v>
      </c>
      <c r="F3395" s="29" t="s">
        <v>372</v>
      </c>
      <c r="H3395" t="s">
        <v>1051</v>
      </c>
      <c r="J3395" t="s">
        <v>2732</v>
      </c>
      <c r="K3395" t="s">
        <v>337</v>
      </c>
      <c r="L3395" t="s">
        <v>327</v>
      </c>
    </row>
    <row r="3396" spans="1:12">
      <c r="A3396" t="s">
        <v>2729</v>
      </c>
      <c r="B3396" t="s">
        <v>2730</v>
      </c>
      <c r="C3396" t="s">
        <v>3025</v>
      </c>
      <c r="D3396" s="29">
        <v>2700100093575</v>
      </c>
      <c r="E3396" s="29" t="s">
        <v>371</v>
      </c>
      <c r="F3396" s="29" t="s">
        <v>372</v>
      </c>
      <c r="H3396" t="s">
        <v>1051</v>
      </c>
      <c r="J3396" t="s">
        <v>2732</v>
      </c>
      <c r="K3396" t="s">
        <v>337</v>
      </c>
      <c r="L3396" t="s">
        <v>327</v>
      </c>
    </row>
    <row r="3397" spans="1:12">
      <c r="A3397" t="s">
        <v>2729</v>
      </c>
      <c r="B3397" t="s">
        <v>2730</v>
      </c>
      <c r="C3397" t="s">
        <v>3026</v>
      </c>
      <c r="D3397" s="29">
        <v>270011123670</v>
      </c>
      <c r="E3397" s="29" t="s">
        <v>371</v>
      </c>
      <c r="F3397" s="29" t="s">
        <v>372</v>
      </c>
      <c r="H3397" t="s">
        <v>1051</v>
      </c>
      <c r="J3397" t="s">
        <v>2732</v>
      </c>
      <c r="K3397" t="s">
        <v>337</v>
      </c>
      <c r="L3397" t="s">
        <v>327</v>
      </c>
    </row>
    <row r="3398" spans="1:12">
      <c r="A3398" t="s">
        <v>2729</v>
      </c>
      <c r="B3398" t="s">
        <v>2730</v>
      </c>
      <c r="C3398" t="s">
        <v>3027</v>
      </c>
      <c r="D3398" s="29">
        <v>2700100084776</v>
      </c>
      <c r="E3398" s="29" t="s">
        <v>529</v>
      </c>
      <c r="F3398" s="29" t="s">
        <v>372</v>
      </c>
      <c r="H3398" t="s">
        <v>1051</v>
      </c>
      <c r="J3398" t="s">
        <v>2732</v>
      </c>
      <c r="K3398" t="s">
        <v>337</v>
      </c>
      <c r="L3398" t="s">
        <v>327</v>
      </c>
    </row>
    <row r="3399" spans="1:12">
      <c r="A3399" t="s">
        <v>2729</v>
      </c>
      <c r="B3399" t="s">
        <v>2730</v>
      </c>
      <c r="C3399" t="s">
        <v>3028</v>
      </c>
      <c r="D3399" s="29">
        <v>2700100084815</v>
      </c>
      <c r="E3399" s="29" t="s">
        <v>529</v>
      </c>
      <c r="F3399" s="29" t="s">
        <v>372</v>
      </c>
      <c r="H3399" t="s">
        <v>1051</v>
      </c>
      <c r="J3399" t="s">
        <v>2732</v>
      </c>
      <c r="K3399" t="s">
        <v>337</v>
      </c>
      <c r="L3399" t="s">
        <v>327</v>
      </c>
    </row>
    <row r="3400" spans="1:12">
      <c r="A3400" t="s">
        <v>2729</v>
      </c>
      <c r="B3400" t="s">
        <v>2730</v>
      </c>
      <c r="C3400" t="s">
        <v>3029</v>
      </c>
      <c r="D3400" s="29">
        <v>2700100084855</v>
      </c>
      <c r="E3400" s="29" t="s">
        <v>529</v>
      </c>
      <c r="F3400" s="29" t="s">
        <v>372</v>
      </c>
      <c r="H3400" t="s">
        <v>1051</v>
      </c>
      <c r="J3400" t="s">
        <v>2732</v>
      </c>
      <c r="K3400" t="s">
        <v>337</v>
      </c>
      <c r="L3400" t="s">
        <v>327</v>
      </c>
    </row>
    <row r="3401" spans="1:12">
      <c r="A3401" t="s">
        <v>2729</v>
      </c>
      <c r="B3401" t="s">
        <v>2730</v>
      </c>
      <c r="C3401" t="s">
        <v>3030</v>
      </c>
      <c r="D3401" s="29">
        <v>2700100070515</v>
      </c>
      <c r="E3401" s="29" t="s">
        <v>371</v>
      </c>
      <c r="F3401" s="29" t="s">
        <v>372</v>
      </c>
      <c r="H3401" t="s">
        <v>1051</v>
      </c>
      <c r="J3401" t="s">
        <v>2732</v>
      </c>
      <c r="K3401" t="s">
        <v>337</v>
      </c>
      <c r="L3401" t="s">
        <v>327</v>
      </c>
    </row>
    <row r="3402" spans="1:12">
      <c r="A3402" t="s">
        <v>2729</v>
      </c>
      <c r="B3402" t="s">
        <v>2730</v>
      </c>
      <c r="C3402" t="s">
        <v>3031</v>
      </c>
      <c r="D3402" s="29">
        <v>2700100070921</v>
      </c>
      <c r="E3402" s="29" t="s">
        <v>371</v>
      </c>
      <c r="F3402" s="29" t="s">
        <v>372</v>
      </c>
      <c r="H3402" t="s">
        <v>1051</v>
      </c>
      <c r="J3402" t="s">
        <v>2732</v>
      </c>
      <c r="K3402" t="s">
        <v>3010</v>
      </c>
      <c r="L3402" t="s">
        <v>327</v>
      </c>
    </row>
    <row r="3403" spans="1:12">
      <c r="A3403" t="s">
        <v>2729</v>
      </c>
      <c r="B3403" t="s">
        <v>2730</v>
      </c>
      <c r="C3403" t="s">
        <v>3032</v>
      </c>
      <c r="D3403" s="29">
        <v>2700100079353</v>
      </c>
      <c r="E3403" s="29" t="s">
        <v>371</v>
      </c>
      <c r="F3403" s="29" t="s">
        <v>372</v>
      </c>
      <c r="H3403" t="s">
        <v>1051</v>
      </c>
      <c r="J3403" t="s">
        <v>2732</v>
      </c>
      <c r="K3403" t="s">
        <v>337</v>
      </c>
      <c r="L3403" t="s">
        <v>327</v>
      </c>
    </row>
    <row r="3404" spans="1:12">
      <c r="A3404" t="s">
        <v>2729</v>
      </c>
      <c r="B3404" t="s">
        <v>2730</v>
      </c>
      <c r="C3404" t="s">
        <v>3033</v>
      </c>
      <c r="D3404" s="29">
        <v>2700100079386</v>
      </c>
      <c r="E3404" s="29" t="s">
        <v>371</v>
      </c>
      <c r="F3404" s="29" t="s">
        <v>372</v>
      </c>
      <c r="H3404" t="s">
        <v>1051</v>
      </c>
      <c r="J3404" t="s">
        <v>2732</v>
      </c>
      <c r="K3404" t="s">
        <v>337</v>
      </c>
      <c r="L3404" t="s">
        <v>327</v>
      </c>
    </row>
    <row r="3405" spans="1:12">
      <c r="A3405" t="s">
        <v>2729</v>
      </c>
      <c r="B3405" t="s">
        <v>2730</v>
      </c>
      <c r="C3405" t="s">
        <v>3034</v>
      </c>
      <c r="D3405" s="29">
        <v>2700100081645</v>
      </c>
      <c r="E3405" s="29" t="s">
        <v>371</v>
      </c>
      <c r="F3405" s="29" t="s">
        <v>372</v>
      </c>
      <c r="H3405" t="s">
        <v>1051</v>
      </c>
      <c r="J3405" t="s">
        <v>2732</v>
      </c>
      <c r="K3405" t="s">
        <v>337</v>
      </c>
      <c r="L3405" t="s">
        <v>327</v>
      </c>
    </row>
    <row r="3406" spans="1:12">
      <c r="A3406" t="s">
        <v>2729</v>
      </c>
      <c r="B3406" t="s">
        <v>2730</v>
      </c>
      <c r="C3406" t="s">
        <v>3035</v>
      </c>
      <c r="D3406" s="29">
        <v>2700100071496</v>
      </c>
      <c r="E3406" s="29" t="s">
        <v>529</v>
      </c>
      <c r="F3406" s="29" t="s">
        <v>372</v>
      </c>
      <c r="H3406" t="s">
        <v>1051</v>
      </c>
      <c r="J3406" t="s">
        <v>2732</v>
      </c>
      <c r="K3406" t="s">
        <v>337</v>
      </c>
      <c r="L3406" t="s">
        <v>327</v>
      </c>
    </row>
    <row r="3407" spans="1:12">
      <c r="A3407" t="s">
        <v>2729</v>
      </c>
      <c r="B3407" t="s">
        <v>2730</v>
      </c>
      <c r="C3407" t="s">
        <v>3036</v>
      </c>
      <c r="D3407" s="29">
        <v>2700100072267</v>
      </c>
      <c r="E3407" s="29" t="s">
        <v>529</v>
      </c>
      <c r="F3407" s="29" t="s">
        <v>372</v>
      </c>
      <c r="H3407" t="s">
        <v>1051</v>
      </c>
      <c r="J3407" t="s">
        <v>2732</v>
      </c>
      <c r="K3407" t="s">
        <v>337</v>
      </c>
      <c r="L3407" t="s">
        <v>327</v>
      </c>
    </row>
    <row r="3408" spans="1:12">
      <c r="A3408" t="s">
        <v>2729</v>
      </c>
      <c r="B3408" t="s">
        <v>2730</v>
      </c>
      <c r="C3408" t="s">
        <v>3037</v>
      </c>
      <c r="D3408" s="29">
        <v>2700100072725</v>
      </c>
      <c r="E3408" s="29" t="s">
        <v>529</v>
      </c>
      <c r="F3408" s="29" t="s">
        <v>372</v>
      </c>
      <c r="H3408" t="s">
        <v>1051</v>
      </c>
      <c r="J3408" t="s">
        <v>2732</v>
      </c>
      <c r="K3408" t="s">
        <v>337</v>
      </c>
      <c r="L3408" t="s">
        <v>327</v>
      </c>
    </row>
    <row r="3409" spans="1:12">
      <c r="A3409" t="s">
        <v>2729</v>
      </c>
      <c r="B3409" t="s">
        <v>2730</v>
      </c>
      <c r="C3409" t="s">
        <v>3038</v>
      </c>
      <c r="D3409" s="29">
        <v>2700100084674</v>
      </c>
      <c r="E3409" s="29" t="s">
        <v>529</v>
      </c>
      <c r="F3409" s="29" t="s">
        <v>372</v>
      </c>
      <c r="H3409" t="s">
        <v>1051</v>
      </c>
      <c r="J3409" t="s">
        <v>2732</v>
      </c>
      <c r="K3409" t="s">
        <v>337</v>
      </c>
      <c r="L3409" t="s">
        <v>327</v>
      </c>
    </row>
    <row r="3410" spans="1:12">
      <c r="A3410" t="s">
        <v>2729</v>
      </c>
      <c r="B3410" t="s">
        <v>2730</v>
      </c>
      <c r="C3410" t="s">
        <v>3039</v>
      </c>
      <c r="D3410" s="29">
        <v>2700100085416</v>
      </c>
      <c r="E3410" s="29" t="s">
        <v>529</v>
      </c>
      <c r="F3410" s="29" t="s">
        <v>372</v>
      </c>
      <c r="H3410" t="s">
        <v>1051</v>
      </c>
      <c r="J3410" t="s">
        <v>2732</v>
      </c>
      <c r="K3410" t="s">
        <v>337</v>
      </c>
      <c r="L3410" t="s">
        <v>327</v>
      </c>
    </row>
    <row r="3411" spans="1:12">
      <c r="A3411" t="s">
        <v>2729</v>
      </c>
      <c r="B3411" t="s">
        <v>2730</v>
      </c>
      <c r="C3411" t="s">
        <v>3040</v>
      </c>
      <c r="D3411" s="29">
        <v>2700100104971</v>
      </c>
      <c r="E3411" s="29" t="s">
        <v>529</v>
      </c>
      <c r="F3411" s="29" t="s">
        <v>372</v>
      </c>
      <c r="H3411" t="s">
        <v>1051</v>
      </c>
      <c r="J3411" t="s">
        <v>2732</v>
      </c>
      <c r="K3411" t="s">
        <v>337</v>
      </c>
      <c r="L3411" t="s">
        <v>327</v>
      </c>
    </row>
    <row r="3412" spans="1:12">
      <c r="A3412" t="s">
        <v>2729</v>
      </c>
      <c r="B3412" t="s">
        <v>2730</v>
      </c>
      <c r="C3412" t="s">
        <v>3041</v>
      </c>
      <c r="D3412" s="29">
        <v>2700100070542</v>
      </c>
      <c r="E3412" s="29" t="s">
        <v>371</v>
      </c>
      <c r="F3412" s="29" t="s">
        <v>372</v>
      </c>
      <c r="H3412" t="s">
        <v>1051</v>
      </c>
      <c r="J3412" t="s">
        <v>2732</v>
      </c>
      <c r="K3412" t="s">
        <v>337</v>
      </c>
      <c r="L3412" t="s">
        <v>1090</v>
      </c>
    </row>
    <row r="3413" spans="1:12">
      <c r="A3413" t="s">
        <v>2729</v>
      </c>
      <c r="B3413" t="s">
        <v>2730</v>
      </c>
      <c r="C3413" t="s">
        <v>3042</v>
      </c>
      <c r="D3413" s="29">
        <v>2700100071011</v>
      </c>
      <c r="E3413" s="29" t="s">
        <v>371</v>
      </c>
      <c r="F3413" s="29" t="s">
        <v>372</v>
      </c>
      <c r="H3413" t="s">
        <v>1051</v>
      </c>
      <c r="J3413" t="s">
        <v>2732</v>
      </c>
      <c r="K3413" t="s">
        <v>337</v>
      </c>
      <c r="L3413" t="s">
        <v>327</v>
      </c>
    </row>
    <row r="3414" spans="1:12">
      <c r="A3414" t="s">
        <v>2729</v>
      </c>
      <c r="B3414" t="s">
        <v>2730</v>
      </c>
      <c r="C3414" t="s">
        <v>3043</v>
      </c>
      <c r="D3414" s="29">
        <v>2700100071015</v>
      </c>
      <c r="E3414" s="29" t="s">
        <v>371</v>
      </c>
      <c r="F3414" s="29" t="s">
        <v>372</v>
      </c>
      <c r="H3414" t="s">
        <v>1051</v>
      </c>
      <c r="J3414" t="s">
        <v>2732</v>
      </c>
      <c r="K3414" t="s">
        <v>337</v>
      </c>
      <c r="L3414" t="s">
        <v>327</v>
      </c>
    </row>
    <row r="3415" spans="1:12">
      <c r="A3415" t="s">
        <v>2729</v>
      </c>
      <c r="B3415" t="s">
        <v>2730</v>
      </c>
      <c r="C3415" t="s">
        <v>3044</v>
      </c>
      <c r="D3415" s="29">
        <v>2700100071054</v>
      </c>
      <c r="E3415" s="29" t="s">
        <v>371</v>
      </c>
      <c r="F3415" s="29" t="s">
        <v>372</v>
      </c>
      <c r="H3415" t="s">
        <v>323</v>
      </c>
      <c r="J3415" t="s">
        <v>2732</v>
      </c>
      <c r="K3415" t="s">
        <v>337</v>
      </c>
      <c r="L3415" t="s">
        <v>327</v>
      </c>
    </row>
    <row r="3416" spans="1:12">
      <c r="A3416" t="s">
        <v>2729</v>
      </c>
      <c r="B3416" t="s">
        <v>2730</v>
      </c>
      <c r="C3416" t="s">
        <v>3045</v>
      </c>
      <c r="D3416" s="29">
        <v>2700100081679</v>
      </c>
      <c r="E3416" s="29" t="s">
        <v>371</v>
      </c>
      <c r="F3416" s="29" t="s">
        <v>372</v>
      </c>
      <c r="H3416" t="s">
        <v>1051</v>
      </c>
      <c r="J3416" t="s">
        <v>2732</v>
      </c>
      <c r="K3416" t="s">
        <v>337</v>
      </c>
      <c r="L3416" t="s">
        <v>327</v>
      </c>
    </row>
    <row r="3417" spans="1:12">
      <c r="A3417" t="s">
        <v>2729</v>
      </c>
      <c r="B3417" t="s">
        <v>2730</v>
      </c>
      <c r="C3417" t="s">
        <v>3046</v>
      </c>
      <c r="D3417" s="29">
        <v>2700100092292</v>
      </c>
      <c r="E3417" s="29" t="s">
        <v>371</v>
      </c>
      <c r="F3417" s="29" t="s">
        <v>372</v>
      </c>
      <c r="H3417" t="s">
        <v>1051</v>
      </c>
      <c r="J3417" t="s">
        <v>2732</v>
      </c>
      <c r="K3417" t="s">
        <v>337</v>
      </c>
      <c r="L3417" t="s">
        <v>327</v>
      </c>
    </row>
    <row r="3418" spans="1:12">
      <c r="A3418" t="s">
        <v>2729</v>
      </c>
      <c r="B3418" t="s">
        <v>2730</v>
      </c>
      <c r="C3418" t="s">
        <v>3047</v>
      </c>
      <c r="D3418" s="29">
        <v>2700100136803</v>
      </c>
      <c r="E3418" s="29" t="s">
        <v>371</v>
      </c>
      <c r="F3418" s="29" t="s">
        <v>372</v>
      </c>
      <c r="H3418" t="s">
        <v>1051</v>
      </c>
      <c r="J3418" t="s">
        <v>2732</v>
      </c>
      <c r="K3418" t="s">
        <v>337</v>
      </c>
      <c r="L3418" t="s">
        <v>327</v>
      </c>
    </row>
    <row r="3419" spans="1:12">
      <c r="A3419" t="s">
        <v>2729</v>
      </c>
      <c r="B3419" t="s">
        <v>2730</v>
      </c>
      <c r="C3419" t="s">
        <v>3048</v>
      </c>
      <c r="D3419" s="29">
        <v>2700100050906</v>
      </c>
      <c r="E3419" s="29" t="s">
        <v>371</v>
      </c>
      <c r="F3419" s="29" t="s">
        <v>372</v>
      </c>
      <c r="H3419" t="s">
        <v>323</v>
      </c>
      <c r="J3419" t="s">
        <v>2732</v>
      </c>
      <c r="K3419" t="s">
        <v>337</v>
      </c>
      <c r="L3419" t="s">
        <v>327</v>
      </c>
    </row>
    <row r="3420" spans="1:12">
      <c r="A3420" t="s">
        <v>2729</v>
      </c>
      <c r="B3420" t="s">
        <v>2730</v>
      </c>
      <c r="C3420" t="s">
        <v>3049</v>
      </c>
      <c r="D3420" s="29">
        <v>2700100070559</v>
      </c>
      <c r="E3420" s="29" t="s">
        <v>371</v>
      </c>
      <c r="F3420" s="29" t="s">
        <v>372</v>
      </c>
      <c r="H3420" t="s">
        <v>1051</v>
      </c>
      <c r="J3420" t="s">
        <v>2732</v>
      </c>
      <c r="K3420" t="s">
        <v>337</v>
      </c>
      <c r="L3420" t="s">
        <v>327</v>
      </c>
    </row>
    <row r="3421" spans="1:12">
      <c r="A3421" t="s">
        <v>2729</v>
      </c>
      <c r="B3421" t="s">
        <v>2730</v>
      </c>
      <c r="C3421" t="s">
        <v>3050</v>
      </c>
      <c r="D3421" s="29">
        <v>2700100071006</v>
      </c>
      <c r="E3421" s="29" t="s">
        <v>371</v>
      </c>
      <c r="F3421" s="29" t="s">
        <v>372</v>
      </c>
      <c r="H3421" t="s">
        <v>1051</v>
      </c>
      <c r="J3421" t="s">
        <v>2732</v>
      </c>
      <c r="K3421" t="s">
        <v>337</v>
      </c>
      <c r="L3421" t="s">
        <v>327</v>
      </c>
    </row>
    <row r="3422" spans="1:12">
      <c r="A3422" t="s">
        <v>2729</v>
      </c>
      <c r="B3422" t="s">
        <v>2730</v>
      </c>
      <c r="C3422" t="s">
        <v>3051</v>
      </c>
      <c r="D3422" s="29">
        <v>2700100073172</v>
      </c>
      <c r="E3422" s="29" t="s">
        <v>529</v>
      </c>
      <c r="F3422" s="29" t="s">
        <v>372</v>
      </c>
      <c r="H3422" t="s">
        <v>1051</v>
      </c>
      <c r="J3422" t="s">
        <v>2732</v>
      </c>
      <c r="K3422" t="s">
        <v>337</v>
      </c>
      <c r="L3422" t="s">
        <v>327</v>
      </c>
    </row>
    <row r="3423" spans="1:12">
      <c r="A3423" t="s">
        <v>2729</v>
      </c>
      <c r="B3423" t="s">
        <v>2730</v>
      </c>
      <c r="C3423" t="s">
        <v>3052</v>
      </c>
      <c r="D3423" s="29">
        <v>2700100079422</v>
      </c>
      <c r="E3423" s="29" t="s">
        <v>371</v>
      </c>
      <c r="F3423" s="29" t="s">
        <v>372</v>
      </c>
      <c r="H3423" t="s">
        <v>1051</v>
      </c>
      <c r="J3423" t="s">
        <v>2732</v>
      </c>
      <c r="K3423" t="s">
        <v>337</v>
      </c>
      <c r="L3423" t="s">
        <v>327</v>
      </c>
    </row>
    <row r="3424" spans="1:12">
      <c r="A3424" t="s">
        <v>2729</v>
      </c>
      <c r="B3424" t="s">
        <v>2730</v>
      </c>
      <c r="C3424" t="s">
        <v>3053</v>
      </c>
      <c r="D3424" s="29">
        <v>2700100092291</v>
      </c>
      <c r="E3424" s="29" t="s">
        <v>371</v>
      </c>
      <c r="F3424" s="29" t="s">
        <v>372</v>
      </c>
      <c r="H3424" t="s">
        <v>1051</v>
      </c>
      <c r="J3424" t="s">
        <v>2732</v>
      </c>
      <c r="K3424" t="s">
        <v>337</v>
      </c>
      <c r="L3424" t="s">
        <v>327</v>
      </c>
    </row>
    <row r="3425" spans="1:12">
      <c r="A3425" t="s">
        <v>2729</v>
      </c>
      <c r="B3425" t="s">
        <v>2730</v>
      </c>
      <c r="C3425" t="s">
        <v>3054</v>
      </c>
      <c r="D3425" s="29">
        <v>2700100093479</v>
      </c>
      <c r="E3425" s="29" t="s">
        <v>371</v>
      </c>
      <c r="F3425" s="29" t="s">
        <v>372</v>
      </c>
      <c r="H3425" t="s">
        <v>1051</v>
      </c>
      <c r="J3425" t="s">
        <v>2732</v>
      </c>
      <c r="K3425" t="s">
        <v>337</v>
      </c>
      <c r="L3425" t="s">
        <v>327</v>
      </c>
    </row>
    <row r="3426" spans="1:12">
      <c r="A3426" t="s">
        <v>2729</v>
      </c>
      <c r="B3426" t="s">
        <v>2730</v>
      </c>
      <c r="C3426" t="s">
        <v>3055</v>
      </c>
      <c r="D3426" s="29">
        <v>2700100093578</v>
      </c>
      <c r="E3426" s="29" t="s">
        <v>371</v>
      </c>
      <c r="F3426" s="29" t="s">
        <v>372</v>
      </c>
      <c r="H3426" t="s">
        <v>1051</v>
      </c>
      <c r="J3426" t="s">
        <v>2732</v>
      </c>
      <c r="K3426" t="s">
        <v>337</v>
      </c>
      <c r="L3426" t="s">
        <v>327</v>
      </c>
    </row>
    <row r="3427" spans="1:12">
      <c r="A3427" t="s">
        <v>2729</v>
      </c>
      <c r="B3427" t="s">
        <v>2730</v>
      </c>
      <c r="C3427" t="s">
        <v>3056</v>
      </c>
      <c r="D3427" s="29">
        <v>2700100093649</v>
      </c>
      <c r="E3427" s="29" t="s">
        <v>371</v>
      </c>
      <c r="F3427" s="29" t="s">
        <v>372</v>
      </c>
      <c r="H3427" t="s">
        <v>1051</v>
      </c>
      <c r="J3427" t="s">
        <v>2732</v>
      </c>
      <c r="K3427" t="s">
        <v>337</v>
      </c>
      <c r="L3427" t="s">
        <v>327</v>
      </c>
    </row>
    <row r="3428" spans="1:12">
      <c r="A3428" t="s">
        <v>2729</v>
      </c>
      <c r="B3428" t="s">
        <v>2730</v>
      </c>
      <c r="C3428" t="s">
        <v>3057</v>
      </c>
      <c r="D3428" s="29">
        <v>2700100091314</v>
      </c>
      <c r="E3428" s="29" t="s">
        <v>987</v>
      </c>
      <c r="F3428" s="29" t="s">
        <v>364</v>
      </c>
      <c r="H3428" t="s">
        <v>1051</v>
      </c>
      <c r="J3428" t="s">
        <v>2732</v>
      </c>
      <c r="K3428" t="s">
        <v>394</v>
      </c>
      <c r="L3428" t="s">
        <v>1090</v>
      </c>
    </row>
    <row r="3429" spans="1:12">
      <c r="A3429" t="s">
        <v>2729</v>
      </c>
      <c r="B3429" t="s">
        <v>2730</v>
      </c>
      <c r="C3429" t="s">
        <v>3058</v>
      </c>
      <c r="D3429" s="29">
        <v>2700100072438</v>
      </c>
      <c r="E3429" s="29" t="s">
        <v>529</v>
      </c>
      <c r="F3429" s="29" t="s">
        <v>372</v>
      </c>
      <c r="H3429" t="s">
        <v>1051</v>
      </c>
      <c r="J3429" t="s">
        <v>2732</v>
      </c>
      <c r="K3429" t="s">
        <v>337</v>
      </c>
      <c r="L3429" t="s">
        <v>327</v>
      </c>
    </row>
    <row r="3430" spans="1:12">
      <c r="A3430" t="s">
        <v>2729</v>
      </c>
      <c r="B3430" t="s">
        <v>2730</v>
      </c>
      <c r="C3430" t="s">
        <v>3059</v>
      </c>
      <c r="D3430" s="29">
        <v>2700100072472</v>
      </c>
      <c r="E3430" s="29" t="s">
        <v>529</v>
      </c>
      <c r="F3430" s="29" t="s">
        <v>372</v>
      </c>
      <c r="H3430" t="s">
        <v>1051</v>
      </c>
      <c r="J3430" t="s">
        <v>2732</v>
      </c>
      <c r="K3430" t="s">
        <v>337</v>
      </c>
      <c r="L3430" t="s">
        <v>327</v>
      </c>
    </row>
    <row r="3431" spans="1:12">
      <c r="A3431" t="s">
        <v>2729</v>
      </c>
      <c r="B3431" t="s">
        <v>2730</v>
      </c>
      <c r="C3431" t="s">
        <v>3060</v>
      </c>
      <c r="D3431" s="29">
        <v>2700100073187</v>
      </c>
      <c r="E3431" s="29" t="s">
        <v>529</v>
      </c>
      <c r="F3431" s="29" t="s">
        <v>372</v>
      </c>
      <c r="H3431" t="s">
        <v>1051</v>
      </c>
      <c r="J3431" t="s">
        <v>2732</v>
      </c>
      <c r="K3431" t="s">
        <v>337</v>
      </c>
      <c r="L3431" t="s">
        <v>327</v>
      </c>
    </row>
    <row r="3432" spans="1:12">
      <c r="A3432" t="s">
        <v>2729</v>
      </c>
      <c r="B3432" t="s">
        <v>2730</v>
      </c>
      <c r="C3432" t="s">
        <v>3061</v>
      </c>
      <c r="D3432" s="29">
        <v>2700100084925</v>
      </c>
      <c r="E3432" s="29" t="s">
        <v>529</v>
      </c>
      <c r="F3432" s="29" t="s">
        <v>372</v>
      </c>
      <c r="H3432" t="s">
        <v>1051</v>
      </c>
      <c r="J3432" t="s">
        <v>2732</v>
      </c>
      <c r="K3432" t="s">
        <v>337</v>
      </c>
      <c r="L3432" t="s">
        <v>327</v>
      </c>
    </row>
    <row r="3433" spans="1:12">
      <c r="A3433" t="s">
        <v>2729</v>
      </c>
      <c r="B3433" t="s">
        <v>2730</v>
      </c>
      <c r="C3433" t="s">
        <v>3062</v>
      </c>
      <c r="D3433" s="29">
        <v>2700100085425</v>
      </c>
      <c r="E3433" s="29" t="s">
        <v>529</v>
      </c>
      <c r="F3433" s="29" t="s">
        <v>372</v>
      </c>
      <c r="H3433" t="s">
        <v>1051</v>
      </c>
      <c r="J3433" t="s">
        <v>2732</v>
      </c>
      <c r="K3433" t="s">
        <v>337</v>
      </c>
      <c r="L3433" t="s">
        <v>327</v>
      </c>
    </row>
    <row r="3434" spans="1:12">
      <c r="A3434" t="s">
        <v>2729</v>
      </c>
      <c r="B3434" t="s">
        <v>2730</v>
      </c>
      <c r="C3434" t="s">
        <v>3063</v>
      </c>
      <c r="D3434" s="29">
        <v>270011116371</v>
      </c>
      <c r="E3434" s="29" t="s">
        <v>529</v>
      </c>
      <c r="F3434" s="29" t="s">
        <v>372</v>
      </c>
      <c r="H3434" t="s">
        <v>1051</v>
      </c>
      <c r="J3434" t="s">
        <v>2732</v>
      </c>
      <c r="K3434" t="s">
        <v>337</v>
      </c>
      <c r="L3434" t="s">
        <v>327</v>
      </c>
    </row>
    <row r="3435" spans="1:12">
      <c r="A3435" t="s">
        <v>2729</v>
      </c>
      <c r="B3435" t="s">
        <v>2730</v>
      </c>
      <c r="C3435" t="s">
        <v>3064</v>
      </c>
      <c r="D3435" s="29">
        <v>2700100090214</v>
      </c>
      <c r="E3435" s="29" t="s">
        <v>371</v>
      </c>
      <c r="F3435" s="29" t="s">
        <v>372</v>
      </c>
      <c r="H3435" t="s">
        <v>1051</v>
      </c>
      <c r="J3435" t="s">
        <v>2732</v>
      </c>
      <c r="K3435" t="s">
        <v>337</v>
      </c>
      <c r="L3435" t="s">
        <v>327</v>
      </c>
    </row>
    <row r="3436" spans="1:12">
      <c r="A3436" t="s">
        <v>2729</v>
      </c>
      <c r="B3436" t="s">
        <v>2730</v>
      </c>
      <c r="C3436" t="s">
        <v>3065</v>
      </c>
      <c r="D3436" s="29">
        <v>2700100091844</v>
      </c>
      <c r="E3436" s="29" t="s">
        <v>371</v>
      </c>
      <c r="F3436" s="29" t="s">
        <v>372</v>
      </c>
      <c r="H3436" t="s">
        <v>1051</v>
      </c>
      <c r="J3436" t="s">
        <v>2732</v>
      </c>
      <c r="K3436" t="s">
        <v>337</v>
      </c>
      <c r="L3436" t="s">
        <v>327</v>
      </c>
    </row>
    <row r="3437" spans="1:12">
      <c r="A3437" t="s">
        <v>2729</v>
      </c>
      <c r="B3437" t="s">
        <v>2730</v>
      </c>
      <c r="C3437" t="s">
        <v>3066</v>
      </c>
      <c r="D3437" s="29">
        <v>2700100091888</v>
      </c>
      <c r="E3437" s="29" t="s">
        <v>371</v>
      </c>
      <c r="F3437" s="29" t="s">
        <v>372</v>
      </c>
      <c r="H3437" t="s">
        <v>1051</v>
      </c>
      <c r="J3437" t="s">
        <v>2732</v>
      </c>
      <c r="K3437" t="s">
        <v>337</v>
      </c>
      <c r="L3437" t="s">
        <v>327</v>
      </c>
    </row>
    <row r="3438" spans="1:12">
      <c r="A3438" t="s">
        <v>2729</v>
      </c>
      <c r="B3438" t="s">
        <v>2730</v>
      </c>
      <c r="C3438" t="s">
        <v>3067</v>
      </c>
      <c r="D3438" s="29">
        <v>2700100138455</v>
      </c>
      <c r="E3438" s="29" t="s">
        <v>371</v>
      </c>
      <c r="F3438" s="29" t="s">
        <v>372</v>
      </c>
      <c r="H3438" t="s">
        <v>1051</v>
      </c>
      <c r="J3438" t="s">
        <v>2732</v>
      </c>
      <c r="K3438" t="s">
        <v>337</v>
      </c>
      <c r="L3438" t="s">
        <v>327</v>
      </c>
    </row>
    <row r="3439" spans="1:12">
      <c r="A3439" t="s">
        <v>2729</v>
      </c>
      <c r="B3439" t="s">
        <v>2730</v>
      </c>
      <c r="C3439" t="s">
        <v>3068</v>
      </c>
      <c r="D3439" s="29">
        <v>2700100092947</v>
      </c>
      <c r="E3439" s="29" t="s">
        <v>371</v>
      </c>
      <c r="F3439" s="29" t="s">
        <v>372</v>
      </c>
      <c r="H3439" t="s">
        <v>1051</v>
      </c>
      <c r="J3439" t="s">
        <v>2732</v>
      </c>
      <c r="K3439" t="s">
        <v>337</v>
      </c>
      <c r="L3439" t="s">
        <v>1090</v>
      </c>
    </row>
    <row r="3440" spans="1:12">
      <c r="A3440" t="s">
        <v>2729</v>
      </c>
      <c r="B3440" t="s">
        <v>2730</v>
      </c>
      <c r="C3440" t="s">
        <v>3069</v>
      </c>
      <c r="D3440" s="29">
        <v>2700100093547</v>
      </c>
      <c r="E3440" s="29" t="s">
        <v>371</v>
      </c>
      <c r="F3440" s="29" t="s">
        <v>372</v>
      </c>
      <c r="H3440" t="s">
        <v>323</v>
      </c>
      <c r="J3440" t="s">
        <v>2732</v>
      </c>
      <c r="K3440" t="s">
        <v>337</v>
      </c>
      <c r="L3440" t="s">
        <v>1090</v>
      </c>
    </row>
    <row r="3441" spans="1:12">
      <c r="A3441" t="s">
        <v>2729</v>
      </c>
      <c r="B3441" t="s">
        <v>2730</v>
      </c>
      <c r="C3441" t="s">
        <v>3070</v>
      </c>
      <c r="D3441" s="29">
        <v>2700100136543</v>
      </c>
      <c r="E3441" s="29" t="s">
        <v>371</v>
      </c>
      <c r="F3441" s="29" t="s">
        <v>372</v>
      </c>
      <c r="H3441" t="s">
        <v>1051</v>
      </c>
      <c r="J3441" t="s">
        <v>2732</v>
      </c>
      <c r="K3441" t="s">
        <v>337</v>
      </c>
      <c r="L3441" t="s">
        <v>1090</v>
      </c>
    </row>
    <row r="3442" spans="1:12">
      <c r="A3442" t="s">
        <v>2729</v>
      </c>
      <c r="B3442" t="s">
        <v>2730</v>
      </c>
      <c r="C3442" t="s">
        <v>3071</v>
      </c>
      <c r="D3442" s="29">
        <v>270011120172</v>
      </c>
      <c r="E3442" s="29" t="s">
        <v>371</v>
      </c>
      <c r="F3442" s="29" t="s">
        <v>372</v>
      </c>
      <c r="H3442" t="s">
        <v>1051</v>
      </c>
      <c r="J3442" t="s">
        <v>2732</v>
      </c>
      <c r="K3442" t="s">
        <v>394</v>
      </c>
      <c r="L3442" t="s">
        <v>1090</v>
      </c>
    </row>
    <row r="3443" spans="1:12">
      <c r="A3443" t="s">
        <v>2729</v>
      </c>
      <c r="B3443" t="s">
        <v>2730</v>
      </c>
      <c r="C3443" t="s">
        <v>3072</v>
      </c>
      <c r="D3443" s="29">
        <v>2700100070277</v>
      </c>
      <c r="E3443" s="29" t="s">
        <v>371</v>
      </c>
      <c r="F3443" s="29" t="s">
        <v>372</v>
      </c>
      <c r="H3443" t="s">
        <v>1051</v>
      </c>
      <c r="J3443" t="s">
        <v>2732</v>
      </c>
      <c r="K3443" t="s">
        <v>337</v>
      </c>
      <c r="L3443" t="s">
        <v>1090</v>
      </c>
    </row>
    <row r="3444" spans="1:12">
      <c r="A3444" t="s">
        <v>2729</v>
      </c>
      <c r="B3444" t="s">
        <v>2730</v>
      </c>
      <c r="C3444" t="s">
        <v>3073</v>
      </c>
      <c r="D3444" s="29">
        <v>2700100070527</v>
      </c>
      <c r="E3444" s="29" t="s">
        <v>371</v>
      </c>
      <c r="F3444" s="29" t="s">
        <v>372</v>
      </c>
      <c r="H3444" t="s">
        <v>1051</v>
      </c>
      <c r="J3444" t="s">
        <v>2732</v>
      </c>
      <c r="K3444" t="s">
        <v>337</v>
      </c>
      <c r="L3444" t="s">
        <v>1090</v>
      </c>
    </row>
    <row r="3445" spans="1:12">
      <c r="A3445" t="s">
        <v>2729</v>
      </c>
      <c r="B3445" t="s">
        <v>2730</v>
      </c>
      <c r="C3445" t="s">
        <v>3074</v>
      </c>
      <c r="D3445" s="29">
        <v>2700100070930</v>
      </c>
      <c r="E3445" s="29" t="s">
        <v>371</v>
      </c>
      <c r="F3445" s="29" t="s">
        <v>372</v>
      </c>
      <c r="H3445" t="s">
        <v>1051</v>
      </c>
      <c r="J3445" t="s">
        <v>2732</v>
      </c>
      <c r="K3445" t="s">
        <v>337</v>
      </c>
      <c r="L3445" t="s">
        <v>1090</v>
      </c>
    </row>
    <row r="3446" spans="1:12">
      <c r="A3446" t="s">
        <v>2729</v>
      </c>
      <c r="B3446" t="s">
        <v>2730</v>
      </c>
      <c r="C3446" t="s">
        <v>3075</v>
      </c>
      <c r="D3446" s="29">
        <v>2700100049781</v>
      </c>
      <c r="E3446" s="29" t="s">
        <v>529</v>
      </c>
      <c r="F3446" s="29" t="s">
        <v>372</v>
      </c>
      <c r="H3446" t="s">
        <v>1051</v>
      </c>
      <c r="J3446" t="s">
        <v>2732</v>
      </c>
      <c r="K3446" t="s">
        <v>337</v>
      </c>
      <c r="L3446" t="s">
        <v>327</v>
      </c>
    </row>
    <row r="3447" spans="1:12">
      <c r="A3447" t="s">
        <v>2729</v>
      </c>
      <c r="B3447" t="s">
        <v>2730</v>
      </c>
      <c r="C3447" t="s">
        <v>3076</v>
      </c>
      <c r="D3447" s="29">
        <v>2700100050901</v>
      </c>
      <c r="E3447" s="29" t="s">
        <v>371</v>
      </c>
      <c r="F3447" s="29" t="s">
        <v>372</v>
      </c>
      <c r="H3447" t="s">
        <v>323</v>
      </c>
      <c r="J3447" t="s">
        <v>2732</v>
      </c>
      <c r="K3447" t="s">
        <v>337</v>
      </c>
      <c r="L3447" t="s">
        <v>327</v>
      </c>
    </row>
    <row r="3448" spans="1:12">
      <c r="A3448" t="s">
        <v>2729</v>
      </c>
      <c r="B3448" t="s">
        <v>2730</v>
      </c>
      <c r="C3448" t="s">
        <v>3077</v>
      </c>
      <c r="D3448" s="29">
        <v>2700100061097</v>
      </c>
      <c r="E3448" s="29" t="s">
        <v>371</v>
      </c>
      <c r="F3448" s="29" t="s">
        <v>372</v>
      </c>
      <c r="H3448" t="s">
        <v>1051</v>
      </c>
      <c r="J3448" t="s">
        <v>2732</v>
      </c>
      <c r="K3448" t="s">
        <v>337</v>
      </c>
      <c r="L3448" t="s">
        <v>327</v>
      </c>
    </row>
    <row r="3449" spans="1:12">
      <c r="A3449" t="s">
        <v>2729</v>
      </c>
      <c r="B3449" t="s">
        <v>2730</v>
      </c>
      <c r="C3449" t="s">
        <v>3078</v>
      </c>
      <c r="D3449" s="29">
        <v>2700100089024</v>
      </c>
      <c r="E3449" s="29" t="s">
        <v>987</v>
      </c>
      <c r="F3449" s="29" t="s">
        <v>364</v>
      </c>
      <c r="H3449" t="s">
        <v>1051</v>
      </c>
      <c r="J3449" t="s">
        <v>2732</v>
      </c>
      <c r="K3449" t="s">
        <v>394</v>
      </c>
      <c r="L3449" t="s">
        <v>1090</v>
      </c>
    </row>
  </sheetData>
  <conditionalFormatting sqref="D1:D3449">
    <cfRule type="duplicateValues" dxfId="24" priority="4"/>
    <cfRule type="duplicateValues" dxfId="23" priority="5"/>
  </conditionalFormatting>
  <conditionalFormatting sqref="D1:D1048576">
    <cfRule type="duplicateValues" dxfId="22" priority="1"/>
    <cfRule type="duplicateValues" dxfId="21" priority="2"/>
  </conditionalFormatting>
  <conditionalFormatting sqref="D3059:D1048576 D1">
    <cfRule type="duplicateValues" dxfId="20" priority="3"/>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83488-17B3-407E-8CD7-7D6FE8E0C61D}">
  <dimension ref="A1:AA166"/>
  <sheetViews>
    <sheetView workbookViewId="0">
      <selection activeCell="A5" sqref="A5"/>
    </sheetView>
  </sheetViews>
  <sheetFormatPr baseColWidth="10" defaultColWidth="10.140625" defaultRowHeight="14.25"/>
  <cols>
    <col min="1" max="1" width="10.28515625" style="2" customWidth="1"/>
    <col min="2" max="2" width="20.5703125" style="2" customWidth="1"/>
    <col min="3" max="3" width="19.42578125" style="2" customWidth="1"/>
    <col min="4" max="4" width="17.140625" style="2" customWidth="1"/>
    <col min="5" max="5" width="11.42578125" style="2" customWidth="1"/>
    <col min="6" max="6" width="32" style="2" customWidth="1"/>
    <col min="7" max="7" width="30.85546875" style="2" customWidth="1"/>
    <col min="8" max="8" width="43.42578125" style="2" customWidth="1"/>
    <col min="9" max="9" width="38.85546875" style="2" customWidth="1"/>
    <col min="10" max="10" width="13.7109375" style="2" customWidth="1"/>
    <col min="11" max="11" width="18.28515625" style="2" customWidth="1"/>
    <col min="12" max="12" width="45.7109375" style="2" customWidth="1"/>
    <col min="13" max="13" width="22.85546875" style="2" customWidth="1"/>
    <col min="14" max="14" width="20.5703125" style="2" customWidth="1"/>
    <col min="15" max="15" width="18.28515625" style="2" customWidth="1"/>
    <col min="16" max="16" width="40" style="2" customWidth="1"/>
    <col min="17" max="17" width="20.5703125" style="2" customWidth="1"/>
    <col min="18" max="18" width="22.85546875" style="2" customWidth="1"/>
    <col min="19" max="19" width="18.28515625" style="2" customWidth="1"/>
    <col min="20" max="20" width="20.5703125" style="2" customWidth="1"/>
    <col min="21" max="21" width="54.85546875" style="2" customWidth="1"/>
    <col min="22" max="22" width="25.140625" style="2" customWidth="1"/>
    <col min="23" max="23" width="54.85546875" style="2" customWidth="1"/>
    <col min="24" max="24" width="27.42578125" style="2" customWidth="1"/>
    <col min="25" max="25" width="20.5703125" style="2" customWidth="1"/>
    <col min="26" max="26" width="50.28515625" style="2" customWidth="1"/>
    <col min="27" max="27" width="27.42578125" style="2" customWidth="1"/>
    <col min="28" max="16384" width="10.140625" style="2"/>
  </cols>
  <sheetData>
    <row r="1" spans="1:27" ht="37.35" customHeight="1">
      <c r="A1" s="1" t="s">
        <v>0</v>
      </c>
      <c r="B1" s="1"/>
      <c r="C1" s="1"/>
      <c r="D1" s="1"/>
      <c r="E1" s="1"/>
      <c r="F1" s="1"/>
      <c r="G1" s="1"/>
      <c r="H1" s="1"/>
      <c r="I1" s="1"/>
      <c r="J1" s="1"/>
      <c r="K1" s="1"/>
      <c r="L1" s="1"/>
      <c r="M1" s="1"/>
      <c r="N1" s="1"/>
      <c r="O1" s="1"/>
      <c r="P1" s="1"/>
      <c r="Q1" s="1"/>
      <c r="R1" s="1"/>
      <c r="S1" s="1"/>
      <c r="T1" s="1"/>
      <c r="U1" s="1"/>
      <c r="V1" s="1"/>
      <c r="W1" s="1"/>
      <c r="X1" s="1"/>
      <c r="Y1" s="1"/>
      <c r="Z1" s="1"/>
      <c r="AA1" s="1"/>
    </row>
    <row r="2" spans="1:27" ht="45.2" customHeight="1">
      <c r="A2" s="3"/>
      <c r="B2" s="3"/>
      <c r="C2" s="3"/>
      <c r="D2" s="3"/>
      <c r="E2" s="3"/>
      <c r="F2" s="3"/>
      <c r="G2" s="3"/>
      <c r="H2" s="3"/>
      <c r="I2" s="3"/>
      <c r="J2" s="3"/>
      <c r="K2" s="3"/>
      <c r="L2" s="3"/>
      <c r="M2" s="3"/>
      <c r="N2" s="3"/>
      <c r="O2" s="3"/>
      <c r="P2" s="3"/>
      <c r="Q2" s="3"/>
      <c r="R2" s="3"/>
      <c r="S2" s="3"/>
      <c r="T2" s="3"/>
      <c r="U2" s="3"/>
      <c r="V2" s="3"/>
      <c r="W2" s="3"/>
      <c r="X2" s="3"/>
      <c r="Y2" s="3"/>
      <c r="Z2" s="3"/>
      <c r="AA2" s="3"/>
    </row>
    <row r="3" spans="1:27" ht="32.1" customHeight="1">
      <c r="A3" s="4" t="s">
        <v>1</v>
      </c>
      <c r="B3" s="4"/>
      <c r="C3" s="4"/>
      <c r="D3" s="4"/>
      <c r="E3" s="4"/>
      <c r="F3" s="4"/>
      <c r="G3" s="4"/>
      <c r="H3" s="4"/>
      <c r="I3" s="4"/>
      <c r="J3" s="4"/>
      <c r="K3" s="5" t="s">
        <v>2</v>
      </c>
      <c r="L3" s="5"/>
      <c r="M3" s="5"/>
      <c r="N3" s="5"/>
      <c r="O3" s="6" t="s">
        <v>3</v>
      </c>
      <c r="P3" s="6"/>
      <c r="Q3" s="6"/>
      <c r="R3" s="6"/>
      <c r="S3" s="6"/>
      <c r="T3" s="6"/>
      <c r="U3" s="7" t="s">
        <v>4</v>
      </c>
      <c r="V3" s="7"/>
      <c r="W3" s="7"/>
      <c r="X3" s="7"/>
      <c r="Y3" s="8" t="s">
        <v>5</v>
      </c>
      <c r="Z3" s="8"/>
      <c r="AA3" s="8"/>
    </row>
    <row r="5" spans="1:27" ht="74.849999999999994" customHeight="1">
      <c r="A5" s="9" t="s">
        <v>6</v>
      </c>
      <c r="B5" s="10" t="s">
        <v>7</v>
      </c>
      <c r="C5" s="10" t="s">
        <v>8</v>
      </c>
      <c r="D5" s="10" t="s">
        <v>9</v>
      </c>
      <c r="E5" s="10" t="s">
        <v>10</v>
      </c>
      <c r="F5" s="10" t="s">
        <v>11</v>
      </c>
      <c r="G5" s="10" t="s">
        <v>12</v>
      </c>
      <c r="H5" s="10" t="s">
        <v>13</v>
      </c>
      <c r="I5" s="10" t="s">
        <v>14</v>
      </c>
      <c r="J5" s="10" t="s">
        <v>15</v>
      </c>
      <c r="K5" s="10" t="s">
        <v>16</v>
      </c>
      <c r="L5" s="10" t="s">
        <v>17</v>
      </c>
      <c r="M5" s="10" t="s">
        <v>18</v>
      </c>
      <c r="N5" s="10" t="s">
        <v>19</v>
      </c>
      <c r="O5" s="10" t="s">
        <v>20</v>
      </c>
      <c r="P5" s="10" t="s">
        <v>21</v>
      </c>
      <c r="Q5" s="10" t="s">
        <v>22</v>
      </c>
      <c r="R5" s="10" t="s">
        <v>23</v>
      </c>
      <c r="S5" s="10" t="s">
        <v>24</v>
      </c>
      <c r="T5" s="10" t="s">
        <v>25</v>
      </c>
      <c r="U5" s="10" t="s">
        <v>26</v>
      </c>
      <c r="V5" s="10" t="s">
        <v>27</v>
      </c>
      <c r="W5" s="10" t="s">
        <v>28</v>
      </c>
      <c r="X5" s="10" t="s">
        <v>29</v>
      </c>
      <c r="Y5" s="10" t="s">
        <v>30</v>
      </c>
      <c r="Z5" s="10" t="s">
        <v>31</v>
      </c>
      <c r="AA5" s="10" t="s">
        <v>32</v>
      </c>
    </row>
    <row r="6" spans="1:27" s="17" customFormat="1" ht="96" customHeight="1">
      <c r="A6" s="11" t="s">
        <v>33</v>
      </c>
      <c r="B6" s="12" t="s">
        <v>34</v>
      </c>
      <c r="C6" s="12" t="s">
        <v>35</v>
      </c>
      <c r="D6" s="12" t="s">
        <v>36</v>
      </c>
      <c r="E6" s="12" t="s">
        <v>37</v>
      </c>
      <c r="F6" s="12" t="s">
        <v>38</v>
      </c>
      <c r="G6" s="12" t="s">
        <v>39</v>
      </c>
      <c r="H6" s="12" t="s">
        <v>40</v>
      </c>
      <c r="I6" s="12" t="s">
        <v>41</v>
      </c>
      <c r="J6" s="13">
        <v>36</v>
      </c>
      <c r="K6" s="14" t="s">
        <v>42</v>
      </c>
      <c r="L6" s="12" t="s">
        <v>43</v>
      </c>
      <c r="M6" s="12" t="s">
        <v>44</v>
      </c>
      <c r="N6" s="12" t="s">
        <v>45</v>
      </c>
      <c r="O6" s="15" t="s">
        <v>46</v>
      </c>
      <c r="P6" s="12" t="s">
        <v>47</v>
      </c>
      <c r="Q6" s="12" t="s">
        <v>48</v>
      </c>
      <c r="R6" s="12" t="s">
        <v>48</v>
      </c>
      <c r="S6" s="14" t="s">
        <v>49</v>
      </c>
      <c r="T6" s="15" t="s">
        <v>50</v>
      </c>
      <c r="U6" s="12" t="s">
        <v>51</v>
      </c>
      <c r="V6" s="15" t="s">
        <v>46</v>
      </c>
      <c r="W6" s="12" t="s">
        <v>52</v>
      </c>
      <c r="X6" s="15" t="s">
        <v>46</v>
      </c>
      <c r="Y6" s="16">
        <v>46249</v>
      </c>
      <c r="Z6" s="15" t="s">
        <v>53</v>
      </c>
      <c r="AA6" s="12" t="s">
        <v>54</v>
      </c>
    </row>
    <row r="7" spans="1:27" s="17" customFormat="1" ht="96" customHeight="1">
      <c r="A7" s="11" t="s">
        <v>55</v>
      </c>
      <c r="B7" s="12" t="s">
        <v>34</v>
      </c>
      <c r="C7" s="12" t="s">
        <v>56</v>
      </c>
      <c r="D7" s="12" t="s">
        <v>36</v>
      </c>
      <c r="E7" s="12" t="s">
        <v>37</v>
      </c>
      <c r="F7" s="12" t="s">
        <v>57</v>
      </c>
      <c r="G7" s="12" t="s">
        <v>58</v>
      </c>
      <c r="H7" s="12" t="s">
        <v>59</v>
      </c>
      <c r="I7" s="12" t="s">
        <v>60</v>
      </c>
      <c r="J7" s="13">
        <v>18</v>
      </c>
      <c r="K7" s="14" t="s">
        <v>42</v>
      </c>
      <c r="L7" s="12" t="s">
        <v>61</v>
      </c>
      <c r="M7" s="12" t="s">
        <v>44</v>
      </c>
      <c r="N7" s="12" t="s">
        <v>62</v>
      </c>
      <c r="O7" s="15" t="s">
        <v>46</v>
      </c>
      <c r="P7" s="12" t="s">
        <v>47</v>
      </c>
      <c r="Q7" s="12" t="s">
        <v>48</v>
      </c>
      <c r="R7" s="12" t="s">
        <v>48</v>
      </c>
      <c r="S7" s="14" t="s">
        <v>63</v>
      </c>
      <c r="T7" s="15" t="s">
        <v>50</v>
      </c>
      <c r="U7" s="12" t="s">
        <v>64</v>
      </c>
      <c r="V7" s="15" t="s">
        <v>50</v>
      </c>
      <c r="W7" s="12" t="s">
        <v>65</v>
      </c>
      <c r="X7" s="15" t="s">
        <v>50</v>
      </c>
      <c r="Y7" s="16">
        <v>46249</v>
      </c>
      <c r="Z7" s="15" t="s">
        <v>53</v>
      </c>
      <c r="AA7" s="12" t="s">
        <v>54</v>
      </c>
    </row>
    <row r="8" spans="1:27" s="17" customFormat="1" ht="96" customHeight="1">
      <c r="A8" s="11" t="s">
        <v>66</v>
      </c>
      <c r="B8" s="12" t="s">
        <v>67</v>
      </c>
      <c r="C8" s="12" t="s">
        <v>68</v>
      </c>
      <c r="D8" s="12" t="s">
        <v>36</v>
      </c>
      <c r="E8" s="12" t="s">
        <v>37</v>
      </c>
      <c r="F8" s="12" t="s">
        <v>69</v>
      </c>
      <c r="G8" s="12" t="s">
        <v>58</v>
      </c>
      <c r="H8" s="12" t="s">
        <v>70</v>
      </c>
      <c r="I8" s="12" t="s">
        <v>71</v>
      </c>
      <c r="J8" s="13">
        <v>100</v>
      </c>
      <c r="K8" s="14">
        <v>46248</v>
      </c>
      <c r="L8" s="12" t="s">
        <v>72</v>
      </c>
      <c r="M8" s="12" t="s">
        <v>73</v>
      </c>
      <c r="N8" s="12" t="s">
        <v>45</v>
      </c>
      <c r="O8" s="15" t="s">
        <v>46</v>
      </c>
      <c r="P8" s="12" t="s">
        <v>74</v>
      </c>
      <c r="Q8" s="12" t="s">
        <v>50</v>
      </c>
      <c r="R8" s="12" t="s">
        <v>75</v>
      </c>
      <c r="S8" s="14" t="s">
        <v>75</v>
      </c>
      <c r="T8" s="15" t="s">
        <v>50</v>
      </c>
      <c r="U8" s="12" t="s">
        <v>76</v>
      </c>
      <c r="V8" s="15" t="s">
        <v>50</v>
      </c>
      <c r="W8" s="12" t="s">
        <v>77</v>
      </c>
      <c r="X8" s="15" t="s">
        <v>50</v>
      </c>
      <c r="Y8" s="16">
        <v>46253</v>
      </c>
      <c r="Z8" s="15" t="s">
        <v>53</v>
      </c>
      <c r="AA8" s="12" t="s">
        <v>54</v>
      </c>
    </row>
    <row r="9" spans="1:27" s="17" customFormat="1" ht="96" customHeight="1">
      <c r="A9" s="11" t="s">
        <v>78</v>
      </c>
      <c r="B9" s="12" t="s">
        <v>79</v>
      </c>
      <c r="C9" s="12" t="s">
        <v>80</v>
      </c>
      <c r="D9" s="12" t="s">
        <v>36</v>
      </c>
      <c r="E9" s="12" t="s">
        <v>37</v>
      </c>
      <c r="F9" s="12" t="s">
        <v>81</v>
      </c>
      <c r="G9" s="12" t="s">
        <v>82</v>
      </c>
      <c r="H9" s="12" t="s">
        <v>83</v>
      </c>
      <c r="I9" s="12" t="s">
        <v>84</v>
      </c>
      <c r="J9" s="13">
        <v>6</v>
      </c>
      <c r="K9" s="14" t="s">
        <v>42</v>
      </c>
      <c r="L9" s="12" t="s">
        <v>85</v>
      </c>
      <c r="M9" s="12" t="s">
        <v>86</v>
      </c>
      <c r="N9" s="12" t="s">
        <v>45</v>
      </c>
      <c r="O9" s="15" t="s">
        <v>46</v>
      </c>
      <c r="P9" s="12" t="s">
        <v>87</v>
      </c>
      <c r="Q9" s="12" t="s">
        <v>50</v>
      </c>
      <c r="R9" s="12" t="s">
        <v>75</v>
      </c>
      <c r="S9" s="14" t="s">
        <v>75</v>
      </c>
      <c r="T9" s="15" t="s">
        <v>50</v>
      </c>
      <c r="U9" s="12" t="s">
        <v>88</v>
      </c>
      <c r="V9" s="15" t="s">
        <v>50</v>
      </c>
      <c r="W9" s="12" t="s">
        <v>89</v>
      </c>
      <c r="X9" s="15" t="s">
        <v>50</v>
      </c>
      <c r="Y9" s="16">
        <v>46249</v>
      </c>
      <c r="Z9" s="15" t="s">
        <v>53</v>
      </c>
      <c r="AA9" s="12" t="s">
        <v>54</v>
      </c>
    </row>
    <row r="10" spans="1:27" s="17" customFormat="1" ht="96" customHeight="1">
      <c r="A10" s="11" t="s">
        <v>90</v>
      </c>
      <c r="B10" s="12" t="s">
        <v>91</v>
      </c>
      <c r="C10" s="12" t="s">
        <v>92</v>
      </c>
      <c r="D10" s="12" t="s">
        <v>36</v>
      </c>
      <c r="E10" s="12" t="s">
        <v>37</v>
      </c>
      <c r="F10" s="12" t="s">
        <v>93</v>
      </c>
      <c r="G10" s="12" t="s">
        <v>58</v>
      </c>
      <c r="H10" s="12" t="s">
        <v>94</v>
      </c>
      <c r="I10" s="12" t="s">
        <v>95</v>
      </c>
      <c r="J10" s="13">
        <v>75</v>
      </c>
      <c r="K10" s="14" t="s">
        <v>63</v>
      </c>
      <c r="L10" s="12" t="s">
        <v>96</v>
      </c>
      <c r="M10" s="12" t="s">
        <v>97</v>
      </c>
      <c r="N10" s="12" t="s">
        <v>98</v>
      </c>
      <c r="O10" s="15" t="s">
        <v>50</v>
      </c>
      <c r="P10" s="12"/>
      <c r="Q10" s="12" t="s">
        <v>75</v>
      </c>
      <c r="R10" s="12" t="s">
        <v>75</v>
      </c>
      <c r="S10" s="14" t="s">
        <v>75</v>
      </c>
      <c r="T10" s="15" t="s">
        <v>50</v>
      </c>
      <c r="U10" s="12" t="s">
        <v>99</v>
      </c>
      <c r="V10" s="15" t="s">
        <v>50</v>
      </c>
      <c r="W10" s="12" t="s">
        <v>100</v>
      </c>
      <c r="X10" s="15" t="s">
        <v>46</v>
      </c>
      <c r="Y10" s="16">
        <v>46249</v>
      </c>
      <c r="Z10" s="15" t="s">
        <v>53</v>
      </c>
      <c r="AA10" s="12" t="s">
        <v>54</v>
      </c>
    </row>
    <row r="11" spans="1:27" s="17" customFormat="1" ht="96" customHeight="1">
      <c r="A11" s="11" t="s">
        <v>101</v>
      </c>
      <c r="B11" s="12" t="s">
        <v>91</v>
      </c>
      <c r="C11" s="12" t="s">
        <v>92</v>
      </c>
      <c r="D11" s="12" t="s">
        <v>36</v>
      </c>
      <c r="E11" s="12" t="s">
        <v>37</v>
      </c>
      <c r="F11" s="12" t="s">
        <v>102</v>
      </c>
      <c r="G11" s="12" t="s">
        <v>58</v>
      </c>
      <c r="H11" s="12" t="s">
        <v>103</v>
      </c>
      <c r="I11" s="12" t="s">
        <v>104</v>
      </c>
      <c r="J11" s="13">
        <v>200</v>
      </c>
      <c r="K11" s="14" t="s">
        <v>63</v>
      </c>
      <c r="L11" s="12" t="s">
        <v>105</v>
      </c>
      <c r="M11" s="12" t="s">
        <v>97</v>
      </c>
      <c r="N11" s="12" t="s">
        <v>98</v>
      </c>
      <c r="O11" s="15" t="s">
        <v>50</v>
      </c>
      <c r="P11" s="12" t="s">
        <v>106</v>
      </c>
      <c r="Q11" s="12" t="s">
        <v>75</v>
      </c>
      <c r="R11" s="12" t="s">
        <v>75</v>
      </c>
      <c r="S11" s="14" t="s">
        <v>75</v>
      </c>
      <c r="T11" s="15" t="s">
        <v>50</v>
      </c>
      <c r="U11" s="12" t="s">
        <v>107</v>
      </c>
      <c r="V11" s="15" t="s">
        <v>50</v>
      </c>
      <c r="W11" s="12" t="s">
        <v>108</v>
      </c>
      <c r="X11" s="15" t="s">
        <v>46</v>
      </c>
      <c r="Y11" s="16">
        <v>46249</v>
      </c>
      <c r="Z11" s="15" t="s">
        <v>53</v>
      </c>
      <c r="AA11" s="12" t="s">
        <v>54</v>
      </c>
    </row>
    <row r="12" spans="1:27" s="17" customFormat="1" ht="96" customHeight="1">
      <c r="A12" s="11" t="s">
        <v>109</v>
      </c>
      <c r="B12" s="12" t="s">
        <v>91</v>
      </c>
      <c r="C12" s="12" t="s">
        <v>92</v>
      </c>
      <c r="D12" s="12" t="s">
        <v>36</v>
      </c>
      <c r="E12" s="12" t="s">
        <v>37</v>
      </c>
      <c r="F12" s="12" t="s">
        <v>81</v>
      </c>
      <c r="G12" s="12" t="s">
        <v>58</v>
      </c>
      <c r="H12" s="12" t="s">
        <v>110</v>
      </c>
      <c r="I12" s="12" t="s">
        <v>111</v>
      </c>
      <c r="J12" s="13">
        <v>2</v>
      </c>
      <c r="K12" s="14" t="s">
        <v>63</v>
      </c>
      <c r="L12" s="12" t="s">
        <v>112</v>
      </c>
      <c r="M12" s="12" t="s">
        <v>97</v>
      </c>
      <c r="N12" s="12" t="s">
        <v>98</v>
      </c>
      <c r="O12" s="15" t="s">
        <v>50</v>
      </c>
      <c r="P12" s="12" t="s">
        <v>75</v>
      </c>
      <c r="Q12" s="12" t="s">
        <v>50</v>
      </c>
      <c r="R12" s="12" t="s">
        <v>75</v>
      </c>
      <c r="S12" s="14" t="s">
        <v>75</v>
      </c>
      <c r="T12" s="15" t="s">
        <v>50</v>
      </c>
      <c r="U12" s="12" t="s">
        <v>113</v>
      </c>
      <c r="V12" s="15" t="s">
        <v>50</v>
      </c>
      <c r="W12" s="12" t="s">
        <v>114</v>
      </c>
      <c r="X12" s="15" t="s">
        <v>46</v>
      </c>
      <c r="Y12" s="16">
        <v>46249</v>
      </c>
      <c r="Z12" s="15" t="s">
        <v>53</v>
      </c>
      <c r="AA12" s="12" t="s">
        <v>54</v>
      </c>
    </row>
    <row r="13" spans="1:27" s="17" customFormat="1" ht="96" customHeight="1">
      <c r="A13" s="11" t="s">
        <v>115</v>
      </c>
      <c r="B13" s="12" t="s">
        <v>91</v>
      </c>
      <c r="C13" s="12" t="s">
        <v>116</v>
      </c>
      <c r="D13" s="12" t="s">
        <v>36</v>
      </c>
      <c r="E13" s="12" t="s">
        <v>37</v>
      </c>
      <c r="F13" s="12" t="s">
        <v>38</v>
      </c>
      <c r="G13" s="12" t="s">
        <v>58</v>
      </c>
      <c r="H13" s="12" t="s">
        <v>117</v>
      </c>
      <c r="I13" s="12" t="s">
        <v>118</v>
      </c>
      <c r="J13" s="13">
        <v>66</v>
      </c>
      <c r="K13" s="14" t="s">
        <v>119</v>
      </c>
      <c r="L13" s="12" t="s">
        <v>120</v>
      </c>
      <c r="M13" s="12" t="s">
        <v>97</v>
      </c>
      <c r="N13" s="12" t="s">
        <v>98</v>
      </c>
      <c r="O13" s="15" t="s">
        <v>50</v>
      </c>
      <c r="P13" s="12" t="s">
        <v>121</v>
      </c>
      <c r="Q13" s="12" t="s">
        <v>50</v>
      </c>
      <c r="R13" s="12" t="s">
        <v>75</v>
      </c>
      <c r="S13" s="14" t="s">
        <v>122</v>
      </c>
      <c r="T13" s="15" t="s">
        <v>50</v>
      </c>
      <c r="U13" s="12" t="s">
        <v>123</v>
      </c>
      <c r="V13" s="15" t="s">
        <v>50</v>
      </c>
      <c r="W13" s="12" t="s">
        <v>124</v>
      </c>
      <c r="X13" s="15" t="s">
        <v>46</v>
      </c>
      <c r="Y13" s="16">
        <v>46249</v>
      </c>
      <c r="Z13" s="15" t="s">
        <v>53</v>
      </c>
      <c r="AA13" s="12" t="s">
        <v>54</v>
      </c>
    </row>
    <row r="14" spans="1:27" s="17" customFormat="1" ht="96" customHeight="1">
      <c r="A14" s="11" t="s">
        <v>125</v>
      </c>
      <c r="B14" s="12" t="s">
        <v>126</v>
      </c>
      <c r="C14" s="12" t="s">
        <v>127</v>
      </c>
      <c r="D14" s="12" t="s">
        <v>36</v>
      </c>
      <c r="E14" s="12" t="s">
        <v>37</v>
      </c>
      <c r="F14" s="12" t="s">
        <v>128</v>
      </c>
      <c r="G14" s="12" t="s">
        <v>58</v>
      </c>
      <c r="H14" s="12" t="s">
        <v>129</v>
      </c>
      <c r="I14" s="12" t="s">
        <v>130</v>
      </c>
      <c r="J14" s="13">
        <v>70</v>
      </c>
      <c r="K14" s="14" t="s">
        <v>42</v>
      </c>
      <c r="L14" s="12" t="s">
        <v>131</v>
      </c>
      <c r="M14" s="12" t="s">
        <v>44</v>
      </c>
      <c r="N14" s="12" t="s">
        <v>62</v>
      </c>
      <c r="O14" s="15" t="s">
        <v>50</v>
      </c>
      <c r="P14" s="12" t="s">
        <v>122</v>
      </c>
      <c r="Q14" s="12" t="s">
        <v>50</v>
      </c>
      <c r="R14" s="12" t="s">
        <v>75</v>
      </c>
      <c r="S14" s="14" t="s">
        <v>122</v>
      </c>
      <c r="T14" s="15" t="s">
        <v>50</v>
      </c>
      <c r="U14" s="12" t="s">
        <v>132</v>
      </c>
      <c r="V14" s="15" t="s">
        <v>46</v>
      </c>
      <c r="W14" s="12" t="s">
        <v>133</v>
      </c>
      <c r="X14" s="15" t="s">
        <v>50</v>
      </c>
      <c r="Y14" s="16">
        <v>46249</v>
      </c>
      <c r="Z14" s="15" t="s">
        <v>53</v>
      </c>
      <c r="AA14" s="12" t="s">
        <v>54</v>
      </c>
    </row>
    <row r="15" spans="1:27" s="17" customFormat="1" ht="96" customHeight="1">
      <c r="A15" s="11" t="s">
        <v>134</v>
      </c>
      <c r="B15" s="12" t="s">
        <v>126</v>
      </c>
      <c r="C15" s="12" t="s">
        <v>126</v>
      </c>
      <c r="D15" s="12" t="s">
        <v>36</v>
      </c>
      <c r="E15" s="12" t="s">
        <v>37</v>
      </c>
      <c r="F15" s="12" t="s">
        <v>38</v>
      </c>
      <c r="G15" s="12" t="s">
        <v>58</v>
      </c>
      <c r="H15" s="12" t="s">
        <v>135</v>
      </c>
      <c r="I15" s="12" t="s">
        <v>136</v>
      </c>
      <c r="J15" s="13">
        <v>22</v>
      </c>
      <c r="K15" s="14" t="s">
        <v>42</v>
      </c>
      <c r="L15" s="12" t="s">
        <v>137</v>
      </c>
      <c r="M15" s="12" t="s">
        <v>138</v>
      </c>
      <c r="N15" s="12" t="s">
        <v>45</v>
      </c>
      <c r="O15" s="15" t="s">
        <v>46</v>
      </c>
      <c r="P15" s="12" t="s">
        <v>75</v>
      </c>
      <c r="Q15" s="12" t="s">
        <v>50</v>
      </c>
      <c r="R15" s="12" t="s">
        <v>75</v>
      </c>
      <c r="S15" s="14" t="s">
        <v>75</v>
      </c>
      <c r="T15" s="15" t="s">
        <v>50</v>
      </c>
      <c r="U15" s="12" t="s">
        <v>139</v>
      </c>
      <c r="V15" s="15" t="s">
        <v>50</v>
      </c>
      <c r="W15" s="12" t="s">
        <v>140</v>
      </c>
      <c r="X15" s="15" t="s">
        <v>46</v>
      </c>
      <c r="Y15" s="16">
        <v>46249</v>
      </c>
      <c r="Z15" s="15" t="s">
        <v>53</v>
      </c>
      <c r="AA15" s="12" t="s">
        <v>54</v>
      </c>
    </row>
    <row r="16" spans="1:27" s="17" customFormat="1" ht="96" customHeight="1">
      <c r="A16" s="11" t="s">
        <v>141</v>
      </c>
      <c r="B16" s="12" t="s">
        <v>126</v>
      </c>
      <c r="C16" s="12" t="s">
        <v>126</v>
      </c>
      <c r="D16" s="12" t="s">
        <v>36</v>
      </c>
      <c r="E16" s="12" t="s">
        <v>37</v>
      </c>
      <c r="F16" s="12" t="s">
        <v>142</v>
      </c>
      <c r="G16" s="12" t="s">
        <v>58</v>
      </c>
      <c r="H16" s="12" t="s">
        <v>143</v>
      </c>
      <c r="I16" s="12" t="s">
        <v>144</v>
      </c>
      <c r="J16" s="13">
        <v>12</v>
      </c>
      <c r="K16" s="14" t="s">
        <v>63</v>
      </c>
      <c r="L16" s="12" t="s">
        <v>145</v>
      </c>
      <c r="M16" s="12" t="s">
        <v>44</v>
      </c>
      <c r="N16" s="12" t="s">
        <v>146</v>
      </c>
      <c r="O16" s="15" t="s">
        <v>50</v>
      </c>
      <c r="P16" s="12" t="s">
        <v>75</v>
      </c>
      <c r="Q16" s="12" t="s">
        <v>50</v>
      </c>
      <c r="R16" s="12" t="s">
        <v>75</v>
      </c>
      <c r="S16" s="14" t="s">
        <v>75</v>
      </c>
      <c r="T16" s="15" t="s">
        <v>50</v>
      </c>
      <c r="U16" s="12" t="s">
        <v>147</v>
      </c>
      <c r="V16" s="15" t="s">
        <v>50</v>
      </c>
      <c r="W16" s="12" t="s">
        <v>148</v>
      </c>
      <c r="X16" s="15" t="s">
        <v>50</v>
      </c>
      <c r="Y16" s="16">
        <v>46249</v>
      </c>
      <c r="Z16" s="15" t="s">
        <v>53</v>
      </c>
      <c r="AA16" s="12" t="s">
        <v>54</v>
      </c>
    </row>
    <row r="17" spans="1:27" s="17" customFormat="1" ht="96" customHeight="1">
      <c r="A17" s="11" t="s">
        <v>149</v>
      </c>
      <c r="B17" s="12" t="s">
        <v>126</v>
      </c>
      <c r="C17" s="12" t="s">
        <v>126</v>
      </c>
      <c r="D17" s="12" t="s">
        <v>36</v>
      </c>
      <c r="E17" s="12" t="s">
        <v>37</v>
      </c>
      <c r="F17" s="12" t="s">
        <v>57</v>
      </c>
      <c r="G17" s="12" t="s">
        <v>58</v>
      </c>
      <c r="H17" s="12" t="s">
        <v>150</v>
      </c>
      <c r="I17" s="12"/>
      <c r="J17" s="13">
        <v>48</v>
      </c>
      <c r="K17" s="14" t="s">
        <v>42</v>
      </c>
      <c r="L17" s="12" t="s">
        <v>151</v>
      </c>
      <c r="M17" s="12" t="s">
        <v>152</v>
      </c>
      <c r="N17" s="12" t="s">
        <v>98</v>
      </c>
      <c r="O17" s="15" t="s">
        <v>50</v>
      </c>
      <c r="P17" s="12" t="s">
        <v>75</v>
      </c>
      <c r="Q17" s="12" t="s">
        <v>50</v>
      </c>
      <c r="R17" s="12" t="s">
        <v>75</v>
      </c>
      <c r="S17" s="14" t="s">
        <v>75</v>
      </c>
      <c r="T17" s="15" t="s">
        <v>50</v>
      </c>
      <c r="U17" s="12" t="s">
        <v>153</v>
      </c>
      <c r="V17" s="15" t="s">
        <v>50</v>
      </c>
      <c r="W17" s="12" t="s">
        <v>154</v>
      </c>
      <c r="X17" s="15" t="s">
        <v>46</v>
      </c>
      <c r="Y17" s="16">
        <v>46249</v>
      </c>
      <c r="Z17" s="15" t="s">
        <v>53</v>
      </c>
      <c r="AA17" s="12" t="s">
        <v>54</v>
      </c>
    </row>
    <row r="18" spans="1:27" s="17" customFormat="1" ht="96" customHeight="1">
      <c r="A18" s="11" t="s">
        <v>155</v>
      </c>
      <c r="B18" s="12" t="s">
        <v>126</v>
      </c>
      <c r="C18" s="12" t="s">
        <v>127</v>
      </c>
      <c r="D18" s="12" t="s">
        <v>36</v>
      </c>
      <c r="E18" s="12" t="s">
        <v>37</v>
      </c>
      <c r="F18" s="12" t="s">
        <v>38</v>
      </c>
      <c r="G18" s="12" t="s">
        <v>39</v>
      </c>
      <c r="H18" s="12" t="s">
        <v>156</v>
      </c>
      <c r="I18" s="12" t="s">
        <v>157</v>
      </c>
      <c r="J18" s="13">
        <v>116</v>
      </c>
      <c r="K18" s="14" t="s">
        <v>63</v>
      </c>
      <c r="L18" s="12" t="s">
        <v>158</v>
      </c>
      <c r="M18" s="12" t="s">
        <v>97</v>
      </c>
      <c r="N18" s="12" t="s">
        <v>45</v>
      </c>
      <c r="O18" s="15" t="s">
        <v>50</v>
      </c>
      <c r="P18" s="12" t="s">
        <v>75</v>
      </c>
      <c r="Q18" s="12" t="s">
        <v>50</v>
      </c>
      <c r="R18" s="12" t="s">
        <v>75</v>
      </c>
      <c r="S18" s="14" t="s">
        <v>75</v>
      </c>
      <c r="T18" s="15" t="s">
        <v>50</v>
      </c>
      <c r="U18" s="12" t="s">
        <v>159</v>
      </c>
      <c r="V18" s="15" t="s">
        <v>46</v>
      </c>
      <c r="W18" s="12" t="s">
        <v>160</v>
      </c>
      <c r="X18" s="15" t="s">
        <v>46</v>
      </c>
      <c r="Y18" s="16">
        <v>46249</v>
      </c>
      <c r="Z18" s="15" t="s">
        <v>53</v>
      </c>
      <c r="AA18" s="12" t="s">
        <v>54</v>
      </c>
    </row>
    <row r="19" spans="1:27" s="17" customFormat="1" ht="96" customHeight="1">
      <c r="A19" s="11" t="s">
        <v>161</v>
      </c>
      <c r="B19" s="12" t="s">
        <v>126</v>
      </c>
      <c r="C19" s="12" t="s">
        <v>127</v>
      </c>
      <c r="D19" s="12" t="s">
        <v>36</v>
      </c>
      <c r="E19" s="12" t="s">
        <v>37</v>
      </c>
      <c r="F19" s="12" t="s">
        <v>81</v>
      </c>
      <c r="G19" s="12" t="s">
        <v>58</v>
      </c>
      <c r="H19" s="12" t="s">
        <v>162</v>
      </c>
      <c r="I19" s="12" t="s">
        <v>163</v>
      </c>
      <c r="J19" s="13">
        <v>3</v>
      </c>
      <c r="K19" s="14" t="s">
        <v>42</v>
      </c>
      <c r="L19" s="12" t="s">
        <v>164</v>
      </c>
      <c r="M19" s="12" t="s">
        <v>165</v>
      </c>
      <c r="N19" s="12" t="s">
        <v>62</v>
      </c>
      <c r="O19" s="15" t="s">
        <v>50</v>
      </c>
      <c r="P19" s="12" t="s">
        <v>166</v>
      </c>
      <c r="Q19" s="12" t="s">
        <v>46</v>
      </c>
      <c r="R19" s="12" t="s">
        <v>75</v>
      </c>
      <c r="S19" s="14" t="s">
        <v>75</v>
      </c>
      <c r="T19" s="15" t="s">
        <v>46</v>
      </c>
      <c r="U19" s="12" t="s">
        <v>167</v>
      </c>
      <c r="V19" s="15" t="s">
        <v>50</v>
      </c>
      <c r="W19" s="12" t="s">
        <v>168</v>
      </c>
      <c r="X19" s="15" t="s">
        <v>50</v>
      </c>
      <c r="Y19" s="16">
        <v>46249</v>
      </c>
      <c r="Z19" s="15" t="s">
        <v>53</v>
      </c>
      <c r="AA19" s="12" t="s">
        <v>54</v>
      </c>
    </row>
    <row r="20" spans="1:27" s="17" customFormat="1" ht="96" customHeight="1">
      <c r="A20" s="11" t="s">
        <v>169</v>
      </c>
      <c r="B20" s="12" t="s">
        <v>126</v>
      </c>
      <c r="C20" s="12" t="s">
        <v>127</v>
      </c>
      <c r="D20" s="12" t="s">
        <v>36</v>
      </c>
      <c r="E20" s="12" t="s">
        <v>37</v>
      </c>
      <c r="F20" s="12" t="s">
        <v>81</v>
      </c>
      <c r="G20" s="12" t="s">
        <v>58</v>
      </c>
      <c r="H20" s="12" t="s">
        <v>170</v>
      </c>
      <c r="I20" s="12" t="s">
        <v>171</v>
      </c>
      <c r="J20" s="13">
        <v>3</v>
      </c>
      <c r="K20" s="14" t="s">
        <v>42</v>
      </c>
      <c r="L20" s="12" t="s">
        <v>172</v>
      </c>
      <c r="M20" s="12" t="s">
        <v>165</v>
      </c>
      <c r="N20" s="12" t="s">
        <v>62</v>
      </c>
      <c r="O20" s="15" t="s">
        <v>46</v>
      </c>
      <c r="P20" s="12" t="s">
        <v>166</v>
      </c>
      <c r="Q20" s="12" t="s">
        <v>46</v>
      </c>
      <c r="R20" s="12"/>
      <c r="S20" s="14" t="s">
        <v>173</v>
      </c>
      <c r="T20" s="15" t="s">
        <v>46</v>
      </c>
      <c r="U20" s="12" t="s">
        <v>174</v>
      </c>
      <c r="V20" s="15" t="s">
        <v>50</v>
      </c>
      <c r="W20" s="12" t="s">
        <v>175</v>
      </c>
      <c r="X20" s="15" t="s">
        <v>50</v>
      </c>
      <c r="Y20" s="16">
        <v>46249</v>
      </c>
      <c r="Z20" s="15" t="s">
        <v>53</v>
      </c>
      <c r="AA20" s="12" t="s">
        <v>54</v>
      </c>
    </row>
    <row r="21" spans="1:27" s="17" customFormat="1" ht="96" customHeight="1">
      <c r="A21" s="11" t="s">
        <v>176</v>
      </c>
      <c r="B21" s="12" t="s">
        <v>177</v>
      </c>
      <c r="C21" s="12" t="s">
        <v>178</v>
      </c>
      <c r="D21" s="12" t="s">
        <v>36</v>
      </c>
      <c r="E21" s="12" t="s">
        <v>37</v>
      </c>
      <c r="F21" s="12" t="s">
        <v>128</v>
      </c>
      <c r="G21" s="12" t="s">
        <v>39</v>
      </c>
      <c r="H21" s="12" t="s">
        <v>179</v>
      </c>
      <c r="I21" s="12" t="s">
        <v>180</v>
      </c>
      <c r="J21" s="13">
        <v>62</v>
      </c>
      <c r="K21" s="14" t="s">
        <v>173</v>
      </c>
      <c r="L21" s="12" t="s">
        <v>181</v>
      </c>
      <c r="M21" s="12" t="s">
        <v>97</v>
      </c>
      <c r="N21" s="12" t="s">
        <v>45</v>
      </c>
      <c r="O21" s="15" t="s">
        <v>46</v>
      </c>
      <c r="P21" s="12" t="s">
        <v>166</v>
      </c>
      <c r="Q21" s="12" t="s">
        <v>46</v>
      </c>
      <c r="R21" s="12" t="s">
        <v>75</v>
      </c>
      <c r="S21" s="14" t="s">
        <v>173</v>
      </c>
      <c r="T21" s="15" t="s">
        <v>50</v>
      </c>
      <c r="U21" s="12" t="s">
        <v>182</v>
      </c>
      <c r="V21" s="15" t="s">
        <v>46</v>
      </c>
      <c r="W21" s="12" t="s">
        <v>183</v>
      </c>
      <c r="X21" s="15" t="s">
        <v>46</v>
      </c>
      <c r="Y21" s="16">
        <v>46249</v>
      </c>
      <c r="Z21" s="15" t="s">
        <v>53</v>
      </c>
      <c r="AA21" s="12" t="s">
        <v>54</v>
      </c>
    </row>
    <row r="22" spans="1:27" s="17" customFormat="1" ht="96" customHeight="1">
      <c r="A22" s="11" t="s">
        <v>184</v>
      </c>
      <c r="B22" s="12" t="s">
        <v>67</v>
      </c>
      <c r="C22" s="12" t="s">
        <v>185</v>
      </c>
      <c r="D22" s="12" t="s">
        <v>36</v>
      </c>
      <c r="E22" s="12" t="s">
        <v>37</v>
      </c>
      <c r="F22" s="12" t="s">
        <v>102</v>
      </c>
      <c r="G22" s="12" t="s">
        <v>58</v>
      </c>
      <c r="H22" s="12" t="s">
        <v>186</v>
      </c>
      <c r="I22" s="12" t="s">
        <v>187</v>
      </c>
      <c r="J22" s="13">
        <v>215</v>
      </c>
      <c r="K22" s="14" t="s">
        <v>42</v>
      </c>
      <c r="L22" s="12" t="s">
        <v>188</v>
      </c>
      <c r="M22" s="12" t="s">
        <v>44</v>
      </c>
      <c r="N22" s="12" t="s">
        <v>62</v>
      </c>
      <c r="O22" s="15" t="s">
        <v>50</v>
      </c>
      <c r="P22" s="12" t="s">
        <v>87</v>
      </c>
      <c r="Q22" s="12" t="s">
        <v>50</v>
      </c>
      <c r="R22" s="12" t="s">
        <v>75</v>
      </c>
      <c r="S22" s="14"/>
      <c r="T22" s="15" t="s">
        <v>50</v>
      </c>
      <c r="U22" s="12" t="s">
        <v>189</v>
      </c>
      <c r="V22" s="15" t="s">
        <v>46</v>
      </c>
      <c r="W22" s="12" t="s">
        <v>190</v>
      </c>
      <c r="X22" s="15" t="s">
        <v>50</v>
      </c>
      <c r="Y22" s="16">
        <v>46249</v>
      </c>
      <c r="Z22" s="15" t="s">
        <v>53</v>
      </c>
      <c r="AA22" s="12" t="s">
        <v>54</v>
      </c>
    </row>
    <row r="23" spans="1:27" s="17" customFormat="1" ht="96" customHeight="1">
      <c r="A23" s="11" t="s">
        <v>191</v>
      </c>
      <c r="B23" s="12" t="s">
        <v>67</v>
      </c>
      <c r="C23" s="12" t="s">
        <v>185</v>
      </c>
      <c r="D23" s="12" t="s">
        <v>36</v>
      </c>
      <c r="E23" s="12" t="s">
        <v>37</v>
      </c>
      <c r="F23" s="12" t="s">
        <v>192</v>
      </c>
      <c r="G23" s="12" t="s">
        <v>58</v>
      </c>
      <c r="H23" s="12" t="s">
        <v>193</v>
      </c>
      <c r="I23" s="12" t="s">
        <v>194</v>
      </c>
      <c r="J23" s="13">
        <v>24</v>
      </c>
      <c r="K23" s="14" t="s">
        <v>42</v>
      </c>
      <c r="L23" s="12" t="s">
        <v>195</v>
      </c>
      <c r="M23" s="12" t="s">
        <v>97</v>
      </c>
      <c r="N23" s="12" t="s">
        <v>98</v>
      </c>
      <c r="O23" s="15" t="s">
        <v>46</v>
      </c>
      <c r="P23" s="12" t="s">
        <v>75</v>
      </c>
      <c r="Q23" s="12" t="s">
        <v>50</v>
      </c>
      <c r="R23" s="12" t="s">
        <v>75</v>
      </c>
      <c r="S23" s="14" t="s">
        <v>75</v>
      </c>
      <c r="T23" s="15" t="s">
        <v>50</v>
      </c>
      <c r="U23" s="12" t="s">
        <v>196</v>
      </c>
      <c r="V23" s="15" t="s">
        <v>50</v>
      </c>
      <c r="W23" s="12" t="s">
        <v>197</v>
      </c>
      <c r="X23" s="15" t="s">
        <v>46</v>
      </c>
      <c r="Y23" s="16">
        <v>46249</v>
      </c>
      <c r="Z23" s="15" t="s">
        <v>53</v>
      </c>
      <c r="AA23" s="12" t="s">
        <v>54</v>
      </c>
    </row>
    <row r="24" spans="1:27" s="17" customFormat="1" ht="96" customHeight="1">
      <c r="A24" s="11" t="s">
        <v>198</v>
      </c>
      <c r="B24" s="12" t="s">
        <v>67</v>
      </c>
      <c r="C24" s="12" t="s">
        <v>185</v>
      </c>
      <c r="D24" s="12" t="s">
        <v>36</v>
      </c>
      <c r="E24" s="12" t="s">
        <v>37</v>
      </c>
      <c r="F24" s="12" t="s">
        <v>57</v>
      </c>
      <c r="G24" s="12" t="s">
        <v>58</v>
      </c>
      <c r="H24" s="12" t="s">
        <v>199</v>
      </c>
      <c r="I24" s="12" t="s">
        <v>200</v>
      </c>
      <c r="J24" s="13">
        <v>25</v>
      </c>
      <c r="K24" s="14" t="s">
        <v>42</v>
      </c>
      <c r="L24" s="12" t="s">
        <v>201</v>
      </c>
      <c r="M24" s="12" t="s">
        <v>152</v>
      </c>
      <c r="N24" s="12" t="s">
        <v>45</v>
      </c>
      <c r="O24" s="15" t="s">
        <v>50</v>
      </c>
      <c r="P24" s="12" t="s">
        <v>75</v>
      </c>
      <c r="Q24" s="12" t="s">
        <v>50</v>
      </c>
      <c r="R24" s="12" t="s">
        <v>75</v>
      </c>
      <c r="S24" s="14" t="s">
        <v>75</v>
      </c>
      <c r="T24" s="15" t="s">
        <v>50</v>
      </c>
      <c r="U24" s="12" t="s">
        <v>202</v>
      </c>
      <c r="V24" s="15" t="s">
        <v>50</v>
      </c>
      <c r="W24" s="12" t="s">
        <v>203</v>
      </c>
      <c r="X24" s="15" t="s">
        <v>46</v>
      </c>
      <c r="Y24" s="16">
        <v>46249</v>
      </c>
      <c r="Z24" s="15" t="s">
        <v>53</v>
      </c>
      <c r="AA24" s="12" t="s">
        <v>54</v>
      </c>
    </row>
    <row r="25" spans="1:27" s="17" customFormat="1" ht="96" customHeight="1">
      <c r="A25" s="11" t="s">
        <v>204</v>
      </c>
      <c r="B25" s="12" t="s">
        <v>67</v>
      </c>
      <c r="C25" s="12" t="s">
        <v>185</v>
      </c>
      <c r="D25" s="12" t="s">
        <v>36</v>
      </c>
      <c r="E25" s="12" t="s">
        <v>37</v>
      </c>
      <c r="F25" s="12" t="s">
        <v>128</v>
      </c>
      <c r="G25" s="12" t="s">
        <v>205</v>
      </c>
      <c r="H25" s="12" t="s">
        <v>206</v>
      </c>
      <c r="I25" s="12" t="s">
        <v>207</v>
      </c>
      <c r="J25" s="13">
        <v>147</v>
      </c>
      <c r="K25" s="14" t="s">
        <v>42</v>
      </c>
      <c r="L25" s="12" t="s">
        <v>208</v>
      </c>
      <c r="M25" s="12" t="s">
        <v>97</v>
      </c>
      <c r="N25" s="12" t="s">
        <v>98</v>
      </c>
      <c r="O25" s="15" t="s">
        <v>50</v>
      </c>
      <c r="P25" s="12"/>
      <c r="Q25" s="12"/>
      <c r="R25" s="12"/>
      <c r="S25" s="14"/>
      <c r="T25" s="15"/>
      <c r="U25" s="12" t="s">
        <v>209</v>
      </c>
      <c r="V25" s="15" t="s">
        <v>50</v>
      </c>
      <c r="W25" s="12" t="s">
        <v>210</v>
      </c>
      <c r="X25" s="15" t="s">
        <v>46</v>
      </c>
      <c r="Y25" s="16">
        <v>46249</v>
      </c>
      <c r="Z25" s="15" t="s">
        <v>53</v>
      </c>
      <c r="AA25" s="12" t="s">
        <v>54</v>
      </c>
    </row>
    <row r="26" spans="1:27" s="17" customFormat="1" ht="96" customHeight="1">
      <c r="A26" s="11" t="s">
        <v>211</v>
      </c>
      <c r="B26" s="12" t="s">
        <v>67</v>
      </c>
      <c r="C26" s="12" t="s">
        <v>185</v>
      </c>
      <c r="D26" s="12" t="s">
        <v>36</v>
      </c>
      <c r="E26" s="12" t="s">
        <v>37</v>
      </c>
      <c r="F26" s="12" t="s">
        <v>69</v>
      </c>
      <c r="G26" s="12" t="s">
        <v>58</v>
      </c>
      <c r="H26" s="12" t="s">
        <v>212</v>
      </c>
      <c r="I26" s="12" t="s">
        <v>213</v>
      </c>
      <c r="J26" s="13">
        <v>100</v>
      </c>
      <c r="K26" s="14" t="s">
        <v>42</v>
      </c>
      <c r="L26" s="12" t="s">
        <v>214</v>
      </c>
      <c r="M26" s="12" t="s">
        <v>97</v>
      </c>
      <c r="N26" s="12" t="s">
        <v>98</v>
      </c>
      <c r="O26" s="15" t="s">
        <v>46</v>
      </c>
      <c r="P26" s="12" t="s">
        <v>75</v>
      </c>
      <c r="Q26" s="12" t="s">
        <v>50</v>
      </c>
      <c r="R26" s="12" t="s">
        <v>75</v>
      </c>
      <c r="S26" s="14" t="s">
        <v>75</v>
      </c>
      <c r="T26" s="15" t="s">
        <v>50</v>
      </c>
      <c r="U26" s="12" t="s">
        <v>215</v>
      </c>
      <c r="V26" s="15" t="s">
        <v>50</v>
      </c>
      <c r="W26" s="12" t="s">
        <v>216</v>
      </c>
      <c r="X26" s="15" t="s">
        <v>46</v>
      </c>
      <c r="Y26" s="16">
        <v>46249</v>
      </c>
      <c r="Z26" s="15" t="s">
        <v>53</v>
      </c>
      <c r="AA26" s="12" t="s">
        <v>54</v>
      </c>
    </row>
    <row r="27" spans="1:27" s="17" customFormat="1" ht="96" customHeight="1">
      <c r="A27" s="11" t="s">
        <v>217</v>
      </c>
      <c r="B27" s="12" t="s">
        <v>67</v>
      </c>
      <c r="C27" s="12" t="s">
        <v>185</v>
      </c>
      <c r="D27" s="12" t="s">
        <v>36</v>
      </c>
      <c r="E27" s="12" t="s">
        <v>37</v>
      </c>
      <c r="F27" s="12" t="s">
        <v>69</v>
      </c>
      <c r="G27" s="12" t="s">
        <v>39</v>
      </c>
      <c r="H27" s="12" t="s">
        <v>218</v>
      </c>
      <c r="I27" s="12" t="s">
        <v>219</v>
      </c>
      <c r="J27" s="13">
        <v>80</v>
      </c>
      <c r="K27" s="14" t="s">
        <v>42</v>
      </c>
      <c r="L27" s="12" t="s">
        <v>220</v>
      </c>
      <c r="M27" s="12" t="s">
        <v>152</v>
      </c>
      <c r="N27" s="12" t="s">
        <v>45</v>
      </c>
      <c r="O27" s="15" t="s">
        <v>50</v>
      </c>
      <c r="P27" s="12" t="s">
        <v>121</v>
      </c>
      <c r="Q27" s="12" t="s">
        <v>50</v>
      </c>
      <c r="R27" s="12" t="s">
        <v>75</v>
      </c>
      <c r="S27" s="14" t="s">
        <v>75</v>
      </c>
      <c r="T27" s="15" t="s">
        <v>50</v>
      </c>
      <c r="U27" s="12" t="s">
        <v>221</v>
      </c>
      <c r="V27" s="15" t="s">
        <v>46</v>
      </c>
      <c r="W27" s="12" t="s">
        <v>222</v>
      </c>
      <c r="X27" s="15" t="s">
        <v>46</v>
      </c>
      <c r="Y27" s="16">
        <v>46249</v>
      </c>
      <c r="Z27" s="15" t="s">
        <v>53</v>
      </c>
      <c r="AA27" s="12" t="s">
        <v>54</v>
      </c>
    </row>
    <row r="28" spans="1:27" s="17" customFormat="1" ht="96" customHeight="1">
      <c r="A28" s="11" t="s">
        <v>223</v>
      </c>
      <c r="B28" s="12" t="s">
        <v>67</v>
      </c>
      <c r="C28" s="12" t="s">
        <v>185</v>
      </c>
      <c r="D28" s="12" t="s">
        <v>36</v>
      </c>
      <c r="E28" s="12" t="s">
        <v>37</v>
      </c>
      <c r="F28" s="12" t="s">
        <v>224</v>
      </c>
      <c r="G28" s="12" t="s">
        <v>39</v>
      </c>
      <c r="H28" s="12" t="s">
        <v>225</v>
      </c>
      <c r="I28" s="12" t="s">
        <v>226</v>
      </c>
      <c r="J28" s="13">
        <v>81</v>
      </c>
      <c r="K28" s="14" t="s">
        <v>42</v>
      </c>
      <c r="L28" s="12" t="s">
        <v>227</v>
      </c>
      <c r="M28" s="12" t="s">
        <v>97</v>
      </c>
      <c r="N28" s="12" t="s">
        <v>98</v>
      </c>
      <c r="O28" s="15" t="s">
        <v>50</v>
      </c>
      <c r="P28" s="12" t="s">
        <v>75</v>
      </c>
      <c r="Q28" s="12" t="s">
        <v>50</v>
      </c>
      <c r="R28" s="12" t="s">
        <v>75</v>
      </c>
      <c r="S28" s="14" t="s">
        <v>75</v>
      </c>
      <c r="T28" s="15" t="s">
        <v>50</v>
      </c>
      <c r="U28" s="12" t="s">
        <v>228</v>
      </c>
      <c r="V28" s="15" t="s">
        <v>50</v>
      </c>
      <c r="W28" s="12" t="s">
        <v>229</v>
      </c>
      <c r="X28" s="15" t="s">
        <v>46</v>
      </c>
      <c r="Y28" s="16">
        <v>46249</v>
      </c>
      <c r="Z28" s="15" t="s">
        <v>53</v>
      </c>
      <c r="AA28" s="12" t="s">
        <v>54</v>
      </c>
    </row>
    <row r="29" spans="1:27" s="17" customFormat="1" ht="96" customHeight="1">
      <c r="A29" s="11" t="s">
        <v>230</v>
      </c>
      <c r="B29" s="12" t="s">
        <v>67</v>
      </c>
      <c r="C29" s="12" t="s">
        <v>231</v>
      </c>
      <c r="D29" s="12" t="s">
        <v>36</v>
      </c>
      <c r="E29" s="12" t="s">
        <v>37</v>
      </c>
      <c r="F29" s="12" t="s">
        <v>38</v>
      </c>
      <c r="G29" s="12" t="s">
        <v>58</v>
      </c>
      <c r="H29" s="12" t="s">
        <v>232</v>
      </c>
      <c r="I29" s="12" t="s">
        <v>233</v>
      </c>
      <c r="J29" s="13">
        <v>90</v>
      </c>
      <c r="K29" s="14" t="s">
        <v>42</v>
      </c>
      <c r="L29" s="12" t="s">
        <v>234</v>
      </c>
      <c r="M29" s="12" t="s">
        <v>152</v>
      </c>
      <c r="N29" s="12" t="s">
        <v>45</v>
      </c>
      <c r="O29" s="15" t="s">
        <v>46</v>
      </c>
      <c r="P29" s="12" t="s">
        <v>235</v>
      </c>
      <c r="Q29" s="12" t="s">
        <v>50</v>
      </c>
      <c r="R29" s="12" t="s">
        <v>75</v>
      </c>
      <c r="S29" s="14" t="s">
        <v>75</v>
      </c>
      <c r="T29" s="15" t="s">
        <v>50</v>
      </c>
      <c r="U29" s="12" t="s">
        <v>236</v>
      </c>
      <c r="V29" s="15" t="s">
        <v>50</v>
      </c>
      <c r="W29" s="12" t="s">
        <v>237</v>
      </c>
      <c r="X29" s="15" t="s">
        <v>46</v>
      </c>
      <c r="Y29" s="16">
        <v>46249</v>
      </c>
      <c r="Z29" s="15" t="s">
        <v>53</v>
      </c>
      <c r="AA29" s="12" t="s">
        <v>54</v>
      </c>
    </row>
    <row r="30" spans="1:27" s="17" customFormat="1" ht="96" customHeight="1">
      <c r="A30" s="11" t="s">
        <v>238</v>
      </c>
      <c r="B30" s="12" t="s">
        <v>67</v>
      </c>
      <c r="C30" s="12" t="s">
        <v>239</v>
      </c>
      <c r="D30" s="12" t="s">
        <v>36</v>
      </c>
      <c r="E30" s="12" t="s">
        <v>37</v>
      </c>
      <c r="F30" s="12" t="s">
        <v>240</v>
      </c>
      <c r="G30" s="12" t="s">
        <v>58</v>
      </c>
      <c r="H30" s="12" t="s">
        <v>241</v>
      </c>
      <c r="I30" s="12" t="s">
        <v>242</v>
      </c>
      <c r="J30" s="13">
        <v>36</v>
      </c>
      <c r="K30" s="14" t="s">
        <v>42</v>
      </c>
      <c r="L30" s="12" t="s">
        <v>243</v>
      </c>
      <c r="M30" s="12" t="s">
        <v>152</v>
      </c>
      <c r="N30" s="12" t="s">
        <v>45</v>
      </c>
      <c r="O30" s="15" t="s">
        <v>46</v>
      </c>
      <c r="P30" s="12" t="s">
        <v>244</v>
      </c>
      <c r="Q30" s="12" t="s">
        <v>50</v>
      </c>
      <c r="R30" s="12" t="s">
        <v>75</v>
      </c>
      <c r="S30" s="14">
        <v>46247</v>
      </c>
      <c r="T30" s="15" t="s">
        <v>50</v>
      </c>
      <c r="U30" s="12" t="s">
        <v>245</v>
      </c>
      <c r="V30" s="15" t="s">
        <v>46</v>
      </c>
      <c r="W30" s="12" t="s">
        <v>246</v>
      </c>
      <c r="X30" s="15" t="s">
        <v>50</v>
      </c>
      <c r="Y30" s="16">
        <v>46249</v>
      </c>
      <c r="Z30" s="15" t="s">
        <v>53</v>
      </c>
      <c r="AA30" s="12" t="s">
        <v>54</v>
      </c>
    </row>
    <row r="31" spans="1:27" s="17" customFormat="1" ht="96" customHeight="1">
      <c r="A31" s="11" t="s">
        <v>247</v>
      </c>
      <c r="B31" s="12" t="s">
        <v>67</v>
      </c>
      <c r="C31" s="12" t="s">
        <v>248</v>
      </c>
      <c r="D31" s="12" t="s">
        <v>36</v>
      </c>
      <c r="E31" s="12" t="s">
        <v>37</v>
      </c>
      <c r="F31" s="12" t="s">
        <v>249</v>
      </c>
      <c r="G31" s="12" t="s">
        <v>58</v>
      </c>
      <c r="H31" s="12" t="s">
        <v>250</v>
      </c>
      <c r="I31" s="12" t="s">
        <v>251</v>
      </c>
      <c r="J31" s="13">
        <v>37</v>
      </c>
      <c r="K31" s="14" t="s">
        <v>42</v>
      </c>
      <c r="L31" s="12" t="s">
        <v>252</v>
      </c>
      <c r="M31" s="12" t="s">
        <v>97</v>
      </c>
      <c r="N31" s="12" t="s">
        <v>98</v>
      </c>
      <c r="O31" s="15" t="s">
        <v>46</v>
      </c>
      <c r="P31" s="12" t="s">
        <v>253</v>
      </c>
      <c r="Q31" s="12" t="s">
        <v>46</v>
      </c>
      <c r="R31" s="12" t="s">
        <v>75</v>
      </c>
      <c r="S31" s="14">
        <v>46247</v>
      </c>
      <c r="T31" s="15" t="s">
        <v>46</v>
      </c>
      <c r="U31" s="12" t="s">
        <v>254</v>
      </c>
      <c r="V31" s="15" t="s">
        <v>50</v>
      </c>
      <c r="W31" s="12" t="s">
        <v>255</v>
      </c>
      <c r="X31" s="15" t="s">
        <v>46</v>
      </c>
      <c r="Y31" s="16">
        <v>46249</v>
      </c>
      <c r="Z31" s="15" t="s">
        <v>53</v>
      </c>
      <c r="AA31" s="12" t="s">
        <v>54</v>
      </c>
    </row>
    <row r="32" spans="1:27" s="17" customFormat="1" ht="96" customHeight="1">
      <c r="A32" s="11" t="s">
        <v>256</v>
      </c>
      <c r="B32" s="12" t="s">
        <v>67</v>
      </c>
      <c r="C32" s="12" t="s">
        <v>185</v>
      </c>
      <c r="D32" s="12" t="s">
        <v>36</v>
      </c>
      <c r="E32" s="12" t="s">
        <v>37</v>
      </c>
      <c r="F32" s="12" t="s">
        <v>81</v>
      </c>
      <c r="G32" s="12" t="s">
        <v>58</v>
      </c>
      <c r="H32" s="12" t="s">
        <v>257</v>
      </c>
      <c r="I32" s="12" t="s">
        <v>258</v>
      </c>
      <c r="J32" s="13">
        <v>1</v>
      </c>
      <c r="K32" s="14" t="s">
        <v>259</v>
      </c>
      <c r="L32" s="12" t="s">
        <v>260</v>
      </c>
      <c r="M32" s="12" t="s">
        <v>73</v>
      </c>
      <c r="N32" s="12" t="s">
        <v>45</v>
      </c>
      <c r="O32" s="15" t="s">
        <v>46</v>
      </c>
      <c r="P32" s="12" t="s">
        <v>261</v>
      </c>
      <c r="Q32" s="12" t="s">
        <v>50</v>
      </c>
      <c r="R32" s="12" t="s">
        <v>75</v>
      </c>
      <c r="S32" s="14" t="s">
        <v>75</v>
      </c>
      <c r="T32" s="15" t="s">
        <v>50</v>
      </c>
      <c r="U32" s="12" t="s">
        <v>262</v>
      </c>
      <c r="V32" s="15" t="s">
        <v>50</v>
      </c>
      <c r="W32" s="12" t="s">
        <v>263</v>
      </c>
      <c r="X32" s="15" t="s">
        <v>50</v>
      </c>
      <c r="Y32" s="16">
        <v>46249</v>
      </c>
      <c r="Z32" s="15" t="s">
        <v>53</v>
      </c>
      <c r="AA32" s="12" t="s">
        <v>54</v>
      </c>
    </row>
    <row r="33" spans="1:27" s="17" customFormat="1" ht="96" customHeight="1">
      <c r="A33" s="11" t="s">
        <v>264</v>
      </c>
      <c r="B33" s="12" t="s">
        <v>79</v>
      </c>
      <c r="C33" s="12" t="s">
        <v>265</v>
      </c>
      <c r="D33" s="12" t="s">
        <v>36</v>
      </c>
      <c r="E33" s="12" t="s">
        <v>37</v>
      </c>
      <c r="F33" s="12" t="s">
        <v>81</v>
      </c>
      <c r="G33" s="12" t="s">
        <v>82</v>
      </c>
      <c r="H33" s="12" t="s">
        <v>266</v>
      </c>
      <c r="I33" s="12" t="s">
        <v>267</v>
      </c>
      <c r="J33" s="13">
        <v>2</v>
      </c>
      <c r="K33" s="14" t="s">
        <v>173</v>
      </c>
      <c r="L33" s="12" t="s">
        <v>268</v>
      </c>
      <c r="M33" s="12" t="s">
        <v>73</v>
      </c>
      <c r="N33" s="12" t="s">
        <v>45</v>
      </c>
      <c r="O33" s="15" t="s">
        <v>46</v>
      </c>
      <c r="P33" s="12" t="s">
        <v>269</v>
      </c>
      <c r="Q33" s="12" t="s">
        <v>270</v>
      </c>
      <c r="R33" s="12"/>
      <c r="S33" s="14" t="s">
        <v>271</v>
      </c>
      <c r="T33" s="15" t="s">
        <v>50</v>
      </c>
      <c r="U33" s="12" t="s">
        <v>272</v>
      </c>
      <c r="V33" s="15" t="s">
        <v>46</v>
      </c>
      <c r="W33" s="12" t="s">
        <v>273</v>
      </c>
      <c r="X33" s="15" t="s">
        <v>50</v>
      </c>
      <c r="Y33" s="16">
        <v>46255</v>
      </c>
      <c r="Z33" s="15" t="s">
        <v>53</v>
      </c>
      <c r="AA33" s="12" t="s">
        <v>7</v>
      </c>
    </row>
    <row r="34" spans="1:27" s="17" customFormat="1" ht="96" customHeight="1">
      <c r="A34" s="11" t="s">
        <v>274</v>
      </c>
      <c r="B34" s="12" t="s">
        <v>79</v>
      </c>
      <c r="C34" s="12" t="s">
        <v>265</v>
      </c>
      <c r="D34" s="12" t="s">
        <v>36</v>
      </c>
      <c r="E34" s="12" t="s">
        <v>37</v>
      </c>
      <c r="F34" s="12" t="s">
        <v>81</v>
      </c>
      <c r="G34" s="12" t="s">
        <v>275</v>
      </c>
      <c r="H34" s="12" t="s">
        <v>276</v>
      </c>
      <c r="I34" s="12"/>
      <c r="J34" s="13">
        <v>1</v>
      </c>
      <c r="K34" s="14" t="s">
        <v>173</v>
      </c>
      <c r="L34" s="12" t="s">
        <v>96</v>
      </c>
      <c r="M34" s="12" t="s">
        <v>277</v>
      </c>
      <c r="N34" s="12" t="s">
        <v>45</v>
      </c>
      <c r="O34" s="15" t="s">
        <v>50</v>
      </c>
      <c r="P34" s="12"/>
      <c r="Q34" s="12"/>
      <c r="R34" s="12"/>
      <c r="S34" s="14"/>
      <c r="T34" s="15" t="s">
        <v>50</v>
      </c>
      <c r="U34" s="12" t="s">
        <v>278</v>
      </c>
      <c r="V34" s="15" t="s">
        <v>50</v>
      </c>
      <c r="W34" s="12" t="s">
        <v>279</v>
      </c>
      <c r="X34" s="15" t="s">
        <v>46</v>
      </c>
      <c r="Y34" s="16">
        <v>46255</v>
      </c>
      <c r="Z34" s="15" t="s">
        <v>53</v>
      </c>
      <c r="AA34" s="12" t="s">
        <v>7</v>
      </c>
    </row>
    <row r="35" spans="1:27" s="17" customFormat="1" ht="96" customHeight="1">
      <c r="A35" s="11" t="s">
        <v>280</v>
      </c>
      <c r="B35" s="12" t="s">
        <v>79</v>
      </c>
      <c r="C35" s="12" t="s">
        <v>265</v>
      </c>
      <c r="D35" s="12" t="s">
        <v>36</v>
      </c>
      <c r="E35" s="12" t="s">
        <v>37</v>
      </c>
      <c r="F35" s="12" t="s">
        <v>81</v>
      </c>
      <c r="G35" s="12" t="s">
        <v>39</v>
      </c>
      <c r="H35" s="12" t="s">
        <v>281</v>
      </c>
      <c r="I35" s="12" t="s">
        <v>267</v>
      </c>
      <c r="J35" s="13">
        <v>1</v>
      </c>
      <c r="K35" s="14" t="s">
        <v>173</v>
      </c>
      <c r="L35" s="12" t="s">
        <v>282</v>
      </c>
      <c r="M35" s="12" t="s">
        <v>283</v>
      </c>
      <c r="N35" s="12" t="s">
        <v>98</v>
      </c>
      <c r="O35" s="15" t="s">
        <v>46</v>
      </c>
      <c r="P35" s="12" t="s">
        <v>269</v>
      </c>
      <c r="Q35" s="12" t="s">
        <v>270</v>
      </c>
      <c r="R35" s="12"/>
      <c r="S35" s="14" t="s">
        <v>271</v>
      </c>
      <c r="T35" s="15" t="s">
        <v>50</v>
      </c>
      <c r="U35" s="12" t="s">
        <v>284</v>
      </c>
      <c r="V35" s="15" t="s">
        <v>46</v>
      </c>
      <c r="W35" s="12" t="s">
        <v>285</v>
      </c>
      <c r="X35" s="15" t="s">
        <v>46</v>
      </c>
      <c r="Y35" s="16">
        <v>46255</v>
      </c>
      <c r="Z35" s="15" t="s">
        <v>53</v>
      </c>
      <c r="AA35" s="12" t="s">
        <v>7</v>
      </c>
    </row>
    <row r="36" spans="1:27" s="17" customFormat="1" ht="96" customHeight="1">
      <c r="A36" s="11" t="s">
        <v>286</v>
      </c>
      <c r="B36" s="12" t="s">
        <v>79</v>
      </c>
      <c r="C36" s="12" t="s">
        <v>265</v>
      </c>
      <c r="D36" s="12" t="s">
        <v>36</v>
      </c>
      <c r="E36" s="12" t="s">
        <v>37</v>
      </c>
      <c r="F36" s="12" t="s">
        <v>81</v>
      </c>
      <c r="G36" s="12" t="s">
        <v>39</v>
      </c>
      <c r="H36" s="12" t="s">
        <v>287</v>
      </c>
      <c r="I36" s="12" t="s">
        <v>288</v>
      </c>
      <c r="J36" s="13">
        <v>1</v>
      </c>
      <c r="K36" s="14" t="s">
        <v>173</v>
      </c>
      <c r="L36" s="12" t="s">
        <v>289</v>
      </c>
      <c r="M36" s="12" t="s">
        <v>283</v>
      </c>
      <c r="N36" s="12" t="s">
        <v>98</v>
      </c>
      <c r="O36" s="15" t="s">
        <v>46</v>
      </c>
      <c r="P36" s="12" t="s">
        <v>269</v>
      </c>
      <c r="Q36" s="12" t="s">
        <v>270</v>
      </c>
      <c r="R36" s="12"/>
      <c r="S36" s="14" t="s">
        <v>271</v>
      </c>
      <c r="T36" s="15" t="s">
        <v>50</v>
      </c>
      <c r="U36" s="12" t="s">
        <v>290</v>
      </c>
      <c r="V36" s="15" t="s">
        <v>270</v>
      </c>
      <c r="W36" s="12" t="s">
        <v>285</v>
      </c>
      <c r="X36" s="15" t="s">
        <v>46</v>
      </c>
      <c r="Y36" s="16">
        <v>46255</v>
      </c>
      <c r="Z36" s="15" t="s">
        <v>53</v>
      </c>
      <c r="AA36" s="12" t="s">
        <v>7</v>
      </c>
    </row>
    <row r="37" spans="1:27" s="17" customFormat="1" ht="96" customHeight="1">
      <c r="A37" s="11" t="s">
        <v>291</v>
      </c>
      <c r="B37" s="12" t="s">
        <v>67</v>
      </c>
      <c r="C37" s="12" t="s">
        <v>292</v>
      </c>
      <c r="D37" s="12" t="s">
        <v>36</v>
      </c>
      <c r="E37" s="12" t="s">
        <v>37</v>
      </c>
      <c r="F37" s="12" t="s">
        <v>293</v>
      </c>
      <c r="G37" s="12" t="s">
        <v>39</v>
      </c>
      <c r="H37" s="12" t="s">
        <v>294</v>
      </c>
      <c r="I37" s="12" t="s">
        <v>295</v>
      </c>
      <c r="J37" s="13">
        <v>84</v>
      </c>
      <c r="K37" s="14">
        <v>46254</v>
      </c>
      <c r="L37" s="12" t="s">
        <v>151</v>
      </c>
      <c r="M37" s="12" t="s">
        <v>97</v>
      </c>
      <c r="N37" s="12" t="s">
        <v>45</v>
      </c>
      <c r="O37" s="15" t="s">
        <v>50</v>
      </c>
      <c r="P37" s="12"/>
      <c r="Q37" s="12"/>
      <c r="R37" s="12"/>
      <c r="S37" s="14"/>
      <c r="T37" s="15" t="s">
        <v>50</v>
      </c>
      <c r="U37" s="12" t="s">
        <v>296</v>
      </c>
      <c r="V37" s="15"/>
      <c r="W37" s="12" t="s">
        <v>297</v>
      </c>
      <c r="X37" s="15" t="s">
        <v>46</v>
      </c>
      <c r="Y37" s="16">
        <v>46255</v>
      </c>
      <c r="Z37" s="15" t="s">
        <v>53</v>
      </c>
      <c r="AA37" s="12" t="s">
        <v>7</v>
      </c>
    </row>
    <row r="38" spans="1:27" s="17" customFormat="1" ht="96" customHeight="1">
      <c r="A38" s="18" t="s">
        <v>298</v>
      </c>
      <c r="B38" s="19" t="s">
        <v>67</v>
      </c>
      <c r="C38" s="19" t="s">
        <v>185</v>
      </c>
      <c r="D38" s="19" t="s">
        <v>36</v>
      </c>
      <c r="E38" s="19" t="s">
        <v>37</v>
      </c>
      <c r="F38" s="19" t="s">
        <v>69</v>
      </c>
      <c r="G38" s="19" t="s">
        <v>299</v>
      </c>
      <c r="H38" s="19" t="s">
        <v>300</v>
      </c>
      <c r="I38" s="19" t="s">
        <v>301</v>
      </c>
      <c r="J38" s="20">
        <v>290</v>
      </c>
      <c r="K38" s="21">
        <v>46254</v>
      </c>
      <c r="L38" s="19" t="s">
        <v>302</v>
      </c>
      <c r="M38" s="19" t="s">
        <v>97</v>
      </c>
      <c r="N38" s="19" t="s">
        <v>45</v>
      </c>
      <c r="O38" s="22" t="s">
        <v>46</v>
      </c>
      <c r="P38" s="19" t="s">
        <v>303</v>
      </c>
      <c r="Q38" s="19" t="s">
        <v>46</v>
      </c>
      <c r="R38" s="19"/>
      <c r="S38" s="21">
        <v>46246</v>
      </c>
      <c r="T38" s="22" t="s">
        <v>46</v>
      </c>
      <c r="U38" s="19" t="s">
        <v>304</v>
      </c>
      <c r="V38" s="22" t="s">
        <v>46</v>
      </c>
      <c r="W38" s="19" t="s">
        <v>305</v>
      </c>
      <c r="X38" s="22" t="s">
        <v>50</v>
      </c>
      <c r="Y38" s="23">
        <v>46255</v>
      </c>
      <c r="Z38" s="22" t="s">
        <v>53</v>
      </c>
      <c r="AA38" s="19" t="s">
        <v>7</v>
      </c>
    </row>
    <row r="39" spans="1:27">
      <c r="Y39" s="24"/>
    </row>
    <row r="40" spans="1:27">
      <c r="Y40" s="24"/>
    </row>
    <row r="41" spans="1:27">
      <c r="Y41" s="24"/>
    </row>
    <row r="42" spans="1:27">
      <c r="Y42" s="24"/>
    </row>
    <row r="43" spans="1:27">
      <c r="Y43" s="24"/>
    </row>
    <row r="44" spans="1:27">
      <c r="Y44" s="24"/>
    </row>
    <row r="45" spans="1:27">
      <c r="Y45" s="24"/>
    </row>
    <row r="46" spans="1:27">
      <c r="Y46" s="24"/>
    </row>
    <row r="47" spans="1:27">
      <c r="Y47" s="24"/>
    </row>
    <row r="48" spans="1:27">
      <c r="Y48" s="24"/>
    </row>
    <row r="49" spans="25:25">
      <c r="Y49" s="24"/>
    </row>
    <row r="50" spans="25:25">
      <c r="Y50" s="24"/>
    </row>
    <row r="51" spans="25:25">
      <c r="Y51" s="24"/>
    </row>
    <row r="52" spans="25:25">
      <c r="Y52" s="24"/>
    </row>
    <row r="53" spans="25:25">
      <c r="Y53" s="24"/>
    </row>
    <row r="54" spans="25:25">
      <c r="Y54" s="24"/>
    </row>
    <row r="55" spans="25:25">
      <c r="Y55" s="24"/>
    </row>
    <row r="56" spans="25:25">
      <c r="Y56" s="24"/>
    </row>
    <row r="57" spans="25:25">
      <c r="Y57" s="24"/>
    </row>
    <row r="58" spans="25:25">
      <c r="Y58" s="24"/>
    </row>
    <row r="59" spans="25:25">
      <c r="Y59" s="24"/>
    </row>
    <row r="60" spans="25:25">
      <c r="Y60" s="24"/>
    </row>
    <row r="61" spans="25:25">
      <c r="Y61" s="24"/>
    </row>
    <row r="62" spans="25:25">
      <c r="Y62" s="24"/>
    </row>
    <row r="63" spans="25:25">
      <c r="Y63" s="24"/>
    </row>
    <row r="64" spans="25:25">
      <c r="Y64" s="24"/>
    </row>
    <row r="65" spans="25:25">
      <c r="Y65" s="24"/>
    </row>
    <row r="66" spans="25:25">
      <c r="Y66" s="24"/>
    </row>
    <row r="67" spans="25:25">
      <c r="Y67" s="24"/>
    </row>
    <row r="68" spans="25:25">
      <c r="Y68" s="24"/>
    </row>
    <row r="69" spans="25:25">
      <c r="Y69" s="24"/>
    </row>
    <row r="70" spans="25:25">
      <c r="Y70" s="24"/>
    </row>
    <row r="71" spans="25:25">
      <c r="Y71" s="24"/>
    </row>
    <row r="72" spans="25:25">
      <c r="Y72" s="24"/>
    </row>
    <row r="73" spans="25:25">
      <c r="Y73" s="24"/>
    </row>
    <row r="74" spans="25:25">
      <c r="Y74" s="24"/>
    </row>
    <row r="75" spans="25:25">
      <c r="Y75" s="24"/>
    </row>
    <row r="76" spans="25:25">
      <c r="Y76" s="24"/>
    </row>
    <row r="77" spans="25:25">
      <c r="Y77" s="24"/>
    </row>
    <row r="78" spans="25:25">
      <c r="Y78" s="24"/>
    </row>
    <row r="79" spans="25:25">
      <c r="Y79" s="24"/>
    </row>
    <row r="80" spans="25:25">
      <c r="Y80" s="24"/>
    </row>
    <row r="81" spans="25:25">
      <c r="Y81" s="24"/>
    </row>
    <row r="82" spans="25:25">
      <c r="Y82" s="24"/>
    </row>
    <row r="83" spans="25:25">
      <c r="Y83" s="24"/>
    </row>
    <row r="84" spans="25:25">
      <c r="Y84" s="24"/>
    </row>
    <row r="85" spans="25:25">
      <c r="Y85" s="24"/>
    </row>
    <row r="86" spans="25:25">
      <c r="Y86" s="24"/>
    </row>
    <row r="87" spans="25:25">
      <c r="Y87" s="24"/>
    </row>
    <row r="88" spans="25:25">
      <c r="Y88" s="24"/>
    </row>
    <row r="89" spans="25:25">
      <c r="Y89" s="24"/>
    </row>
    <row r="90" spans="25:25">
      <c r="Y90" s="24"/>
    </row>
    <row r="91" spans="25:25">
      <c r="Y91" s="24"/>
    </row>
    <row r="92" spans="25:25">
      <c r="Y92" s="24"/>
    </row>
    <row r="93" spans="25:25">
      <c r="Y93" s="24"/>
    </row>
    <row r="94" spans="25:25">
      <c r="Y94" s="24"/>
    </row>
    <row r="95" spans="25:25">
      <c r="Y95" s="24"/>
    </row>
    <row r="96" spans="25:25">
      <c r="Y96" s="24"/>
    </row>
    <row r="97" spans="25:25">
      <c r="Y97" s="24"/>
    </row>
    <row r="98" spans="25:25">
      <c r="Y98" s="24"/>
    </row>
    <row r="99" spans="25:25">
      <c r="Y99" s="24"/>
    </row>
    <row r="100" spans="25:25">
      <c r="Y100" s="24"/>
    </row>
    <row r="101" spans="25:25">
      <c r="Y101" s="24"/>
    </row>
    <row r="102" spans="25:25">
      <c r="Y102" s="24"/>
    </row>
    <row r="103" spans="25:25">
      <c r="Y103" s="24"/>
    </row>
    <row r="104" spans="25:25">
      <c r="Y104" s="24"/>
    </row>
    <row r="105" spans="25:25">
      <c r="Y105" s="24"/>
    </row>
    <row r="106" spans="25:25">
      <c r="Y106" s="24"/>
    </row>
    <row r="107" spans="25:25">
      <c r="Y107" s="24"/>
    </row>
    <row r="108" spans="25:25">
      <c r="Y108" s="24"/>
    </row>
    <row r="109" spans="25:25">
      <c r="Y109" s="24"/>
    </row>
    <row r="110" spans="25:25">
      <c r="Y110" s="24"/>
    </row>
    <row r="111" spans="25:25">
      <c r="Y111" s="24"/>
    </row>
    <row r="112" spans="25:25">
      <c r="Y112" s="24"/>
    </row>
    <row r="113" spans="25:25">
      <c r="Y113" s="24"/>
    </row>
    <row r="114" spans="25:25">
      <c r="Y114" s="24"/>
    </row>
    <row r="115" spans="25:25">
      <c r="Y115" s="24"/>
    </row>
    <row r="116" spans="25:25">
      <c r="Y116" s="24"/>
    </row>
    <row r="117" spans="25:25">
      <c r="Y117" s="24"/>
    </row>
    <row r="118" spans="25:25">
      <c r="Y118" s="24"/>
    </row>
    <row r="119" spans="25:25">
      <c r="Y119" s="24"/>
    </row>
    <row r="120" spans="25:25">
      <c r="Y120" s="24"/>
    </row>
    <row r="121" spans="25:25">
      <c r="Y121" s="24"/>
    </row>
    <row r="122" spans="25:25">
      <c r="Y122" s="24"/>
    </row>
    <row r="123" spans="25:25">
      <c r="Y123" s="24"/>
    </row>
    <row r="124" spans="25:25">
      <c r="Y124" s="24"/>
    </row>
    <row r="125" spans="25:25">
      <c r="Y125" s="24"/>
    </row>
    <row r="126" spans="25:25">
      <c r="Y126" s="24"/>
    </row>
    <row r="127" spans="25:25">
      <c r="Y127" s="24"/>
    </row>
    <row r="128" spans="25:25">
      <c r="Y128" s="24"/>
    </row>
    <row r="129" spans="25:25">
      <c r="Y129" s="24"/>
    </row>
    <row r="130" spans="25:25">
      <c r="Y130" s="24"/>
    </row>
    <row r="131" spans="25:25">
      <c r="Y131" s="24"/>
    </row>
    <row r="132" spans="25:25">
      <c r="Y132" s="24"/>
    </row>
    <row r="133" spans="25:25">
      <c r="Y133" s="24"/>
    </row>
    <row r="134" spans="25:25">
      <c r="Y134" s="24"/>
    </row>
    <row r="135" spans="25:25">
      <c r="Y135" s="24"/>
    </row>
    <row r="136" spans="25:25">
      <c r="Y136" s="24"/>
    </row>
    <row r="137" spans="25:25">
      <c r="Y137" s="24"/>
    </row>
    <row r="138" spans="25:25">
      <c r="Y138" s="24"/>
    </row>
    <row r="139" spans="25:25">
      <c r="Y139" s="24"/>
    </row>
    <row r="140" spans="25:25">
      <c r="Y140" s="24"/>
    </row>
    <row r="141" spans="25:25">
      <c r="Y141" s="24"/>
    </row>
    <row r="142" spans="25:25">
      <c r="Y142" s="24"/>
    </row>
    <row r="143" spans="25:25">
      <c r="Y143" s="24"/>
    </row>
    <row r="144" spans="25:25">
      <c r="Y144" s="24"/>
    </row>
    <row r="145" spans="25:25">
      <c r="Y145" s="24"/>
    </row>
    <row r="146" spans="25:25">
      <c r="Y146" s="24"/>
    </row>
    <row r="147" spans="25:25">
      <c r="Y147" s="24"/>
    </row>
    <row r="148" spans="25:25">
      <c r="Y148" s="24"/>
    </row>
    <row r="149" spans="25:25">
      <c r="Y149" s="24"/>
    </row>
    <row r="150" spans="25:25">
      <c r="Y150" s="24"/>
    </row>
    <row r="151" spans="25:25">
      <c r="Y151" s="24"/>
    </row>
    <row r="152" spans="25:25">
      <c r="Y152" s="24"/>
    </row>
    <row r="153" spans="25:25">
      <c r="Y153" s="24"/>
    </row>
    <row r="154" spans="25:25">
      <c r="Y154" s="24"/>
    </row>
    <row r="155" spans="25:25">
      <c r="Y155" s="24"/>
    </row>
    <row r="156" spans="25:25">
      <c r="Y156" s="24"/>
    </row>
    <row r="157" spans="25:25">
      <c r="Y157" s="24"/>
    </row>
    <row r="158" spans="25:25">
      <c r="Y158" s="24"/>
    </row>
    <row r="159" spans="25:25">
      <c r="Y159" s="24"/>
    </row>
    <row r="160" spans="25:25">
      <c r="Y160" s="24"/>
    </row>
    <row r="161" spans="25:25">
      <c r="Y161" s="24"/>
    </row>
    <row r="162" spans="25:25">
      <c r="Y162" s="24"/>
    </row>
    <row r="163" spans="25:25">
      <c r="Y163" s="24"/>
    </row>
    <row r="164" spans="25:25">
      <c r="Y164" s="24"/>
    </row>
    <row r="165" spans="25:25">
      <c r="Y165" s="24"/>
    </row>
    <row r="166" spans="25:25">
      <c r="Y166" s="24"/>
    </row>
  </sheetData>
  <mergeCells count="7">
    <mergeCell ref="A1:AA1"/>
    <mergeCell ref="A2:AA2"/>
    <mergeCell ref="A3:J3"/>
    <mergeCell ref="K3:N3"/>
    <mergeCell ref="O3:T3"/>
    <mergeCell ref="U3:X3"/>
    <mergeCell ref="Y3:AA3"/>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16072-1AE9-44FE-B28D-9CB54467419C}">
  <dimension ref="A1:BS2"/>
  <sheetViews>
    <sheetView workbookViewId="0"/>
  </sheetViews>
  <sheetFormatPr baseColWidth="10" defaultRowHeight="15"/>
  <cols>
    <col min="5" max="5" width="13.5703125" customWidth="1"/>
  </cols>
  <sheetData>
    <row r="1" spans="1:71" s="106" customFormat="1" ht="38.25" customHeight="1">
      <c r="A1" s="102" t="s">
        <v>3113</v>
      </c>
      <c r="B1" s="103" t="s">
        <v>394</v>
      </c>
      <c r="C1" s="103" t="s">
        <v>3114</v>
      </c>
      <c r="D1" s="103" t="s">
        <v>3081</v>
      </c>
      <c r="E1" s="103" t="s">
        <v>3082</v>
      </c>
      <c r="F1" s="103" t="s">
        <v>3083</v>
      </c>
      <c r="G1" s="103" t="s">
        <v>3115</v>
      </c>
      <c r="H1" s="103" t="s">
        <v>3085</v>
      </c>
      <c r="I1" s="103" t="s">
        <v>3086</v>
      </c>
      <c r="J1" s="103" t="s">
        <v>3087</v>
      </c>
      <c r="K1" s="103" t="s">
        <v>3116</v>
      </c>
      <c r="L1" s="103" t="s">
        <v>3117</v>
      </c>
      <c r="M1" s="103" t="s">
        <v>3118</v>
      </c>
      <c r="N1" s="103" t="s">
        <v>3119</v>
      </c>
      <c r="O1" s="104" t="s">
        <v>3120</v>
      </c>
      <c r="P1" s="103" t="s">
        <v>3121</v>
      </c>
      <c r="Q1" s="103" t="s">
        <v>3122</v>
      </c>
      <c r="R1" s="103" t="s">
        <v>3123</v>
      </c>
      <c r="S1" s="103" t="s">
        <v>3124</v>
      </c>
      <c r="T1" s="103" t="s">
        <v>3125</v>
      </c>
      <c r="U1" s="103" t="s">
        <v>3126</v>
      </c>
      <c r="V1" s="103" t="s">
        <v>3127</v>
      </c>
      <c r="W1" s="103" t="s">
        <v>3128</v>
      </c>
      <c r="X1" s="103" t="s">
        <v>3129</v>
      </c>
      <c r="Y1" s="103" t="s">
        <v>3130</v>
      </c>
      <c r="Z1" s="103" t="s">
        <v>3131</v>
      </c>
      <c r="AA1" s="103" t="s">
        <v>3132</v>
      </c>
      <c r="AB1" s="103" t="s">
        <v>3133</v>
      </c>
      <c r="AC1" s="104" t="s">
        <v>3134</v>
      </c>
      <c r="AD1" s="104" t="s">
        <v>3135</v>
      </c>
      <c r="AE1" s="103" t="s">
        <v>3136</v>
      </c>
      <c r="AF1" s="103" t="s">
        <v>3137</v>
      </c>
      <c r="AG1" s="103" t="s">
        <v>3138</v>
      </c>
      <c r="AH1" s="103" t="s">
        <v>3139</v>
      </c>
      <c r="AI1" s="104" t="s">
        <v>3140</v>
      </c>
      <c r="AJ1" s="104" t="s">
        <v>3141</v>
      </c>
      <c r="AK1" s="104" t="s">
        <v>3142</v>
      </c>
      <c r="AL1" s="105" t="s">
        <v>3143</v>
      </c>
      <c r="AM1" s="105" t="s">
        <v>3143</v>
      </c>
      <c r="AN1" s="105" t="s">
        <v>3143</v>
      </c>
      <c r="AO1" s="105" t="s">
        <v>3143</v>
      </c>
      <c r="AP1" s="105" t="s">
        <v>3143</v>
      </c>
      <c r="AQ1" s="105" t="s">
        <v>3143</v>
      </c>
      <c r="AR1" s="105" t="s">
        <v>3143</v>
      </c>
      <c r="AS1" s="105" t="s">
        <v>3143</v>
      </c>
      <c r="AT1" s="105" t="s">
        <v>3143</v>
      </c>
      <c r="AU1" s="105" t="s">
        <v>3143</v>
      </c>
      <c r="AV1" s="105" t="s">
        <v>3143</v>
      </c>
      <c r="AW1" s="105" t="s">
        <v>3143</v>
      </c>
      <c r="AX1" s="105" t="s">
        <v>3143</v>
      </c>
      <c r="AY1" s="105" t="s">
        <v>3143</v>
      </c>
      <c r="AZ1" s="105" t="s">
        <v>3143</v>
      </c>
      <c r="BA1" s="105" t="s">
        <v>3143</v>
      </c>
      <c r="BB1" s="105" t="s">
        <v>3143</v>
      </c>
      <c r="BC1" s="105" t="s">
        <v>3143</v>
      </c>
      <c r="BD1" s="105" t="s">
        <v>3143</v>
      </c>
      <c r="BE1" s="105" t="s">
        <v>3143</v>
      </c>
      <c r="BF1" s="105" t="s">
        <v>3143</v>
      </c>
      <c r="BG1" s="105" t="s">
        <v>3143</v>
      </c>
      <c r="BH1" s="105" t="s">
        <v>3143</v>
      </c>
      <c r="BI1" s="105" t="s">
        <v>3143</v>
      </c>
      <c r="BJ1" s="105" t="s">
        <v>3143</v>
      </c>
      <c r="BK1" s="105" t="s">
        <v>3143</v>
      </c>
      <c r="BL1" s="105" t="s">
        <v>3143</v>
      </c>
      <c r="BM1" s="105" t="s">
        <v>3143</v>
      </c>
      <c r="BN1" s="105" t="s">
        <v>3143</v>
      </c>
      <c r="BO1" s="105" t="s">
        <v>3143</v>
      </c>
      <c r="BP1" s="105" t="s">
        <v>3143</v>
      </c>
      <c r="BQ1" s="105" t="s">
        <v>3143</v>
      </c>
      <c r="BR1" s="105" t="s">
        <v>3143</v>
      </c>
      <c r="BS1" s="105" t="s">
        <v>3143</v>
      </c>
    </row>
    <row r="2" spans="1:71" ht="96.75" customHeight="1">
      <c r="A2" s="49" t="s">
        <v>67</v>
      </c>
      <c r="B2" s="50" t="s">
        <v>3436</v>
      </c>
      <c r="C2" s="50" t="s">
        <v>3437</v>
      </c>
      <c r="D2" s="50"/>
      <c r="E2" s="50" t="s">
        <v>3438</v>
      </c>
      <c r="F2" s="49" t="s">
        <v>3148</v>
      </c>
      <c r="G2" s="49" t="s">
        <v>3313</v>
      </c>
      <c r="H2" s="51" t="s">
        <v>138</v>
      </c>
      <c r="I2" s="81" t="s">
        <v>3300</v>
      </c>
      <c r="J2" s="53" t="s">
        <v>3439</v>
      </c>
      <c r="K2" s="82" t="s">
        <v>3151</v>
      </c>
      <c r="L2" s="82"/>
      <c r="M2" s="83">
        <v>46246</v>
      </c>
      <c r="N2" s="83"/>
      <c r="O2" s="55">
        <v>11628000000</v>
      </c>
      <c r="P2" s="82" t="s">
        <v>3154</v>
      </c>
      <c r="Q2" s="82" t="s">
        <v>3151</v>
      </c>
      <c r="R2" s="83">
        <v>46253</v>
      </c>
      <c r="S2" s="57" t="s">
        <v>3217</v>
      </c>
      <c r="T2" s="57"/>
      <c r="U2" s="57"/>
      <c r="V2" s="57"/>
      <c r="W2" s="57"/>
      <c r="X2" s="82"/>
      <c r="Y2" s="82"/>
      <c r="Z2" s="82"/>
      <c r="AA2" s="82"/>
      <c r="AB2" s="82"/>
      <c r="AC2" s="66" t="s">
        <v>3368</v>
      </c>
      <c r="AD2" s="65" t="s">
        <v>3219</v>
      </c>
      <c r="AE2" s="53" t="s">
        <v>3440</v>
      </c>
      <c r="AF2" s="82" t="s">
        <v>3441</v>
      </c>
      <c r="AG2" s="82"/>
      <c r="AH2" s="82"/>
      <c r="AI2" s="53"/>
      <c r="AJ2" s="53" t="s">
        <v>270</v>
      </c>
      <c r="AK2" s="82"/>
      <c r="AL2" s="86"/>
      <c r="AM2" s="86"/>
      <c r="AN2" s="86"/>
      <c r="AO2" s="86"/>
      <c r="AP2" s="86"/>
      <c r="AQ2" s="86"/>
      <c r="AR2" s="86"/>
      <c r="AS2" s="86"/>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row>
  </sheetData>
  <protectedRanges>
    <protectedRange sqref="A1:B1" name="Rango1_1"/>
    <protectedRange sqref="D1" name="Rango1_4"/>
    <protectedRange sqref="G2" name="Rango1_1_1"/>
    <protectedRange sqref="A2:F2" name="Rango1_17"/>
  </protectedRanges>
  <conditionalFormatting sqref="I2">
    <cfRule type="containsText" dxfId="8" priority="1" operator="containsText" text="LEVE">
      <formula>NOT(ISERROR(SEARCH("LEVE",I2)))</formula>
    </cfRule>
    <cfRule type="containsText" dxfId="7" priority="2" operator="containsText" text="MODERADO">
      <formula>NOT(ISERROR(SEARCH("MODERADO",I2)))</formula>
    </cfRule>
    <cfRule type="containsText" dxfId="9" priority="3" operator="containsText" text="COLAPSO">
      <formula>NOT(ISERROR(SEARCH("COLAPSO",I2)))</formula>
    </cfRule>
    <cfRule type="containsText" dxfId="5" priority="4" operator="containsText" text="SEVERO">
      <formula>NOT(ISERROR(SEARCH("SEVERO",I2)))</formula>
    </cfRule>
    <cfRule type="cellIs" dxfId="6" priority="5" operator="greaterThan">
      <formula>"FUERTE"</formula>
    </cfRule>
  </conditionalFormatting>
  <conditionalFormatting sqref="I2">
    <cfRule type="containsText" dxfId="4" priority="7" operator="containsText" text="MODERADO">
      <formula>NOT(ISERROR(SEARCH("MODERADO",I2)))</formula>
    </cfRule>
    <cfRule type="containsText" dxfId="3" priority="8" operator="containsText" text="COLAPSO">
      <formula>NOT(ISERROR(SEARCH("COLAPSO",I2)))</formula>
    </cfRule>
    <cfRule type="containsText" dxfId="2" priority="9" operator="containsText" text="SEVERO">
      <formula>NOT(ISERROR(SEARCH("SEVERO",I2)))</formula>
    </cfRule>
    <cfRule type="cellIs" dxfId="1" priority="10" operator="greaterThan">
      <formula>"FUERTE"</formula>
    </cfRule>
  </conditionalFormatting>
  <conditionalFormatting sqref="I2">
    <cfRule type="containsText" dxfId="0" priority="6" operator="containsText" text="LEVE">
      <formula>NOT(ISERROR(SEARCH("LEVE",I2)))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D9860-46D5-40A3-A569-06F7DBFB8943}">
  <dimension ref="A1:F12"/>
  <sheetViews>
    <sheetView showGridLines="0" workbookViewId="0">
      <selection activeCell="E22" sqref="E22"/>
    </sheetView>
  </sheetViews>
  <sheetFormatPr baseColWidth="10" defaultColWidth="10.140625" defaultRowHeight="14.25"/>
  <cols>
    <col min="1" max="1" width="28.5703125" style="2" customWidth="1"/>
    <col min="2" max="2" width="20.5703125" style="2" customWidth="1"/>
    <col min="3" max="3" width="10.140625" style="2"/>
    <col min="4" max="4" width="34.28515625" style="2" customWidth="1"/>
    <col min="5" max="5" width="25.140625" style="2" customWidth="1"/>
    <col min="6" max="6" width="43.42578125" style="2" customWidth="1"/>
    <col min="7" max="16384" width="10.140625" style="2"/>
  </cols>
  <sheetData>
    <row r="1" spans="1:6" ht="18" customHeight="1">
      <c r="A1" s="107" t="s">
        <v>3442</v>
      </c>
      <c r="B1" s="107"/>
      <c r="C1" s="107"/>
      <c r="D1" s="107"/>
      <c r="E1" s="107"/>
      <c r="F1" s="107"/>
    </row>
    <row r="2" spans="1:6">
      <c r="A2" s="108" t="s">
        <v>3443</v>
      </c>
      <c r="B2" s="108"/>
      <c r="C2" s="108"/>
      <c r="D2" s="108"/>
      <c r="E2" s="108"/>
      <c r="F2" s="108"/>
    </row>
    <row r="3" spans="1:6">
      <c r="A3" s="109"/>
      <c r="B3" s="109"/>
      <c r="C3" s="109"/>
      <c r="D3" s="109"/>
      <c r="E3" s="109"/>
      <c r="F3" s="109"/>
    </row>
    <row r="4" spans="1:6" ht="24.75" customHeight="1">
      <c r="A4" s="110" t="s">
        <v>3444</v>
      </c>
      <c r="B4" s="110" t="s">
        <v>3445</v>
      </c>
      <c r="C4" s="110"/>
      <c r="D4" s="110" t="s">
        <v>3446</v>
      </c>
      <c r="E4" s="110" t="s">
        <v>3447</v>
      </c>
      <c r="F4" s="110" t="s">
        <v>3448</v>
      </c>
    </row>
    <row r="5" spans="1:6">
      <c r="A5" s="109" t="s">
        <v>3449</v>
      </c>
      <c r="B5" s="111">
        <v>15</v>
      </c>
      <c r="C5" s="109"/>
      <c r="D5" s="109" t="s">
        <v>3450</v>
      </c>
      <c r="E5" s="112">
        <f>'Personal costeado'!I14</f>
        <v>316276870</v>
      </c>
      <c r="F5" s="109" t="s">
        <v>3451</v>
      </c>
    </row>
    <row r="6" spans="1:6">
      <c r="A6" s="109" t="s">
        <v>3452</v>
      </c>
      <c r="B6" s="111">
        <v>2</v>
      </c>
      <c r="C6" s="109"/>
      <c r="D6" s="109" t="s">
        <v>3453</v>
      </c>
      <c r="E6" s="112">
        <f>'Transporte mensual'!I10</f>
        <v>247364436</v>
      </c>
      <c r="F6" s="109" t="s">
        <v>3451</v>
      </c>
    </row>
    <row r="7" spans="1:6">
      <c r="A7" s="109" t="s">
        <v>3454</v>
      </c>
      <c r="B7" s="111">
        <v>17</v>
      </c>
      <c r="C7" s="109"/>
      <c r="D7" s="109" t="s">
        <v>3455</v>
      </c>
      <c r="E7" s="112">
        <f>Materiales!L38</f>
        <v>50529428.950000003</v>
      </c>
      <c r="F7" s="109" t="s">
        <v>3456</v>
      </c>
    </row>
    <row r="8" spans="1:6" ht="16.5">
      <c r="A8" s="109" t="s">
        <v>3457</v>
      </c>
      <c r="B8" s="111">
        <v>1</v>
      </c>
      <c r="C8" s="109"/>
      <c r="D8" s="113" t="s">
        <v>3458</v>
      </c>
      <c r="E8" s="114">
        <f>SUM(E5:E7)</f>
        <v>614170734.95000005</v>
      </c>
      <c r="F8" s="115" t="s">
        <v>3459</v>
      </c>
    </row>
    <row r="9" spans="1:6">
      <c r="A9" s="109"/>
      <c r="B9" s="109"/>
      <c r="C9" s="109"/>
      <c r="D9" s="109"/>
      <c r="E9" s="112"/>
      <c r="F9" s="109"/>
    </row>
    <row r="10" spans="1:6">
      <c r="A10" s="109"/>
      <c r="B10" s="109"/>
      <c r="C10" s="109"/>
      <c r="D10" s="109" t="s">
        <v>3460</v>
      </c>
      <c r="E10" s="112" t="s">
        <v>3445</v>
      </c>
      <c r="F10" s="109" t="s">
        <v>3461</v>
      </c>
    </row>
    <row r="11" spans="1:6">
      <c r="A11" s="109"/>
      <c r="B11" s="109"/>
      <c r="C11" s="109"/>
      <c r="D11" s="109" t="s">
        <v>3462</v>
      </c>
      <c r="E11" s="112">
        <f>(E5+E6)*$B$8</f>
        <v>563641306</v>
      </c>
      <c r="F11" s="109" t="s">
        <v>3463</v>
      </c>
    </row>
    <row r="12" spans="1:6">
      <c r="A12" s="109"/>
      <c r="B12" s="109"/>
      <c r="C12" s="109"/>
      <c r="D12" s="109" t="s">
        <v>3464</v>
      </c>
      <c r="E12" s="112">
        <f>E11+E7</f>
        <v>614170734.95000005</v>
      </c>
      <c r="F12" s="109" t="s">
        <v>3465</v>
      </c>
    </row>
  </sheetData>
  <mergeCells count="2">
    <mergeCell ref="A1:F1"/>
    <mergeCell ref="A2:F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958BA-BF70-46CA-AC6F-67C9023130B4}">
  <dimension ref="A1:J15"/>
  <sheetViews>
    <sheetView showGridLines="0" workbookViewId="0">
      <selection activeCell="E22" sqref="E22"/>
    </sheetView>
  </sheetViews>
  <sheetFormatPr baseColWidth="10" defaultColWidth="10.140625" defaultRowHeight="14.25"/>
  <cols>
    <col min="1" max="2" width="22.85546875" style="2" customWidth="1"/>
    <col min="3" max="4" width="16.140625" style="2" customWidth="1"/>
    <col min="5" max="7" width="21.7109375" style="2" customWidth="1"/>
    <col min="8" max="8" width="20.5703125" style="2" customWidth="1"/>
    <col min="9" max="9" width="27.42578125" style="2" customWidth="1"/>
    <col min="10" max="10" width="23" style="2" customWidth="1"/>
    <col min="11" max="16384" width="10.140625" style="2"/>
  </cols>
  <sheetData>
    <row r="1" spans="1:10" ht="20.25" customHeight="1">
      <c r="A1" s="107" t="s">
        <v>3466</v>
      </c>
      <c r="B1" s="107"/>
      <c r="C1" s="107"/>
      <c r="D1" s="107"/>
      <c r="E1" s="107"/>
      <c r="F1" s="107"/>
      <c r="G1" s="107"/>
      <c r="H1" s="107"/>
      <c r="I1" s="107"/>
      <c r="J1" s="107"/>
    </row>
    <row r="2" spans="1:10" ht="14.25" customHeight="1">
      <c r="A2" s="116" t="s">
        <v>3467</v>
      </c>
      <c r="B2" s="116"/>
      <c r="C2" s="116"/>
      <c r="D2" s="116"/>
      <c r="E2" s="116"/>
      <c r="F2" s="116"/>
      <c r="G2" s="116"/>
      <c r="H2" s="116"/>
      <c r="I2" s="116"/>
      <c r="J2" s="116"/>
    </row>
    <row r="3" spans="1:10">
      <c r="A3" s="109"/>
      <c r="B3" s="109"/>
      <c r="C3" s="109"/>
      <c r="D3" s="109"/>
      <c r="E3" s="109"/>
      <c r="F3" s="109"/>
      <c r="G3" s="109"/>
      <c r="H3" s="109"/>
      <c r="I3" s="109"/>
    </row>
    <row r="4" spans="1:10" ht="16.5">
      <c r="A4" s="117" t="s">
        <v>3444</v>
      </c>
      <c r="B4" s="118"/>
      <c r="C4" s="119" t="s">
        <v>3445</v>
      </c>
      <c r="D4" s="120"/>
      <c r="E4" s="109"/>
      <c r="F4" s="109"/>
      <c r="G4" s="109"/>
      <c r="H4" s="109"/>
      <c r="I4" s="109"/>
    </row>
    <row r="5" spans="1:10" ht="28.5">
      <c r="A5" s="109" t="s">
        <v>3468</v>
      </c>
      <c r="B5" s="109"/>
      <c r="C5" s="121">
        <v>4119779</v>
      </c>
      <c r="D5" s="122"/>
      <c r="E5" s="109"/>
      <c r="F5" s="109"/>
      <c r="G5" s="109"/>
      <c r="H5" s="109"/>
      <c r="I5" s="109"/>
    </row>
    <row r="6" spans="1:10" ht="28.5">
      <c r="A6" s="109" t="s">
        <v>3469</v>
      </c>
      <c r="B6" s="109"/>
      <c r="C6" s="123">
        <v>5223645</v>
      </c>
      <c r="D6" s="124"/>
      <c r="E6" s="109"/>
      <c r="F6" s="109"/>
      <c r="G6" s="109"/>
      <c r="H6" s="109"/>
      <c r="I6" s="109"/>
    </row>
    <row r="7" spans="1:10">
      <c r="A7" s="109"/>
      <c r="B7" s="109"/>
      <c r="C7" s="109"/>
      <c r="D7" s="109"/>
      <c r="E7" s="109"/>
      <c r="F7" s="109"/>
      <c r="G7" s="109"/>
      <c r="H7" s="109"/>
      <c r="I7" s="109"/>
    </row>
    <row r="8" spans="1:10" ht="33">
      <c r="A8" s="110" t="s">
        <v>7</v>
      </c>
      <c r="B8" s="110" t="s">
        <v>3470</v>
      </c>
      <c r="C8" s="110" t="s">
        <v>3471</v>
      </c>
      <c r="D8" s="110" t="s">
        <v>3472</v>
      </c>
      <c r="E8" s="110" t="s">
        <v>3473</v>
      </c>
      <c r="F8" s="110" t="s">
        <v>3474</v>
      </c>
      <c r="G8" s="110" t="s">
        <v>3473</v>
      </c>
      <c r="H8" s="110" t="s">
        <v>3475</v>
      </c>
      <c r="I8" s="110" t="s">
        <v>3476</v>
      </c>
      <c r="J8" s="110" t="s">
        <v>3477</v>
      </c>
    </row>
    <row r="9" spans="1:10" ht="15">
      <c r="A9" s="109" t="s">
        <v>34</v>
      </c>
      <c r="B9" s="111">
        <v>8</v>
      </c>
      <c r="C9" s="111">
        <v>2</v>
      </c>
      <c r="D9" s="111" t="s">
        <v>3478</v>
      </c>
      <c r="E9" s="125">
        <f>B9*$C$5</f>
        <v>32958232</v>
      </c>
      <c r="F9" s="111">
        <v>1</v>
      </c>
      <c r="G9" s="126">
        <f>F9+$C$6</f>
        <v>5223646</v>
      </c>
      <c r="H9" s="111">
        <f>B9+F9</f>
        <v>9</v>
      </c>
      <c r="I9" s="125">
        <f>E9+G9</f>
        <v>38181878</v>
      </c>
      <c r="J9" s="127">
        <f>I9*3</f>
        <v>114545634</v>
      </c>
    </row>
    <row r="10" spans="1:10" ht="15">
      <c r="A10" s="109" t="s">
        <v>79</v>
      </c>
      <c r="B10" s="111">
        <v>8</v>
      </c>
      <c r="C10" s="111">
        <v>2</v>
      </c>
      <c r="D10" s="111" t="s">
        <v>3478</v>
      </c>
      <c r="E10" s="125">
        <f t="shared" ref="E10:E11" si="0">B10*$C$5</f>
        <v>32958232</v>
      </c>
      <c r="F10" s="111">
        <v>1</v>
      </c>
      <c r="G10" s="126">
        <f t="shared" ref="G10:G12" si="1">F10+$C$6</f>
        <v>5223646</v>
      </c>
      <c r="H10" s="111">
        <f>B10+F10</f>
        <v>9</v>
      </c>
      <c r="I10" s="125">
        <f t="shared" ref="I10:I12" si="2">E10+G10</f>
        <v>38181878</v>
      </c>
      <c r="J10" s="127">
        <f t="shared" ref="J10:J12" si="3">I10*3</f>
        <v>114545634</v>
      </c>
    </row>
    <row r="11" spans="1:10" ht="15">
      <c r="A11" s="109" t="s">
        <v>91</v>
      </c>
      <c r="B11" s="111">
        <v>8</v>
      </c>
      <c r="C11" s="111">
        <v>2</v>
      </c>
      <c r="D11" s="111" t="s">
        <v>3478</v>
      </c>
      <c r="E11" s="125">
        <f t="shared" si="0"/>
        <v>32958232</v>
      </c>
      <c r="F11" s="111">
        <v>1</v>
      </c>
      <c r="G11" s="126">
        <f t="shared" si="1"/>
        <v>5223646</v>
      </c>
      <c r="H11" s="111">
        <f>B11+F11</f>
        <v>9</v>
      </c>
      <c r="I11" s="125">
        <f t="shared" si="2"/>
        <v>38181878</v>
      </c>
      <c r="J11" s="127">
        <f t="shared" si="3"/>
        <v>114545634</v>
      </c>
    </row>
    <row r="12" spans="1:10" ht="15">
      <c r="A12" s="109" t="s">
        <v>126</v>
      </c>
      <c r="B12" s="111">
        <v>16</v>
      </c>
      <c r="C12" s="111">
        <v>4</v>
      </c>
      <c r="D12" s="111" t="s">
        <v>3478</v>
      </c>
      <c r="E12" s="125">
        <f>B12*$C$5</f>
        <v>65916464</v>
      </c>
      <c r="F12" s="111">
        <v>1</v>
      </c>
      <c r="G12" s="126">
        <f t="shared" si="1"/>
        <v>5223646</v>
      </c>
      <c r="H12" s="111">
        <f>B12+F12</f>
        <v>17</v>
      </c>
      <c r="I12" s="125">
        <f t="shared" si="2"/>
        <v>71140110</v>
      </c>
      <c r="J12" s="127">
        <f t="shared" si="3"/>
        <v>213420330</v>
      </c>
    </row>
    <row r="13" spans="1:10" ht="15">
      <c r="A13" s="109" t="s">
        <v>67</v>
      </c>
      <c r="B13" s="111">
        <f>C13*4</f>
        <v>20</v>
      </c>
      <c r="C13" s="111">
        <v>5</v>
      </c>
      <c r="D13" s="111">
        <v>4</v>
      </c>
      <c r="E13" s="125">
        <f>SUM(B13,D13)*C6</f>
        <v>125367480</v>
      </c>
      <c r="F13" s="111">
        <v>1</v>
      </c>
      <c r="G13" s="126">
        <f>F13+$C$6</f>
        <v>5223646</v>
      </c>
      <c r="H13" s="111">
        <f>B13+F13+D14</f>
        <v>25</v>
      </c>
      <c r="I13" s="125">
        <f>E13+G13</f>
        <v>130591126</v>
      </c>
      <c r="J13" s="127">
        <f>I13*3</f>
        <v>391773378</v>
      </c>
    </row>
    <row r="14" spans="1:10" ht="16.5">
      <c r="A14" s="113" t="s">
        <v>3479</v>
      </c>
      <c r="B14" s="115">
        <f t="shared" ref="B14:J14" si="4">SUM(B9:B13)</f>
        <v>60</v>
      </c>
      <c r="C14" s="115">
        <f t="shared" si="4"/>
        <v>15</v>
      </c>
      <c r="D14" s="115">
        <f t="shared" si="4"/>
        <v>4</v>
      </c>
      <c r="E14" s="128">
        <f t="shared" si="4"/>
        <v>290158640</v>
      </c>
      <c r="F14" s="115">
        <f t="shared" si="4"/>
        <v>5</v>
      </c>
      <c r="G14" s="128">
        <f t="shared" si="4"/>
        <v>26118230</v>
      </c>
      <c r="H14" s="115">
        <f t="shared" si="4"/>
        <v>69</v>
      </c>
      <c r="I14" s="128">
        <f t="shared" si="4"/>
        <v>316276870</v>
      </c>
      <c r="J14" s="128">
        <f t="shared" si="4"/>
        <v>948830610</v>
      </c>
    </row>
    <row r="15" spans="1:10">
      <c r="F15" s="24"/>
      <c r="G15" s="24"/>
      <c r="H15" s="24"/>
    </row>
  </sheetData>
  <mergeCells count="2">
    <mergeCell ref="A1:J1"/>
    <mergeCell ref="A2:J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6D3AF-688C-441A-8BA7-5B6714FA6448}">
  <dimension ref="A1:J10"/>
  <sheetViews>
    <sheetView showGridLines="0" workbookViewId="0">
      <selection activeCell="E22" sqref="E22"/>
    </sheetView>
  </sheetViews>
  <sheetFormatPr baseColWidth="10" defaultColWidth="10.140625" defaultRowHeight="14.25"/>
  <cols>
    <col min="1" max="1" width="22.85546875" style="2" customWidth="1"/>
    <col min="2" max="2" width="32" style="2" customWidth="1"/>
    <col min="3" max="4" width="20.5703125" style="2" customWidth="1"/>
    <col min="5" max="5" width="16" style="2" customWidth="1"/>
    <col min="6" max="6" width="19.42578125" style="2" customWidth="1"/>
    <col min="7" max="7" width="16" style="2" customWidth="1"/>
    <col min="8" max="9" width="25.140625" style="2" customWidth="1"/>
    <col min="10" max="10" width="17.28515625" style="2" customWidth="1"/>
    <col min="11" max="16384" width="10.140625" style="2"/>
  </cols>
  <sheetData>
    <row r="1" spans="1:10" ht="20.25" customHeight="1">
      <c r="A1" s="107" t="s">
        <v>3480</v>
      </c>
      <c r="B1" s="107"/>
      <c r="C1" s="107"/>
      <c r="D1" s="107"/>
      <c r="E1" s="107"/>
      <c r="F1" s="107"/>
      <c r="G1" s="107"/>
      <c r="H1" s="107"/>
      <c r="I1" s="107"/>
      <c r="J1" s="107"/>
    </row>
    <row r="2" spans="1:10">
      <c r="A2" s="129" t="s">
        <v>3481</v>
      </c>
      <c r="B2" s="129"/>
      <c r="C2" s="129"/>
      <c r="D2" s="129"/>
      <c r="E2" s="129"/>
      <c r="F2" s="129"/>
      <c r="G2" s="129"/>
      <c r="H2" s="129"/>
      <c r="I2" s="129"/>
    </row>
    <row r="3" spans="1:10">
      <c r="A3" s="109"/>
      <c r="B3" s="109"/>
      <c r="C3" s="109"/>
      <c r="D3" s="109"/>
      <c r="E3" s="109"/>
      <c r="F3" s="109"/>
      <c r="G3" s="109"/>
      <c r="H3" s="109"/>
      <c r="I3" s="109"/>
    </row>
    <row r="4" spans="1:10" ht="49.5">
      <c r="A4" s="110" t="s">
        <v>3482</v>
      </c>
      <c r="B4" s="110" t="s">
        <v>3483</v>
      </c>
      <c r="C4" s="110" t="s">
        <v>3484</v>
      </c>
      <c r="D4" s="110" t="s">
        <v>3485</v>
      </c>
      <c r="E4" s="110" t="s">
        <v>3486</v>
      </c>
      <c r="F4" s="110" t="s">
        <v>3487</v>
      </c>
      <c r="G4" s="110" t="s">
        <v>14</v>
      </c>
      <c r="H4" s="110" t="s">
        <v>3488</v>
      </c>
      <c r="I4" s="110" t="s">
        <v>3489</v>
      </c>
      <c r="J4" s="110" t="s">
        <v>3490</v>
      </c>
    </row>
    <row r="5" spans="1:10" ht="15">
      <c r="A5" s="109" t="s">
        <v>67</v>
      </c>
      <c r="B5" s="109" t="s">
        <v>3491</v>
      </c>
      <c r="C5" s="109" t="s">
        <v>3492</v>
      </c>
      <c r="D5" s="109" t="s">
        <v>3493</v>
      </c>
      <c r="E5" s="109" t="s">
        <v>3494</v>
      </c>
      <c r="F5" s="111">
        <v>5</v>
      </c>
      <c r="G5" s="109" t="s">
        <v>3495</v>
      </c>
      <c r="H5" s="125">
        <v>16289990</v>
      </c>
      <c r="I5" s="125">
        <f>F5*H5</f>
        <v>81449950</v>
      </c>
      <c r="J5" s="130">
        <f>I5*3</f>
        <v>244349850</v>
      </c>
    </row>
    <row r="6" spans="1:10" ht="15">
      <c r="A6" s="109" t="s">
        <v>34</v>
      </c>
      <c r="B6" s="109" t="s">
        <v>3491</v>
      </c>
      <c r="C6" s="109" t="s">
        <v>3492</v>
      </c>
      <c r="D6" s="109" t="s">
        <v>3493</v>
      </c>
      <c r="E6" s="109" t="s">
        <v>3494</v>
      </c>
      <c r="F6" s="111">
        <v>2</v>
      </c>
      <c r="G6" s="109" t="s">
        <v>3495</v>
      </c>
      <c r="H6" s="125">
        <v>16289990</v>
      </c>
      <c r="I6" s="125">
        <f>F6*H6</f>
        <v>32579980</v>
      </c>
      <c r="J6" s="130">
        <f t="shared" ref="J6:J9" si="0">I6*3</f>
        <v>97739940</v>
      </c>
    </row>
    <row r="7" spans="1:10" ht="15">
      <c r="A7" s="109" t="s">
        <v>79</v>
      </c>
      <c r="B7" s="109" t="s">
        <v>3491</v>
      </c>
      <c r="C7" s="109" t="s">
        <v>3492</v>
      </c>
      <c r="D7" s="109" t="s">
        <v>3493</v>
      </c>
      <c r="E7" s="109" t="s">
        <v>3494</v>
      </c>
      <c r="F7" s="111">
        <v>2</v>
      </c>
      <c r="G7" s="109" t="s">
        <v>3495</v>
      </c>
      <c r="H7" s="125">
        <v>16266444</v>
      </c>
      <c r="I7" s="125">
        <f>F7*H7</f>
        <v>32532888</v>
      </c>
      <c r="J7" s="130">
        <f t="shared" si="0"/>
        <v>97598664</v>
      </c>
    </row>
    <row r="8" spans="1:10" ht="15">
      <c r="A8" s="109" t="s">
        <v>91</v>
      </c>
      <c r="B8" s="109" t="s">
        <v>3491</v>
      </c>
      <c r="C8" s="109" t="s">
        <v>3492</v>
      </c>
      <c r="D8" s="109" t="s">
        <v>3493</v>
      </c>
      <c r="E8" s="109" t="s">
        <v>3494</v>
      </c>
      <c r="F8" s="111">
        <v>2</v>
      </c>
      <c r="G8" s="109" t="s">
        <v>3495</v>
      </c>
      <c r="H8" s="125">
        <v>17465289</v>
      </c>
      <c r="I8" s="125">
        <f>F8*H8</f>
        <v>34930578</v>
      </c>
      <c r="J8" s="130">
        <f t="shared" si="0"/>
        <v>104791734</v>
      </c>
    </row>
    <row r="9" spans="1:10" ht="15">
      <c r="A9" s="109" t="s">
        <v>126</v>
      </c>
      <c r="B9" s="109" t="s">
        <v>3491</v>
      </c>
      <c r="C9" s="109" t="s">
        <v>3492</v>
      </c>
      <c r="D9" s="109" t="s">
        <v>3493</v>
      </c>
      <c r="E9" s="109" t="s">
        <v>3494</v>
      </c>
      <c r="F9" s="111">
        <v>4</v>
      </c>
      <c r="G9" s="109" t="s">
        <v>3495</v>
      </c>
      <c r="H9" s="125">
        <v>16467760</v>
      </c>
      <c r="I9" s="125">
        <f>F9*H9</f>
        <v>65871040</v>
      </c>
      <c r="J9" s="130">
        <f t="shared" si="0"/>
        <v>197613120</v>
      </c>
    </row>
    <row r="10" spans="1:10" ht="16.5">
      <c r="A10" s="115" t="s">
        <v>3479</v>
      </c>
      <c r="B10" s="113"/>
      <c r="C10" s="113"/>
      <c r="D10" s="113"/>
      <c r="E10" s="113"/>
      <c r="F10" s="115">
        <f>SUM(F5:F9)</f>
        <v>15</v>
      </c>
      <c r="G10" s="113"/>
      <c r="H10" s="128">
        <f>SUM(H5:H9)</f>
        <v>82779473</v>
      </c>
      <c r="I10" s="128">
        <f>SUM(I5:I9)</f>
        <v>247364436</v>
      </c>
      <c r="J10" s="128">
        <f>SUM(J5:J9)</f>
        <v>742093308</v>
      </c>
    </row>
  </sheetData>
  <mergeCells count="2">
    <mergeCell ref="A1:J1"/>
    <mergeCell ref="A2:I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529E1-46B6-49E4-9F96-6A72B8680200}">
  <dimension ref="A1:L38"/>
  <sheetViews>
    <sheetView showGridLines="0" tabSelected="1" workbookViewId="0">
      <selection activeCell="E22" sqref="E22"/>
    </sheetView>
  </sheetViews>
  <sheetFormatPr baseColWidth="10" defaultColWidth="10.140625" defaultRowHeight="14.25"/>
  <cols>
    <col min="1" max="1" width="25" style="2" customWidth="1"/>
    <col min="2" max="2" width="41.140625" style="2" customWidth="1"/>
    <col min="3" max="3" width="18.28515625" style="2" customWidth="1"/>
    <col min="4" max="4" width="26.28515625" style="2" customWidth="1"/>
    <col min="5" max="5" width="17.140625" style="2" customWidth="1"/>
    <col min="6" max="7" width="18.28515625" style="2" customWidth="1"/>
    <col min="8" max="9" width="20.5703125" style="2" customWidth="1"/>
    <col min="10" max="10" width="22.85546875" style="2" customWidth="1"/>
    <col min="11" max="11" width="25.140625" style="2" customWidth="1"/>
    <col min="12" max="12" width="22.85546875" style="2" customWidth="1"/>
    <col min="13" max="16384" width="10.140625" style="2"/>
  </cols>
  <sheetData>
    <row r="1" spans="1:12" ht="18" customHeight="1">
      <c r="A1" s="107" t="s">
        <v>3496</v>
      </c>
      <c r="B1" s="107"/>
      <c r="C1" s="107"/>
      <c r="D1" s="107"/>
      <c r="E1" s="107"/>
      <c r="F1" s="107"/>
      <c r="G1" s="107"/>
      <c r="H1" s="107"/>
      <c r="I1" s="107"/>
      <c r="J1" s="107"/>
      <c r="K1" s="107"/>
      <c r="L1" s="107"/>
    </row>
    <row r="2" spans="1:12" ht="33" customHeight="1">
      <c r="A2" s="129" t="s">
        <v>3497</v>
      </c>
      <c r="B2" s="129"/>
      <c r="C2" s="129"/>
      <c r="D2" s="129"/>
      <c r="E2" s="129"/>
      <c r="F2" s="129"/>
      <c r="G2" s="129"/>
      <c r="H2" s="129"/>
      <c r="I2" s="129"/>
      <c r="J2" s="129"/>
      <c r="K2" s="129"/>
      <c r="L2" s="129"/>
    </row>
    <row r="3" spans="1:12" ht="27.75" customHeight="1">
      <c r="A3" s="131" t="s">
        <v>3498</v>
      </c>
      <c r="B3" s="131"/>
      <c r="C3" s="131"/>
      <c r="D3" s="131"/>
      <c r="E3" s="131"/>
      <c r="F3" s="131"/>
      <c r="G3" s="131"/>
      <c r="H3" s="131"/>
      <c r="I3" s="131"/>
      <c r="J3" s="131"/>
      <c r="K3" s="131"/>
      <c r="L3" s="131"/>
    </row>
    <row r="4" spans="1:12">
      <c r="A4" s="109"/>
      <c r="B4" s="109"/>
      <c r="C4" s="109"/>
      <c r="D4" s="109"/>
      <c r="E4" s="109"/>
      <c r="F4" s="109"/>
      <c r="G4" s="109"/>
      <c r="H4" s="109"/>
      <c r="I4" s="109"/>
      <c r="J4" s="109"/>
      <c r="K4" s="109"/>
      <c r="L4" s="109"/>
    </row>
    <row r="5" spans="1:12">
      <c r="A5" s="109"/>
      <c r="B5" s="109"/>
      <c r="C5" s="109"/>
      <c r="D5" s="109"/>
      <c r="E5" s="109"/>
      <c r="F5" s="109"/>
      <c r="G5" s="109"/>
      <c r="H5" s="109"/>
      <c r="I5" s="109"/>
      <c r="J5" s="109"/>
      <c r="K5" s="109"/>
      <c r="L5" s="109"/>
    </row>
    <row r="6" spans="1:12">
      <c r="A6" s="109"/>
      <c r="B6" s="109"/>
      <c r="C6" s="109"/>
      <c r="D6" s="109"/>
      <c r="E6" s="109"/>
      <c r="F6" s="109"/>
      <c r="G6" s="109"/>
      <c r="H6" s="109"/>
      <c r="I6" s="109"/>
      <c r="J6" s="109"/>
      <c r="K6" s="109"/>
      <c r="L6" s="109"/>
    </row>
    <row r="7" spans="1:12" ht="69.2" customHeight="1">
      <c r="A7" s="110" t="s">
        <v>3499</v>
      </c>
      <c r="B7" s="110" t="s">
        <v>3500</v>
      </c>
      <c r="C7" s="110" t="s">
        <v>3501</v>
      </c>
      <c r="D7" s="110" t="s">
        <v>3502</v>
      </c>
      <c r="E7" s="110" t="s">
        <v>3503</v>
      </c>
      <c r="F7" s="110" t="s">
        <v>3449</v>
      </c>
      <c r="G7" s="110" t="s">
        <v>3452</v>
      </c>
      <c r="H7" s="110" t="s">
        <v>3454</v>
      </c>
      <c r="I7" s="110" t="s">
        <v>3504</v>
      </c>
      <c r="J7" s="110" t="s">
        <v>3505</v>
      </c>
      <c r="K7" s="110" t="s">
        <v>3506</v>
      </c>
      <c r="L7" s="110" t="s">
        <v>3507</v>
      </c>
    </row>
    <row r="8" spans="1:12">
      <c r="A8" s="109">
        <v>133</v>
      </c>
      <c r="B8" s="109" t="s">
        <v>3508</v>
      </c>
      <c r="C8" s="109">
        <v>4</v>
      </c>
      <c r="D8" s="109" t="s">
        <v>3509</v>
      </c>
      <c r="E8" s="111">
        <v>1</v>
      </c>
      <c r="F8" s="111">
        <v>15</v>
      </c>
      <c r="G8" s="111">
        <v>2</v>
      </c>
      <c r="H8" s="111">
        <v>17</v>
      </c>
      <c r="I8" s="111">
        <f t="shared" ref="I8:I13" si="0">E8*H8</f>
        <v>17</v>
      </c>
      <c r="J8" s="111">
        <f t="shared" ref="J8:J13" si="1">C8*I8</f>
        <v>68</v>
      </c>
      <c r="K8" s="112">
        <v>31168.48</v>
      </c>
      <c r="L8" s="112">
        <f t="shared" ref="L8:L37" si="2">J8*K8</f>
        <v>2119456.64</v>
      </c>
    </row>
    <row r="9" spans="1:12">
      <c r="A9" s="109">
        <v>134</v>
      </c>
      <c r="B9" s="109" t="s">
        <v>3510</v>
      </c>
      <c r="C9" s="109">
        <v>4</v>
      </c>
      <c r="D9" s="109" t="s">
        <v>3509</v>
      </c>
      <c r="E9" s="111">
        <v>1</v>
      </c>
      <c r="F9" s="111">
        <v>15</v>
      </c>
      <c r="G9" s="111">
        <v>2</v>
      </c>
      <c r="H9" s="111">
        <v>17</v>
      </c>
      <c r="I9" s="111">
        <f t="shared" si="0"/>
        <v>17</v>
      </c>
      <c r="J9" s="111">
        <f t="shared" si="1"/>
        <v>68</v>
      </c>
      <c r="K9" s="112">
        <v>45109.33</v>
      </c>
      <c r="L9" s="112">
        <f t="shared" si="2"/>
        <v>3067434.44</v>
      </c>
    </row>
    <row r="10" spans="1:12">
      <c r="A10" s="109">
        <v>137</v>
      </c>
      <c r="B10" s="109" t="s">
        <v>3511</v>
      </c>
      <c r="C10" s="109">
        <v>2</v>
      </c>
      <c r="D10" s="109" t="s">
        <v>3512</v>
      </c>
      <c r="E10" s="111">
        <v>1</v>
      </c>
      <c r="F10" s="111">
        <v>15</v>
      </c>
      <c r="G10" s="111">
        <v>2</v>
      </c>
      <c r="H10" s="111">
        <v>17</v>
      </c>
      <c r="I10" s="111">
        <f t="shared" si="0"/>
        <v>17</v>
      </c>
      <c r="J10" s="111">
        <f t="shared" si="1"/>
        <v>34</v>
      </c>
      <c r="K10" s="112">
        <v>17735.759999999998</v>
      </c>
      <c r="L10" s="112">
        <f t="shared" si="2"/>
        <v>603015.84</v>
      </c>
    </row>
    <row r="11" spans="1:12">
      <c r="A11" s="109">
        <v>138</v>
      </c>
      <c r="B11" s="109" t="s">
        <v>3513</v>
      </c>
      <c r="C11" s="109">
        <v>6</v>
      </c>
      <c r="D11" s="109" t="s">
        <v>3514</v>
      </c>
      <c r="E11" s="111">
        <v>1</v>
      </c>
      <c r="F11" s="111">
        <v>15</v>
      </c>
      <c r="G11" s="111">
        <v>2</v>
      </c>
      <c r="H11" s="111">
        <v>17</v>
      </c>
      <c r="I11" s="111">
        <f t="shared" si="0"/>
        <v>17</v>
      </c>
      <c r="J11" s="111">
        <f t="shared" si="1"/>
        <v>102</v>
      </c>
      <c r="K11" s="112">
        <v>14335.93</v>
      </c>
      <c r="L11" s="112">
        <f t="shared" si="2"/>
        <v>1462264.86</v>
      </c>
    </row>
    <row r="12" spans="1:12">
      <c r="A12" s="109">
        <v>143</v>
      </c>
      <c r="B12" s="109" t="s">
        <v>3515</v>
      </c>
      <c r="C12" s="109">
        <v>2</v>
      </c>
      <c r="D12" s="109" t="s">
        <v>3509</v>
      </c>
      <c r="E12" s="111">
        <v>1</v>
      </c>
      <c r="F12" s="111">
        <v>15</v>
      </c>
      <c r="G12" s="111">
        <v>2</v>
      </c>
      <c r="H12" s="111">
        <v>17</v>
      </c>
      <c r="I12" s="111">
        <f t="shared" si="0"/>
        <v>17</v>
      </c>
      <c r="J12" s="111">
        <f t="shared" si="1"/>
        <v>34</v>
      </c>
      <c r="K12" s="112">
        <v>15001.14</v>
      </c>
      <c r="L12" s="112">
        <f t="shared" si="2"/>
        <v>510038.76</v>
      </c>
    </row>
    <row r="13" spans="1:12">
      <c r="A13" s="109">
        <v>151</v>
      </c>
      <c r="B13" s="109" t="s">
        <v>3516</v>
      </c>
      <c r="C13" s="109">
        <v>24</v>
      </c>
      <c r="D13" s="109" t="s">
        <v>3509</v>
      </c>
      <c r="E13" s="111">
        <v>1</v>
      </c>
      <c r="F13" s="111">
        <v>15</v>
      </c>
      <c r="G13" s="111">
        <v>2</v>
      </c>
      <c r="H13" s="111">
        <v>17</v>
      </c>
      <c r="I13" s="111">
        <f t="shared" si="0"/>
        <v>17</v>
      </c>
      <c r="J13" s="111">
        <f t="shared" si="1"/>
        <v>408</v>
      </c>
      <c r="K13" s="112">
        <v>5959.52</v>
      </c>
      <c r="L13" s="112">
        <f t="shared" si="2"/>
        <v>2431484.16</v>
      </c>
    </row>
    <row r="14" spans="1:12">
      <c r="A14" s="109">
        <v>157</v>
      </c>
      <c r="B14" s="109" t="s">
        <v>3517</v>
      </c>
      <c r="C14" s="109" t="s">
        <v>3435</v>
      </c>
      <c r="D14" s="109" t="s">
        <v>3509</v>
      </c>
      <c r="E14" s="111" t="s">
        <v>3435</v>
      </c>
      <c r="F14" s="111">
        <v>15</v>
      </c>
      <c r="G14" s="111">
        <v>2</v>
      </c>
      <c r="H14" s="111">
        <v>17</v>
      </c>
      <c r="I14" s="111" t="s">
        <v>3435</v>
      </c>
      <c r="J14" s="111">
        <v>69</v>
      </c>
      <c r="K14" s="112">
        <v>93647.05</v>
      </c>
      <c r="L14" s="112">
        <f t="shared" si="2"/>
        <v>6461646.4500000002</v>
      </c>
    </row>
    <row r="15" spans="1:12">
      <c r="A15" s="109">
        <v>160</v>
      </c>
      <c r="B15" s="109" t="s">
        <v>3518</v>
      </c>
      <c r="C15" s="109" t="s">
        <v>3435</v>
      </c>
      <c r="D15" s="109" t="s">
        <v>3509</v>
      </c>
      <c r="E15" s="111" t="s">
        <v>3435</v>
      </c>
      <c r="F15" s="111">
        <v>15</v>
      </c>
      <c r="G15" s="111">
        <v>2</v>
      </c>
      <c r="H15" s="111">
        <v>17</v>
      </c>
      <c r="I15" s="111" t="s">
        <v>3435</v>
      </c>
      <c r="J15" s="111">
        <v>69</v>
      </c>
      <c r="K15" s="112">
        <v>21084.42</v>
      </c>
      <c r="L15" s="112">
        <f t="shared" si="2"/>
        <v>1454824.98</v>
      </c>
    </row>
    <row r="16" spans="1:12">
      <c r="A16" s="109">
        <v>163</v>
      </c>
      <c r="B16" s="109" t="s">
        <v>3519</v>
      </c>
      <c r="C16" s="109">
        <v>2</v>
      </c>
      <c r="D16" s="109" t="s">
        <v>3509</v>
      </c>
      <c r="E16" s="111">
        <v>1</v>
      </c>
      <c r="F16" s="111">
        <v>15</v>
      </c>
      <c r="G16" s="111">
        <v>2</v>
      </c>
      <c r="H16" s="111">
        <v>17</v>
      </c>
      <c r="I16" s="111">
        <f t="shared" ref="I16:I37" si="3">E16*H16</f>
        <v>17</v>
      </c>
      <c r="J16" s="111">
        <f t="shared" ref="J16:J37" si="4">C16*I16</f>
        <v>34</v>
      </c>
      <c r="K16" s="112">
        <v>107414.16</v>
      </c>
      <c r="L16" s="112">
        <f t="shared" si="2"/>
        <v>3652081.44</v>
      </c>
    </row>
    <row r="17" spans="1:12">
      <c r="A17" s="109">
        <v>164</v>
      </c>
      <c r="B17" s="109" t="s">
        <v>3520</v>
      </c>
      <c r="C17" s="109">
        <v>2</v>
      </c>
      <c r="D17" s="109" t="s">
        <v>3509</v>
      </c>
      <c r="E17" s="111">
        <v>1</v>
      </c>
      <c r="F17" s="111">
        <v>15</v>
      </c>
      <c r="G17" s="111">
        <v>2</v>
      </c>
      <c r="H17" s="111">
        <v>17</v>
      </c>
      <c r="I17" s="111">
        <f t="shared" si="3"/>
        <v>17</v>
      </c>
      <c r="J17" s="111">
        <f t="shared" si="4"/>
        <v>34</v>
      </c>
      <c r="K17" s="112">
        <v>87185.35</v>
      </c>
      <c r="L17" s="112">
        <f t="shared" si="2"/>
        <v>2964301.9000000004</v>
      </c>
    </row>
    <row r="18" spans="1:12">
      <c r="A18" s="109">
        <v>166</v>
      </c>
      <c r="B18" s="109" t="s">
        <v>3521</v>
      </c>
      <c r="C18" s="109">
        <v>2</v>
      </c>
      <c r="D18" s="109" t="s">
        <v>3509</v>
      </c>
      <c r="E18" s="111">
        <v>1</v>
      </c>
      <c r="F18" s="111">
        <v>15</v>
      </c>
      <c r="G18" s="111">
        <v>2</v>
      </c>
      <c r="H18" s="111">
        <v>17</v>
      </c>
      <c r="I18" s="111">
        <f t="shared" si="3"/>
        <v>17</v>
      </c>
      <c r="J18" s="111">
        <f t="shared" si="4"/>
        <v>34</v>
      </c>
      <c r="K18" s="112">
        <v>92927.1</v>
      </c>
      <c r="L18" s="112">
        <f t="shared" si="2"/>
        <v>3159521.4000000004</v>
      </c>
    </row>
    <row r="19" spans="1:12">
      <c r="A19" s="109">
        <v>174</v>
      </c>
      <c r="B19" s="109" t="s">
        <v>3522</v>
      </c>
      <c r="C19" s="109">
        <v>4</v>
      </c>
      <c r="D19" s="109" t="s">
        <v>3509</v>
      </c>
      <c r="E19" s="111">
        <v>1</v>
      </c>
      <c r="F19" s="111">
        <v>15</v>
      </c>
      <c r="G19" s="111">
        <v>2</v>
      </c>
      <c r="H19" s="111">
        <v>17</v>
      </c>
      <c r="I19" s="111">
        <f t="shared" si="3"/>
        <v>17</v>
      </c>
      <c r="J19" s="111">
        <f t="shared" si="4"/>
        <v>68</v>
      </c>
      <c r="K19" s="112">
        <v>17136</v>
      </c>
      <c r="L19" s="112">
        <f t="shared" si="2"/>
        <v>1165248</v>
      </c>
    </row>
    <row r="20" spans="1:12">
      <c r="A20" s="109">
        <v>184</v>
      </c>
      <c r="B20" s="109" t="s">
        <v>3523</v>
      </c>
      <c r="C20" s="109">
        <v>3</v>
      </c>
      <c r="D20" s="109" t="s">
        <v>3524</v>
      </c>
      <c r="E20" s="111">
        <v>1</v>
      </c>
      <c r="F20" s="111">
        <v>15</v>
      </c>
      <c r="G20" s="111">
        <v>2</v>
      </c>
      <c r="H20" s="111">
        <v>17</v>
      </c>
      <c r="I20" s="111">
        <f t="shared" si="3"/>
        <v>17</v>
      </c>
      <c r="J20" s="111">
        <f t="shared" si="4"/>
        <v>51</v>
      </c>
      <c r="K20" s="112">
        <v>18602.080000000002</v>
      </c>
      <c r="L20" s="112">
        <f t="shared" si="2"/>
        <v>948706.08000000007</v>
      </c>
    </row>
    <row r="21" spans="1:12">
      <c r="A21" s="109">
        <v>186</v>
      </c>
      <c r="B21" s="109" t="s">
        <v>3525</v>
      </c>
      <c r="C21" s="109">
        <v>6</v>
      </c>
      <c r="D21" s="109" t="s">
        <v>3509</v>
      </c>
      <c r="E21" s="111">
        <v>1</v>
      </c>
      <c r="F21" s="111">
        <v>15</v>
      </c>
      <c r="G21" s="111">
        <v>2</v>
      </c>
      <c r="H21" s="111">
        <v>17</v>
      </c>
      <c r="I21" s="111">
        <f t="shared" si="3"/>
        <v>17</v>
      </c>
      <c r="J21" s="111">
        <f t="shared" si="4"/>
        <v>102</v>
      </c>
      <c r="K21" s="112">
        <v>16777.810000000001</v>
      </c>
      <c r="L21" s="112">
        <f t="shared" si="2"/>
        <v>1711336.62</v>
      </c>
    </row>
    <row r="22" spans="1:12">
      <c r="A22" s="109">
        <v>189</v>
      </c>
      <c r="B22" s="109" t="s">
        <v>3526</v>
      </c>
      <c r="C22" s="109">
        <v>4</v>
      </c>
      <c r="D22" s="109" t="s">
        <v>3509</v>
      </c>
      <c r="E22" s="111">
        <v>1</v>
      </c>
      <c r="F22" s="111">
        <v>15</v>
      </c>
      <c r="G22" s="111">
        <v>2</v>
      </c>
      <c r="H22" s="111">
        <v>17</v>
      </c>
      <c r="I22" s="111">
        <f t="shared" si="3"/>
        <v>17</v>
      </c>
      <c r="J22" s="111">
        <f t="shared" si="4"/>
        <v>68</v>
      </c>
      <c r="K22" s="112">
        <v>20372.8</v>
      </c>
      <c r="L22" s="112">
        <f t="shared" si="2"/>
        <v>1385350.4</v>
      </c>
    </row>
    <row r="23" spans="1:12">
      <c r="A23" s="109">
        <v>190</v>
      </c>
      <c r="B23" s="109" t="s">
        <v>3527</v>
      </c>
      <c r="C23" s="109">
        <v>4</v>
      </c>
      <c r="D23" s="109" t="s">
        <v>3509</v>
      </c>
      <c r="E23" s="111">
        <v>1</v>
      </c>
      <c r="F23" s="111">
        <v>15</v>
      </c>
      <c r="G23" s="111">
        <v>2</v>
      </c>
      <c r="H23" s="111">
        <v>17</v>
      </c>
      <c r="I23" s="111">
        <f t="shared" si="3"/>
        <v>17</v>
      </c>
      <c r="J23" s="111">
        <f t="shared" si="4"/>
        <v>68</v>
      </c>
      <c r="K23" s="112">
        <v>15223.67</v>
      </c>
      <c r="L23" s="112">
        <f t="shared" si="2"/>
        <v>1035209.56</v>
      </c>
    </row>
    <row r="24" spans="1:12">
      <c r="A24" s="109">
        <v>196</v>
      </c>
      <c r="B24" s="109" t="s">
        <v>3528</v>
      </c>
      <c r="C24" s="109">
        <v>2</v>
      </c>
      <c r="D24" s="109" t="s">
        <v>3509</v>
      </c>
      <c r="E24" s="111">
        <v>1</v>
      </c>
      <c r="F24" s="111">
        <v>15</v>
      </c>
      <c r="G24" s="111">
        <v>2</v>
      </c>
      <c r="H24" s="111">
        <v>17</v>
      </c>
      <c r="I24" s="111">
        <f t="shared" si="3"/>
        <v>17</v>
      </c>
      <c r="J24" s="111">
        <f t="shared" si="4"/>
        <v>34</v>
      </c>
      <c r="K24" s="112">
        <v>15120.14</v>
      </c>
      <c r="L24" s="112">
        <f t="shared" si="2"/>
        <v>514084.76</v>
      </c>
    </row>
    <row r="25" spans="1:12">
      <c r="A25" s="109">
        <v>200</v>
      </c>
      <c r="B25" s="109" t="s">
        <v>3529</v>
      </c>
      <c r="C25" s="109">
        <v>2</v>
      </c>
      <c r="D25" s="109" t="s">
        <v>3530</v>
      </c>
      <c r="E25" s="111">
        <v>1</v>
      </c>
      <c r="F25" s="111">
        <v>15</v>
      </c>
      <c r="G25" s="111">
        <v>2</v>
      </c>
      <c r="H25" s="111">
        <v>17</v>
      </c>
      <c r="I25" s="111">
        <f t="shared" si="3"/>
        <v>17</v>
      </c>
      <c r="J25" s="111">
        <f t="shared" si="4"/>
        <v>34</v>
      </c>
      <c r="K25" s="112">
        <v>27065.360000000001</v>
      </c>
      <c r="L25" s="112">
        <f t="shared" si="2"/>
        <v>920222.24</v>
      </c>
    </row>
    <row r="26" spans="1:12">
      <c r="A26" s="109">
        <v>203</v>
      </c>
      <c r="B26" s="109" t="s">
        <v>3531</v>
      </c>
      <c r="C26" s="109">
        <v>10</v>
      </c>
      <c r="D26" s="109" t="s">
        <v>3524</v>
      </c>
      <c r="E26" s="111">
        <v>1</v>
      </c>
      <c r="F26" s="111">
        <v>15</v>
      </c>
      <c r="G26" s="111">
        <v>2</v>
      </c>
      <c r="H26" s="111">
        <v>17</v>
      </c>
      <c r="I26" s="111">
        <f t="shared" si="3"/>
        <v>17</v>
      </c>
      <c r="J26" s="111">
        <f t="shared" si="4"/>
        <v>170</v>
      </c>
      <c r="K26" s="112">
        <v>33231.94</v>
      </c>
      <c r="L26" s="112">
        <f t="shared" si="2"/>
        <v>5649429.8000000007</v>
      </c>
    </row>
    <row r="27" spans="1:12">
      <c r="A27" s="109">
        <v>211</v>
      </c>
      <c r="B27" s="109" t="s">
        <v>3532</v>
      </c>
      <c r="C27" s="109">
        <v>2</v>
      </c>
      <c r="D27" s="109" t="s">
        <v>3514</v>
      </c>
      <c r="E27" s="111">
        <v>1</v>
      </c>
      <c r="F27" s="111">
        <v>15</v>
      </c>
      <c r="G27" s="111">
        <v>2</v>
      </c>
      <c r="H27" s="111">
        <v>17</v>
      </c>
      <c r="I27" s="111">
        <f t="shared" si="3"/>
        <v>17</v>
      </c>
      <c r="J27" s="111">
        <f t="shared" si="4"/>
        <v>34</v>
      </c>
      <c r="K27" s="112">
        <v>40294.589999999997</v>
      </c>
      <c r="L27" s="112">
        <f t="shared" si="2"/>
        <v>1370016.0599999998</v>
      </c>
    </row>
    <row r="28" spans="1:12">
      <c r="A28" s="109">
        <v>214</v>
      </c>
      <c r="B28" s="109" t="s">
        <v>3533</v>
      </c>
      <c r="C28" s="109">
        <v>2</v>
      </c>
      <c r="D28" s="109" t="s">
        <v>3509</v>
      </c>
      <c r="E28" s="111">
        <v>1</v>
      </c>
      <c r="F28" s="111">
        <v>15</v>
      </c>
      <c r="G28" s="111">
        <v>2</v>
      </c>
      <c r="H28" s="111">
        <v>17</v>
      </c>
      <c r="I28" s="111">
        <f t="shared" si="3"/>
        <v>17</v>
      </c>
      <c r="J28" s="111">
        <f t="shared" si="4"/>
        <v>34</v>
      </c>
      <c r="K28" s="112">
        <v>17062.22</v>
      </c>
      <c r="L28" s="112">
        <f t="shared" si="2"/>
        <v>580115.48</v>
      </c>
    </row>
    <row r="29" spans="1:12">
      <c r="A29" s="109">
        <v>217</v>
      </c>
      <c r="B29" s="109" t="s">
        <v>3534</v>
      </c>
      <c r="C29" s="109">
        <v>3</v>
      </c>
      <c r="D29" s="109" t="s">
        <v>3509</v>
      </c>
      <c r="E29" s="111">
        <v>1</v>
      </c>
      <c r="F29" s="111">
        <v>15</v>
      </c>
      <c r="G29" s="111">
        <v>2</v>
      </c>
      <c r="H29" s="111">
        <v>17</v>
      </c>
      <c r="I29" s="111">
        <f t="shared" si="3"/>
        <v>17</v>
      </c>
      <c r="J29" s="111">
        <f t="shared" si="4"/>
        <v>51</v>
      </c>
      <c r="K29" s="112">
        <v>12001.15</v>
      </c>
      <c r="L29" s="112">
        <f t="shared" si="2"/>
        <v>612058.65</v>
      </c>
    </row>
    <row r="30" spans="1:12">
      <c r="A30" s="109">
        <v>221</v>
      </c>
      <c r="B30" s="109" t="s">
        <v>3535</v>
      </c>
      <c r="C30" s="109">
        <v>3</v>
      </c>
      <c r="D30" s="109" t="s">
        <v>3509</v>
      </c>
      <c r="E30" s="111">
        <v>1</v>
      </c>
      <c r="F30" s="111">
        <v>15</v>
      </c>
      <c r="G30" s="111">
        <v>2</v>
      </c>
      <c r="H30" s="111">
        <v>17</v>
      </c>
      <c r="I30" s="111">
        <f t="shared" si="3"/>
        <v>17</v>
      </c>
      <c r="J30" s="111">
        <f t="shared" si="4"/>
        <v>51</v>
      </c>
      <c r="K30" s="112">
        <v>28911.05</v>
      </c>
      <c r="L30" s="112">
        <f t="shared" si="2"/>
        <v>1474463.55</v>
      </c>
    </row>
    <row r="31" spans="1:12">
      <c r="A31" s="109">
        <v>222</v>
      </c>
      <c r="B31" s="109" t="s">
        <v>3536</v>
      </c>
      <c r="C31" s="109">
        <v>1</v>
      </c>
      <c r="D31" s="109" t="s">
        <v>3509</v>
      </c>
      <c r="E31" s="111">
        <v>1</v>
      </c>
      <c r="F31" s="111">
        <v>15</v>
      </c>
      <c r="G31" s="111">
        <v>2</v>
      </c>
      <c r="H31" s="111">
        <v>17</v>
      </c>
      <c r="I31" s="111">
        <f t="shared" si="3"/>
        <v>17</v>
      </c>
      <c r="J31" s="111">
        <f t="shared" si="4"/>
        <v>17</v>
      </c>
      <c r="K31" s="112">
        <v>65103.71</v>
      </c>
      <c r="L31" s="112">
        <f t="shared" si="2"/>
        <v>1106763.07</v>
      </c>
    </row>
    <row r="32" spans="1:12">
      <c r="A32" s="109">
        <v>224</v>
      </c>
      <c r="B32" s="109" t="s">
        <v>3537</v>
      </c>
      <c r="C32" s="109">
        <v>1</v>
      </c>
      <c r="D32" s="109" t="s">
        <v>3538</v>
      </c>
      <c r="E32" s="111">
        <v>1</v>
      </c>
      <c r="F32" s="111">
        <v>15</v>
      </c>
      <c r="G32" s="111">
        <v>2</v>
      </c>
      <c r="H32" s="111">
        <v>17</v>
      </c>
      <c r="I32" s="111">
        <f t="shared" si="3"/>
        <v>17</v>
      </c>
      <c r="J32" s="111">
        <f t="shared" si="4"/>
        <v>17</v>
      </c>
      <c r="K32" s="112">
        <v>14527.52</v>
      </c>
      <c r="L32" s="112">
        <f t="shared" si="2"/>
        <v>246967.84</v>
      </c>
    </row>
    <row r="33" spans="1:12">
      <c r="A33" s="109">
        <v>227</v>
      </c>
      <c r="B33" s="109" t="s">
        <v>3539</v>
      </c>
      <c r="C33" s="109">
        <v>3</v>
      </c>
      <c r="D33" s="109" t="s">
        <v>3509</v>
      </c>
      <c r="E33" s="111">
        <v>1</v>
      </c>
      <c r="F33" s="111">
        <v>15</v>
      </c>
      <c r="G33" s="111">
        <v>2</v>
      </c>
      <c r="H33" s="111">
        <v>17</v>
      </c>
      <c r="I33" s="111">
        <f t="shared" si="3"/>
        <v>17</v>
      </c>
      <c r="J33" s="111">
        <f t="shared" si="4"/>
        <v>51</v>
      </c>
      <c r="K33" s="112">
        <v>14315.7</v>
      </c>
      <c r="L33" s="112">
        <f t="shared" si="2"/>
        <v>730100.70000000007</v>
      </c>
    </row>
    <row r="34" spans="1:12">
      <c r="A34" s="109">
        <v>234</v>
      </c>
      <c r="B34" s="109" t="s">
        <v>3540</v>
      </c>
      <c r="C34" s="109">
        <v>2</v>
      </c>
      <c r="D34" s="109" t="s">
        <v>3509</v>
      </c>
      <c r="E34" s="111">
        <v>1</v>
      </c>
      <c r="F34" s="111">
        <v>15</v>
      </c>
      <c r="G34" s="111">
        <v>2</v>
      </c>
      <c r="H34" s="111">
        <v>17</v>
      </c>
      <c r="I34" s="111">
        <f t="shared" si="3"/>
        <v>17</v>
      </c>
      <c r="J34" s="111">
        <f t="shared" si="4"/>
        <v>34</v>
      </c>
      <c r="K34" s="112">
        <v>41454.839999999997</v>
      </c>
      <c r="L34" s="112">
        <f t="shared" si="2"/>
        <v>1409464.5599999998</v>
      </c>
    </row>
    <row r="35" spans="1:12">
      <c r="A35" s="109">
        <v>238</v>
      </c>
      <c r="B35" s="109" t="s">
        <v>3541</v>
      </c>
      <c r="C35" s="109">
        <v>1</v>
      </c>
      <c r="D35" s="109" t="s">
        <v>3524</v>
      </c>
      <c r="E35" s="111">
        <v>1</v>
      </c>
      <c r="F35" s="111">
        <v>15</v>
      </c>
      <c r="G35" s="111">
        <v>2</v>
      </c>
      <c r="H35" s="111">
        <v>17</v>
      </c>
      <c r="I35" s="111">
        <f t="shared" si="3"/>
        <v>17</v>
      </c>
      <c r="J35" s="111">
        <f t="shared" si="4"/>
        <v>17</v>
      </c>
      <c r="K35" s="112">
        <v>15824.62</v>
      </c>
      <c r="L35" s="112">
        <f t="shared" si="2"/>
        <v>269018.54000000004</v>
      </c>
    </row>
    <row r="36" spans="1:12">
      <c r="A36" s="109">
        <v>240</v>
      </c>
      <c r="B36" s="109" t="s">
        <v>3542</v>
      </c>
      <c r="C36" s="109">
        <v>6</v>
      </c>
      <c r="D36" s="109" t="s">
        <v>3538</v>
      </c>
      <c r="E36" s="111">
        <v>1</v>
      </c>
      <c r="F36" s="111">
        <v>15</v>
      </c>
      <c r="G36" s="111">
        <v>2</v>
      </c>
      <c r="H36" s="111">
        <v>17</v>
      </c>
      <c r="I36" s="111">
        <f t="shared" si="3"/>
        <v>17</v>
      </c>
      <c r="J36" s="111">
        <f t="shared" si="4"/>
        <v>102</v>
      </c>
      <c r="K36" s="112">
        <v>9748.48</v>
      </c>
      <c r="L36" s="112">
        <f t="shared" si="2"/>
        <v>994344.95999999996</v>
      </c>
    </row>
    <row r="37" spans="1:12">
      <c r="A37" s="109">
        <v>243</v>
      </c>
      <c r="B37" s="109" t="s">
        <v>3543</v>
      </c>
      <c r="C37" s="109">
        <v>1</v>
      </c>
      <c r="D37" s="109" t="s">
        <v>3524</v>
      </c>
      <c r="E37" s="111">
        <v>1</v>
      </c>
      <c r="F37" s="111">
        <v>15</v>
      </c>
      <c r="G37" s="111">
        <v>2</v>
      </c>
      <c r="H37" s="111">
        <v>17</v>
      </c>
      <c r="I37" s="111">
        <f t="shared" si="3"/>
        <v>17</v>
      </c>
      <c r="J37" s="111">
        <f t="shared" si="4"/>
        <v>17</v>
      </c>
      <c r="K37" s="112">
        <v>30615.13</v>
      </c>
      <c r="L37" s="112">
        <f t="shared" si="2"/>
        <v>520457.21</v>
      </c>
    </row>
    <row r="38" spans="1:12" ht="16.5">
      <c r="A38" s="115" t="s">
        <v>3544</v>
      </c>
      <c r="B38" s="113"/>
      <c r="C38" s="113"/>
      <c r="D38" s="113"/>
      <c r="E38" s="113"/>
      <c r="F38" s="115"/>
      <c r="G38" s="113"/>
      <c r="H38" s="128"/>
      <c r="I38" s="128"/>
      <c r="J38" s="128"/>
      <c r="K38" s="128"/>
      <c r="L38" s="128">
        <f>SUM(L8:L37)</f>
        <v>50529428.950000003</v>
      </c>
    </row>
  </sheetData>
  <mergeCells count="3">
    <mergeCell ref="A1:L1"/>
    <mergeCell ref="A2:L2"/>
    <mergeCell ref="A3:L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C0666E76BD6E1489FF56D963F0203E9" ma:contentTypeVersion="9" ma:contentTypeDescription="Crear nuevo documento." ma:contentTypeScope="" ma:versionID="77d91d2f5274d835643a4d2984a5263e">
  <xsd:schema xmlns:xsd="http://www.w3.org/2001/XMLSchema" xmlns:xs="http://www.w3.org/2001/XMLSchema" xmlns:p="http://schemas.microsoft.com/office/2006/metadata/properties" xmlns:ns2="105bf1a3-fe1e-4fc3-8d90-bd4220649deb" xmlns:ns3="0c188b32-e9a0-48b8-badc-75f8e204a568" targetNamespace="http://schemas.microsoft.com/office/2006/metadata/properties" ma:root="true" ma:fieldsID="a7687eb69bfc6f17dee1af3ad0c86e4b" ns2:_="" ns3:_="">
    <xsd:import namespace="105bf1a3-fe1e-4fc3-8d90-bd4220649deb"/>
    <xsd:import namespace="0c188b32-e9a0-48b8-badc-75f8e204a56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5bf1a3-fe1e-4fc3-8d90-bd4220649d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1ac94145-2515-412e-b701-ce057b935481"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c188b32-e9a0-48b8-badc-75f8e204a56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452c77f-a080-4d34-bb51-1d1e3895d29c}" ma:internalName="TaxCatchAll" ma:showField="CatchAllData" ma:web="0c188b32-e9a0-48b8-badc-75f8e204a56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05bf1a3-fe1e-4fc3-8d90-bd4220649deb">
      <Terms xmlns="http://schemas.microsoft.com/office/infopath/2007/PartnerControls"/>
    </lcf76f155ced4ddcb4097134ff3c332f>
    <TaxCatchAll xmlns="0c188b32-e9a0-48b8-badc-75f8e204a568" xsi:nil="true"/>
  </documentManagement>
</p:properties>
</file>

<file path=customXml/itemProps1.xml><?xml version="1.0" encoding="utf-8"?>
<ds:datastoreItem xmlns:ds="http://schemas.openxmlformats.org/officeDocument/2006/customXml" ds:itemID="{A24DA192-A42E-4DB5-AC0A-19D16E3CACC1}"/>
</file>

<file path=customXml/itemProps2.xml><?xml version="1.0" encoding="utf-8"?>
<ds:datastoreItem xmlns:ds="http://schemas.openxmlformats.org/officeDocument/2006/customXml" ds:itemID="{53837AE2-3BF6-4255-9F1D-13F1D232ED2B}"/>
</file>

<file path=customXml/itemProps3.xml><?xml version="1.0" encoding="utf-8"?>
<ds:datastoreItem xmlns:ds="http://schemas.openxmlformats.org/officeDocument/2006/customXml" ds:itemID="{50D7987B-5ED5-4D7A-B9FC-C969E5C2280D}"/>
</file>

<file path=docMetadata/LabelInfo.xml><?xml version="1.0" encoding="utf-8"?>
<clbl:labelList xmlns:clbl="http://schemas.microsoft.com/office/2020/mipLabelMetadata">
  <clbl:label id="{3d92a5f3-bc7a-4a79-8c5e-5e483f7789bf}" enabled="0" method="" siteId="{3d92a5f3-bc7a-4a79-8c5e-5e483f7789b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SEDES ADM</vt:lpstr>
      <vt:lpstr>INFANCIAS Y ADOLESCENCIAS</vt:lpstr>
      <vt:lpstr>PRIMERA INFANCIA</vt:lpstr>
      <vt:lpstr>INFRAESTRUCTURA SRD</vt:lpstr>
      <vt:lpstr>NUTRICIÓN</vt:lpstr>
      <vt:lpstr>$ EMPI_BINAS Resumen general</vt:lpstr>
      <vt:lpstr>Personal costeado</vt:lpstr>
      <vt:lpstr>Transporte mensual</vt:lpstr>
      <vt:lpstr>Materiales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Felipe Vidal Lopez</dc:creator>
  <cp:lastModifiedBy>Juan Felipe Vidal Lopez</cp:lastModifiedBy>
  <dcterms:created xsi:type="dcterms:W3CDTF">2026-09-23T20:14:27Z</dcterms:created>
  <dcterms:modified xsi:type="dcterms:W3CDTF">2026-09-23T20:27:02Z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0x0101009C0666E76BD6E1489FF56D963F0203E9</vt:lpwstr>
  </property>
</Properties>
</file>