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ireccion Programas\Desktop\VALENTINA 2026\ATENCIÓN TERREMOTO AGOSTO 2026\PROYECTO PSICOSOCIAL\BASES DATOS\"/>
    </mc:Choice>
  </mc:AlternateContent>
  <xr:revisionPtr revIDLastSave="0" documentId="8_{B4D26957-FC31-2141-B071-0F847A0F0485}" xr6:coauthVersionLast="47" xr6:coauthVersionMax="47" xr10:uidLastSave="{00000000-0000-0000-0000-000000000000}"/>
  <bookViews>
    <workbookView xWindow="-108" yWindow="-108" windowWidth="23256" windowHeight="13896" xr2:uid="{813AC01C-2DD4-4CCE-8C96-9BDFF259BC17}"/>
  </bookViews>
  <sheets>
    <sheet name="sedes_proyecto_Pei y Dqdas" sheetId="4" r:id="rId1"/>
    <sheet name="sedes_afectadas_Pei y Dqdas" sheetId="1" state="hidden" r:id="rId2"/>
    <sheet name="Clasificacion de afectación" sheetId="3" r:id="rId3"/>
  </sheets>
  <definedNames>
    <definedName name="_1._ESTABLECIMIENTOS_EDUCATIVOS">#REF!</definedName>
    <definedName name="_9_MAT_GRUPOS_ETNICOS">#REF!</definedName>
    <definedName name="_xlnm._FilterDatabase" localSheetId="1" hidden="1">'sedes_afectadas_Pei y Dqdas'!$A$1:$V$173</definedName>
    <definedName name="_xlnm._FilterDatabase" localSheetId="0" hidden="1">'sedes_proyecto_Pei y Dqdas'!$A$1:$T$36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4" l="1"/>
  <c r="I33" i="4"/>
  <c r="I29" i="4"/>
  <c r="I24" i="4"/>
  <c r="I20" i="4"/>
  <c r="I18" i="4"/>
  <c r="I15" i="4"/>
  <c r="H168" i="1"/>
  <c r="H169" i="1"/>
  <c r="H170" i="1"/>
  <c r="H171" i="1"/>
  <c r="H172" i="1"/>
  <c r="H173" i="1"/>
  <c r="H167" i="1"/>
</calcChain>
</file>

<file path=xl/sharedStrings.xml><?xml version="1.0" encoding="utf-8"?>
<sst xmlns="http://schemas.openxmlformats.org/spreadsheetml/2006/main" count="1938" uniqueCount="244">
  <si>
    <t>Código DANE</t>
  </si>
  <si>
    <t>Sede</t>
  </si>
  <si>
    <t>Estado físico</t>
  </si>
  <si>
    <t>Matrícula total</t>
  </si>
  <si>
    <t>Sector</t>
  </si>
  <si>
    <t>Zona</t>
  </si>
  <si>
    <t>Primera infancia</t>
  </si>
  <si>
    <t>Primaria</t>
  </si>
  <si>
    <t>Secundaria</t>
  </si>
  <si>
    <t>Media</t>
  </si>
  <si>
    <t>Adultos</t>
  </si>
  <si>
    <t>Municipio</t>
  </si>
  <si>
    <t>Docentes</t>
  </si>
  <si>
    <t>Directivos docentes</t>
  </si>
  <si>
    <t>Secretaría</t>
  </si>
  <si>
    <t>Departamento</t>
  </si>
  <si>
    <t>INSTITUCION EDUCATIVA CIUDADELA CUBA</t>
  </si>
  <si>
    <t>Crítico</t>
  </si>
  <si>
    <t>OFICIAL</t>
  </si>
  <si>
    <t>URBANA</t>
  </si>
  <si>
    <t>Pereira</t>
  </si>
  <si>
    <t>Risaralda</t>
  </si>
  <si>
    <t>INSTITUCION EDUCATIVA INSTITUTO TECNICO SUPERIOR</t>
  </si>
  <si>
    <t>I.E. DIEGO MAYA SALAZAR - SEDE PRINCIPAL</t>
  </si>
  <si>
    <t>JAIME SALAZAR ROBLEDO - SEDE PRINCIPAL</t>
  </si>
  <si>
    <t>INSTITUCION EDUCATIVA BOYACA</t>
  </si>
  <si>
    <t>INSTITUTO KENNEDY</t>
  </si>
  <si>
    <t>INSTITUCION EDUCATIVA SAN FERNANDO</t>
  </si>
  <si>
    <t>INSTITUCION EDUCATIVA BYRON GAVIRIA</t>
  </si>
  <si>
    <t>INSTITUCION EDUCATIVA RODRIGO ARENAS BETANCURT</t>
  </si>
  <si>
    <t>INSTITUCION EDUCATIVA CIUDAD BOQUIA</t>
  </si>
  <si>
    <t>INSTITUCION EDUCATIVA COMPARTIR LAS BRISAS</t>
  </si>
  <si>
    <t>INST EDUC HANS DREWS ARANGO</t>
  </si>
  <si>
    <t>INSTITUCION EDUCATIVA GABRIEL TRUJILLO</t>
  </si>
  <si>
    <t>RURAL</t>
  </si>
  <si>
    <t>INSTITUCION EDUCATIVA INEM FELIPE PEREZ</t>
  </si>
  <si>
    <t>INSTITUCION EDUCATIVA LUIS CARLOS GONZALEZ MEJIA</t>
  </si>
  <si>
    <t>INSTITUCION EDUCATIVA CARLOTA SANCHEZ</t>
  </si>
  <si>
    <t>INSTITUCION EDUCATIVA AQUILINO BEDOYA</t>
  </si>
  <si>
    <t>CIUDAD BOQUIA 2</t>
  </si>
  <si>
    <t>INSTITUCION EDUCATIVA LESTONNAC</t>
  </si>
  <si>
    <t>INSTITUCION EDUCATIVA LA INMACULADA</t>
  </si>
  <si>
    <t>INSTITUCION EDUCATIVA VILLA SANTANA</t>
  </si>
  <si>
    <t>INSTITUCION EDUCATIVA MARIA DOLOROSA - FRANCISCO JAVIER</t>
  </si>
  <si>
    <t>INSTITUCION EDUCATIVA SAN JOAQUIN</t>
  </si>
  <si>
    <t>INST EDUC JOSE ANTONIO GALAN</t>
  </si>
  <si>
    <t>SEDE EL REMANSO</t>
  </si>
  <si>
    <t>ALFREDO GARCIA</t>
  </si>
  <si>
    <t>INSTITUCION EDUCATIVA JESUS MARIA ORMAZA</t>
  </si>
  <si>
    <t>I.E. HUGO ÁNGEL JARAMILLO - SEDE PRINCIPAL</t>
  </si>
  <si>
    <t>INSTITUCION EDUCATIVA AUGUSTO ZULUAGA PATIÑO</t>
  </si>
  <si>
    <t>INSTITUCION EDUCATIVA CENTENARIO</t>
  </si>
  <si>
    <t>CARLOS CASTRO SAAVEDRA</t>
  </si>
  <si>
    <t>INSTITUCION EDUCATIVA SAN VICENTE HOGAR</t>
  </si>
  <si>
    <t>INSTITUCION EDUCATIVA EL DORADO</t>
  </si>
  <si>
    <t>COLEGIO SURORIENTAL DE PEREIRA</t>
  </si>
  <si>
    <t>ESCUELA NORMAL SUPERIOR EL JARDIN - DE RISARALDA</t>
  </si>
  <si>
    <t>INSTITUCION EDUCATIVA DEOGRACIAS CARDONA</t>
  </si>
  <si>
    <t>NUESTRA SEÑORA DE FATIMA</t>
  </si>
  <si>
    <t>INSTITUCION EDUCATIVA SAN NICOLAS INESAN</t>
  </si>
  <si>
    <t>NARANJITO</t>
  </si>
  <si>
    <t>INSTITUCION EDUCATIVA ALFONSO JARAMILLO GUTIERREZ</t>
  </si>
  <si>
    <t>LA VILLA</t>
  </si>
  <si>
    <t>INSTITUCION EDUCATIVA CARLOS EDUARDO VASCO URIBE</t>
  </si>
  <si>
    <t>PROVIDENCIA</t>
  </si>
  <si>
    <t>EL PLACER</t>
  </si>
  <si>
    <t>INSTITUCION EDUCATIVA JUAN XXIII</t>
  </si>
  <si>
    <t>POBLADO</t>
  </si>
  <si>
    <t>INSTITUCION EDUCATIVA COMUNITARIO CERRITOS</t>
  </si>
  <si>
    <t>INSTITUCION EDUCATIVA SALAMANCA</t>
  </si>
  <si>
    <t>INSTITUCION EDUCATIVA JORGE ELIECER GAITAN</t>
  </si>
  <si>
    <t>JESUS DE LA BUENA ESPERANZA</t>
  </si>
  <si>
    <t>SAMARIA</t>
  </si>
  <si>
    <t>INSTITUCION EDUCATIVA RAFAEL URIBE URIBE</t>
  </si>
  <si>
    <t>INSTITUCION EDUCATIVA FRANCISCO DE PAULA SANTANDER</t>
  </si>
  <si>
    <t>INSTITUCION EDUCATIVA SOFIA HERNANDEZ MARIN</t>
  </si>
  <si>
    <t>CENT EDUC FILOBONITO</t>
  </si>
  <si>
    <t>GUAYACANES</t>
  </si>
  <si>
    <t>INSTITUCION EDUCATIVA LENINGRADO</t>
  </si>
  <si>
    <t>ENRIQUE MILLAN RUBIO</t>
  </si>
  <si>
    <t>MARIELA LEMUS GUTIERREZ</t>
  </si>
  <si>
    <t>INSTITUCION EDUCATIVA REMIGIO ANTONIO CAÑARTE</t>
  </si>
  <si>
    <t>LICEO DE LAS AMERICAS</t>
  </si>
  <si>
    <t>ESCUELA DE LA PALABRA</t>
  </si>
  <si>
    <t>TREINTA DE AGOSTO</t>
  </si>
  <si>
    <t>INSTITUCION EDUCATIVA SAN FRANCISCO DE ASIS</t>
  </si>
  <si>
    <t>INSTITUCION EDUCATIVA MATECAÑA</t>
  </si>
  <si>
    <t>ESPERANZA GALICIA</t>
  </si>
  <si>
    <t>I.E. EL RETIRO - SEDE PRINCIPAL</t>
  </si>
  <si>
    <t>SAGRADO CORAZON</t>
  </si>
  <si>
    <t>INSTITUCION EDUCATIVA MANOS UNIDAS</t>
  </si>
  <si>
    <t>GENERAL MOSQUERA</t>
  </si>
  <si>
    <t>ESC RUR MIX PERLA DEL SUR</t>
  </si>
  <si>
    <t>IE EL PITAL</t>
  </si>
  <si>
    <t>INST EDUC MUNDO NUEVO</t>
  </si>
  <si>
    <t>INSTITUCION EDUCATIVA LA CARBONERA</t>
  </si>
  <si>
    <t>INSTITUCION EDUCATIVA HERNANDO VELEZ MARULANDA</t>
  </si>
  <si>
    <t>INSTITUCION EDUCATIVA HECTOR ANGEL ARCILA</t>
  </si>
  <si>
    <t>PRIMERO DE MAYO</t>
  </si>
  <si>
    <t>INSTITUCION EDUCATIVA LA PALMILLA</t>
  </si>
  <si>
    <t>LIBERTAD</t>
  </si>
  <si>
    <t>LA CACHUCHA</t>
  </si>
  <si>
    <t>SAN JUAN</t>
  </si>
  <si>
    <t>CORCEGA</t>
  </si>
  <si>
    <t>AMERICA MIXTA</t>
  </si>
  <si>
    <t>NUCLEO ESCOLAR RURAL ALTAGRACIA</t>
  </si>
  <si>
    <t>CENTRO EDUCATIVO MARIA CRISTINA GOMEZ</t>
  </si>
  <si>
    <t>LAS PALMAS</t>
  </si>
  <si>
    <t>GUSTAVO ARANGO GARRIDO</t>
  </si>
  <si>
    <t>LLANO GRANDE</t>
  </si>
  <si>
    <t>EL AZUFRAL</t>
  </si>
  <si>
    <t>CENTRO EDUCATIVO SAN ANTONIO DE PADUA</t>
  </si>
  <si>
    <t>VILLA ALVAREZ</t>
  </si>
  <si>
    <t>ESCUELA MARCO FIDEL SUAREZ</t>
  </si>
  <si>
    <t>CENTRO EDUCATIVO PUERTO CALDAS</t>
  </si>
  <si>
    <t>LA UNION</t>
  </si>
  <si>
    <t>IE LA BELLA</t>
  </si>
  <si>
    <t>JOSE DOMINGO ESCOBAR</t>
  </si>
  <si>
    <t>ARABIA</t>
  </si>
  <si>
    <t>NUBIOLA ESTRADA DE VINASCO</t>
  </si>
  <si>
    <t>EL GURRIO</t>
  </si>
  <si>
    <t>BETULIA BAJA</t>
  </si>
  <si>
    <t>FRANCISCO MIRANDA</t>
  </si>
  <si>
    <t>LA MERCED</t>
  </si>
  <si>
    <t>CENTRO DE REEDUCACION DE MENORES - CREEME</t>
  </si>
  <si>
    <t>INSTITUCION EDUCATIVA CREC GUILLERMO HOYOS SALAZAR</t>
  </si>
  <si>
    <t>CE HUERTAS</t>
  </si>
  <si>
    <t>LA COLONIA</t>
  </si>
  <si>
    <t>LA DULCERA</t>
  </si>
  <si>
    <t>BUENOS AIRES</t>
  </si>
  <si>
    <t>CENT EDUC LA CONVENCION</t>
  </si>
  <si>
    <t>MANUELITA SAENZ</t>
  </si>
  <si>
    <t>CONSOTA ARRIBA</t>
  </si>
  <si>
    <t>YARUMAL</t>
  </si>
  <si>
    <t>CENT EDUC LA HONDA</t>
  </si>
  <si>
    <t>CE MONTELARGO</t>
  </si>
  <si>
    <t>CE YARUMITO</t>
  </si>
  <si>
    <t>CENT EDUC EL AGRADO</t>
  </si>
  <si>
    <t>CE CONDINA</t>
  </si>
  <si>
    <t>PEREZ</t>
  </si>
  <si>
    <t>CENT EDUC LA AMOLADORA BAJA</t>
  </si>
  <si>
    <t>EL RINCON</t>
  </si>
  <si>
    <t>CENT EDUC EL JAZMIN</t>
  </si>
  <si>
    <t>CENT EDUC CLARETH</t>
  </si>
  <si>
    <t>CENT EDUC LA SELVA</t>
  </si>
  <si>
    <t>CENT EDUC LA SUECIA</t>
  </si>
  <si>
    <t>CE LA BAMBA</t>
  </si>
  <si>
    <t>CENT EDUC SAN VICENTE</t>
  </si>
  <si>
    <t>CE LAGUNETA</t>
  </si>
  <si>
    <t>CE ALTO ALEGRIAS</t>
  </si>
  <si>
    <t>CENT EDUC CAÑAVERAL</t>
  </si>
  <si>
    <t>CENT EDUC LA RENTA</t>
  </si>
  <si>
    <t>CE CANTAMONOS</t>
  </si>
  <si>
    <t>CENT EDUC EL MANZANO</t>
  </si>
  <si>
    <t>CENT EDUC SAN MARINO</t>
  </si>
  <si>
    <t>CENT EDUC EL CHOCHO</t>
  </si>
  <si>
    <t>CE EL CONGOLO</t>
  </si>
  <si>
    <t>CENT EDUC SANTANDER</t>
  </si>
  <si>
    <t>CE LA AMOLADORA ALTA</t>
  </si>
  <si>
    <t>CENT EDUC EL JORDAN</t>
  </si>
  <si>
    <t>CE GUAYABO GUADALAJARA</t>
  </si>
  <si>
    <t>CE MARCO TULIO OSPINA</t>
  </si>
  <si>
    <t>CENT EDUC EL PORVENIR</t>
  </si>
  <si>
    <t>CENT EDUC LA SIRIA</t>
  </si>
  <si>
    <t>CENT EDUC GABRIELA ZULETA ALVAREZ</t>
  </si>
  <si>
    <t>CENT EDUC EL CAUQUILLO</t>
  </si>
  <si>
    <t>CENT EDUC ANA ARANGO DE URIBE</t>
  </si>
  <si>
    <t>CENT EDUC SAN JOSE DE OTUN</t>
  </si>
  <si>
    <t>CENT EDUC PLAN EL MANZANO</t>
  </si>
  <si>
    <t>CENT EDUC LA GRAMINEA</t>
  </si>
  <si>
    <t>CENT EDUC ESPERANZA PLANES</t>
  </si>
  <si>
    <t>CENT EDUC EL POMO</t>
  </si>
  <si>
    <t>CENT EDUC LA ESPERANZA</t>
  </si>
  <si>
    <t>CE GUAYABAL</t>
  </si>
  <si>
    <t>BETULIA ALTA</t>
  </si>
  <si>
    <t>SAN CARLOS</t>
  </si>
  <si>
    <t>MIRALINDO</t>
  </si>
  <si>
    <t>CE ERNESTO GUTIERREZ ARANGO</t>
  </si>
  <si>
    <t>TRES ESQUINA</t>
  </si>
  <si>
    <t>CE CLUB DE LEONES</t>
  </si>
  <si>
    <t>EL TIGRE</t>
  </si>
  <si>
    <t>LAS DELICIAS</t>
  </si>
  <si>
    <t>CENTO EDUC MINA DEL SOCORRO</t>
  </si>
  <si>
    <t>CE EL JORDAN</t>
  </si>
  <si>
    <t>Dosquebradas</t>
  </si>
  <si>
    <t>POPULAR DIOCESANO</t>
  </si>
  <si>
    <t>MEGACOLEGIO BERNARDO LOPEZ PEREZ - SEDE PRINCIPAL</t>
  </si>
  <si>
    <t>FABIO VASQUEZ BOTERO</t>
  </si>
  <si>
    <t>Clasificación</t>
  </si>
  <si>
    <t>Descripción</t>
  </si>
  <si>
    <t xml:space="preserve">Decisión </t>
  </si>
  <si>
    <t>Colapso total</t>
  </si>
  <si>
    <t>La infraestructura, o la mayor parte de ella, sufrió un derrumbe o pérdida total de su capacidad estructural y funcional. La sede no puede continuar prestando el servicio educativo y requiere la adopción inmediata de medidas de contingencia para garantizar la continuidad del servicio y la protección de la comunidad educativa.</t>
  </si>
  <si>
    <t>Si</t>
  </si>
  <si>
    <t>Colapso parcial</t>
  </si>
  <si>
    <t>Se produjo el fallo estructural o derrumbe de una parte de la infraestructura, de uno o varios bloques, aulas o elementos estructurales, mientras otras áreas de la sede permanecen en pie. La prestación del servicio educativo puede verse suspendida total o parcialmente, dependiendo de la magnitud de la afectación.</t>
  </si>
  <si>
    <t>No</t>
  </si>
  <si>
    <t>Riesgo inminente de colapso</t>
  </si>
  <si>
    <t>La infraestructura presenta daños severos que evidencian una alta probabilidad de colapso total o parcial de la edificación o de alguno de sus bloques. La permanencia de personas en el inmueble representa un riesgo para la vida e integridad de la comunidad educativa, por lo que debe suspenderse su uso y gestionarse una evaluación técnica especializada de manera inmediata.</t>
  </si>
  <si>
    <t>Afectación parcial</t>
  </si>
  <si>
    <t>Se identifican daños que afectan parcialmente el funcionamiento de la sede o de algunos ambientes educativos, sin evidenciar riesgo inmediato de colapso. Puede requerir la restricción temporal de ciertos espacios, reparaciones o evaluaciones técnicas complementarias. Incluye, por ejemplo, grietas significativas en muros no estructurales, afectaciones localizadas en cubiertas, baterías sanitarias, cerramientos o redes de servicios.</t>
  </si>
  <si>
    <t>Afectación menor</t>
  </si>
  <si>
    <t>Se presentan daños leves que no comprometen la estabilidad de la edificación ni la continuidad del servicio educativo. Incluye, entre otros, fisuras superficiales en pañetes, desprendimiento de acabados, daños menores en vidrios, cielorrasos o elementos no estructurales.</t>
  </si>
  <si>
    <t>Sin afectación</t>
  </si>
  <si>
    <t>La infraestructura no presenta daños visibles asociados al evento sísmico. Todos los espacios pueden continuar utilizándose normalmente y no se identifican riesgos para la comunidad educativa.</t>
  </si>
  <si>
    <r>
      <t xml:space="preserve">El estado de físico de la infraestructura de la sede escolar  se encuentra:
</t>
    </r>
    <r>
      <rPr>
        <i/>
        <sz val="11"/>
        <color theme="1"/>
        <rFont val="Aptos Narrow"/>
        <family val="2"/>
        <scheme val="minor"/>
      </rPr>
      <t>Seleccione la opción</t>
    </r>
  </si>
  <si>
    <r>
      <t xml:space="preserve">¿La sede está prestando servicio educativo?
</t>
    </r>
    <r>
      <rPr>
        <i/>
        <sz val="11"/>
        <color theme="1"/>
        <rFont val="Aptos Narrow"/>
        <family val="2"/>
        <scheme val="minor"/>
      </rPr>
      <t>Seleccione la opción</t>
    </r>
  </si>
  <si>
    <t>BOSQUES DE LA ACUARELA</t>
  </si>
  <si>
    <t>AGUSTIN NIETO CABALLERO</t>
  </si>
  <si>
    <t>MANUEL ELKIN PATARROYO</t>
  </si>
  <si>
    <t>SANTA SOFIA</t>
  </si>
  <si>
    <t>COMPLEJO EDUCATIVO LA JULITA</t>
  </si>
  <si>
    <t>NARANJAL</t>
  </si>
  <si>
    <t>LAS VIOLETAS</t>
  </si>
  <si>
    <t>TODOS CON TRABAJO DE GUIAS EN CASA</t>
  </si>
  <si>
    <t>solo falta alcantarillado</t>
  </si>
  <si>
    <t>daños menores</t>
  </si>
  <si>
    <t>SEDE PRINCIPAL</t>
  </si>
  <si>
    <t>LOS GUAMOS</t>
  </si>
  <si>
    <t>LUIS CARLOS GALAN</t>
  </si>
  <si>
    <t>RENACIMIENTO</t>
  </si>
  <si>
    <t>ESTACION GUTIERREZ</t>
  </si>
  <si>
    <t>patrimonio cultural</t>
  </si>
  <si>
    <t>fue la primera escuela del municipio</t>
  </si>
  <si>
    <t>FRAILES</t>
  </si>
  <si>
    <t>SANTIAGO LONDOÑO</t>
  </si>
  <si>
    <t>NUEVA REPUBLICA</t>
  </si>
  <si>
    <t>JORGE ELIECER GAITAN</t>
  </si>
  <si>
    <t>GUILLERMO LEON VALENCIA</t>
  </si>
  <si>
    <t>CAMILO TORRES</t>
  </si>
  <si>
    <t>No se tiene reporte</t>
  </si>
  <si>
    <t>LA AURORA</t>
  </si>
  <si>
    <t>VILLA FANNY</t>
  </si>
  <si>
    <t>JORGE ELIECES DE LOS RIOS</t>
  </si>
  <si>
    <t>TODOS CON MODALIDAD HIBRIDA</t>
  </si>
  <si>
    <t>Modalidad del retorno</t>
  </si>
  <si>
    <t>Observación</t>
  </si>
  <si>
    <t>el lote es de la junta de acción comunal</t>
  </si>
  <si>
    <t>daños en el segundo piso en la totalidad de las aulas y el laboratorio de química</t>
  </si>
  <si>
    <t>Daños severos en un bloque</t>
  </si>
  <si>
    <t>Afectación menor en muro y reconstruir el cerramiento</t>
  </si>
  <si>
    <t>Afectación parcial escalera y demolición muro</t>
  </si>
  <si>
    <t>Riesgo inminente en toda la mampostería</t>
  </si>
  <si>
    <t>Institución Educativa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</si>
</sst>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i/>
      <sz val="11"/>
      <color theme="1"/>
      <name val="Aptos Narrow"/>
      <family val="2"/>
      <scheme val="minor"/>
    </font>
    <font>
      <b/>
      <sz val="12"/>
      <color theme="1"/>
      <name val="Verdana"/>
      <family val="2"/>
    </font>
    <font>
      <b/>
      <sz val="12"/>
      <color rgb="FF000000"/>
      <name val="Verdana"/>
      <family val="2"/>
    </font>
    <font>
      <sz val="12"/>
      <color theme="1"/>
      <name val="Verdana"/>
      <family val="2"/>
    </font>
    <font>
      <sz val="11"/>
      <color rgb="FF000000"/>
      <name val="Aptos Narrow"/>
      <family val="2"/>
      <scheme val="minor"/>
    </font>
    <font>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9CCFF"/>
        <bgColor indexed="64"/>
      </patternFill>
    </fill>
    <fill>
      <patternFill patternType="solid">
        <fgColor rgb="FFF5F5F5"/>
        <bgColor indexed="64"/>
      </patternFill>
    </fill>
    <fill>
      <patternFill patternType="solid">
        <fgColor theme="0" tint="-0.149998474074526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20" fillId="34" borderId="10" xfId="0" applyFont="1" applyFill="1" applyBorder="1" applyAlignment="1">
      <alignment horizontal="center" vertical="center" wrapText="1"/>
    </xf>
    <xf numFmtId="0" fontId="21" fillId="34" borderId="10" xfId="0" applyFont="1" applyFill="1" applyBorder="1" applyAlignment="1">
      <alignment horizontal="center" vertical="center" wrapText="1"/>
    </xf>
    <xf numFmtId="0" fontId="0" fillId="0" borderId="0" xfId="0" applyAlignment="1">
      <alignment vertical="center"/>
    </xf>
    <xf numFmtId="0" fontId="21" fillId="34" borderId="10" xfId="0" applyFont="1" applyFill="1" applyBorder="1" applyAlignment="1">
      <alignment horizontal="left" vertical="center" wrapText="1"/>
    </xf>
    <xf numFmtId="0" fontId="22" fillId="0" borderId="10" xfId="0" applyFont="1" applyBorder="1" applyAlignment="1">
      <alignment vertical="center" wrapText="1"/>
    </xf>
    <xf numFmtId="0" fontId="16" fillId="33" borderId="10" xfId="0" applyFont="1" applyFill="1" applyBorder="1" applyAlignment="1">
      <alignment horizontal="center" vertical="center" wrapText="1"/>
    </xf>
    <xf numFmtId="0" fontId="0" fillId="0" borderId="10" xfId="0" applyBorder="1" applyAlignment="1">
      <alignment vertical="center"/>
    </xf>
    <xf numFmtId="0" fontId="23" fillId="0" borderId="10" xfId="0" applyFont="1" applyBorder="1"/>
    <xf numFmtId="1" fontId="0" fillId="0" borderId="10" xfId="0" applyNumberFormat="1" applyBorder="1" applyAlignment="1">
      <alignment vertical="center"/>
    </xf>
    <xf numFmtId="0" fontId="0" fillId="0" borderId="10" xfId="0" applyBorder="1"/>
    <xf numFmtId="0" fontId="16" fillId="35" borderId="10" xfId="0" applyFont="1" applyFill="1" applyBorder="1" applyAlignment="1">
      <alignment vertical="center"/>
    </xf>
    <xf numFmtId="1" fontId="24" fillId="0" borderId="10" xfId="0" applyNumberFormat="1" applyFont="1" applyBorder="1" applyAlignment="1">
      <alignment vertical="center"/>
    </xf>
    <xf numFmtId="0" fontId="0" fillId="0" borderId="10" xfId="0" applyBorder="1" applyAlignment="1">
      <alignment vertical="center" wrapText="1"/>
    </xf>
    <xf numFmtId="0" fontId="0" fillId="0" borderId="10" xfId="0" applyBorder="1" applyAlignment="1">
      <alignment horizontal="left" vertical="center" wrapText="1"/>
    </xf>
    <xf numFmtId="0" fontId="0" fillId="0" borderId="11" xfId="0" applyBorder="1" applyAlignment="1">
      <alignment horizontal="right" vertical="center"/>
    </xf>
    <xf numFmtId="0" fontId="0" fillId="0" borderId="12" xfId="0" applyBorder="1" applyAlignment="1">
      <alignment horizontal="right" vertical="center"/>
    </xf>
    <xf numFmtId="0" fontId="0" fillId="0" borderId="13" xfId="0" applyBorder="1" applyAlignment="1">
      <alignment horizontal="right" vertical="center"/>
    </xf>
    <xf numFmtId="0" fontId="23" fillId="0" borderId="11" xfId="0" applyFont="1" applyBorder="1" applyAlignment="1">
      <alignment horizontal="right" vertical="center"/>
    </xf>
    <xf numFmtId="0" fontId="23" fillId="0" borderId="12" xfId="0" applyFont="1" applyBorder="1" applyAlignment="1">
      <alignment horizontal="right" vertical="center"/>
    </xf>
    <xf numFmtId="0" fontId="23" fillId="0" borderId="13" xfId="0" applyFont="1" applyBorder="1" applyAlignment="1">
      <alignment horizontal="right"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rgb="FFFFC000"/>
        </patternFill>
      </fill>
    </dxf>
    <dxf>
      <fill>
        <patternFill>
          <bgColor rgb="FFFFFF99"/>
        </patternFill>
      </fill>
    </dxf>
    <dxf>
      <fill>
        <patternFill>
          <bgColor theme="6" tint="0.39994506668294322"/>
        </patternFill>
      </fill>
    </dxf>
    <dxf>
      <fill>
        <patternFill>
          <bgColor rgb="FFFFC000"/>
        </patternFill>
      </fill>
    </dxf>
    <dxf>
      <fill>
        <patternFill>
          <bgColor rgb="FFFFFF99"/>
        </patternFill>
      </fill>
    </dxf>
    <dxf>
      <fill>
        <patternFill>
          <bgColor theme="6"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22AA-34DD-4B36-B004-F206603A0708}">
  <dimension ref="A1:U36"/>
  <sheetViews>
    <sheetView tabSelected="1" zoomScaleNormal="100" workbookViewId="0"/>
  </sheetViews>
  <sheetFormatPr defaultColWidth="11.43359375" defaultRowHeight="15" x14ac:dyDescent="0.2"/>
  <cols>
    <col min="1" max="1" width="15.19921875" style="3" bestFit="1" customWidth="1"/>
    <col min="2" max="3" width="12.64453125" style="3" bestFit="1" customWidth="1"/>
    <col min="4" max="4" width="13.046875" style="3" bestFit="1" customWidth="1"/>
    <col min="5" max="5" width="54.078125" style="3" bestFit="1" customWidth="1"/>
    <col min="6" max="6" width="54.078125" style="3" customWidth="1"/>
    <col min="7" max="7" width="8.47265625" style="3" customWidth="1"/>
    <col min="8" max="8" width="7.93359375" style="3" customWidth="1"/>
    <col min="9" max="9" width="15.33203125" style="3" customWidth="1"/>
    <col min="10" max="10" width="16.41015625" style="3" customWidth="1"/>
    <col min="11" max="12" width="10.0859375" style="3" customWidth="1"/>
    <col min="13" max="13" width="8.0703125" style="3" customWidth="1"/>
    <col min="14" max="14" width="9.14453125" style="3" customWidth="1"/>
    <col min="15" max="15" width="10.76171875" style="3" customWidth="1"/>
    <col min="16" max="16" width="19.1015625" style="3" customWidth="1"/>
    <col min="17" max="17" width="21.1171875" style="3" bestFit="1" customWidth="1"/>
    <col min="18" max="18" width="32.28515625" style="3" bestFit="1" customWidth="1"/>
    <col min="19" max="19" width="42.375" style="3" customWidth="1"/>
    <col min="20" max="20" width="23.13671875" style="3" customWidth="1"/>
    <col min="21" max="21" width="16.54296875" style="3" customWidth="1"/>
    <col min="22" max="16384" width="11.43359375" style="3"/>
  </cols>
  <sheetData>
    <row r="1" spans="1:21" ht="44.25" x14ac:dyDescent="0.2">
      <c r="A1" s="11" t="s">
        <v>15</v>
      </c>
      <c r="B1" s="11" t="s">
        <v>11</v>
      </c>
      <c r="C1" s="11" t="s">
        <v>14</v>
      </c>
      <c r="D1" s="11" t="s">
        <v>0</v>
      </c>
      <c r="E1" s="11" t="s">
        <v>243</v>
      </c>
      <c r="F1" s="11" t="s">
        <v>1</v>
      </c>
      <c r="G1" s="11" t="s">
        <v>4</v>
      </c>
      <c r="H1" s="11" t="s">
        <v>5</v>
      </c>
      <c r="I1" s="11" t="s">
        <v>3</v>
      </c>
      <c r="J1" s="11" t="s">
        <v>6</v>
      </c>
      <c r="K1" s="11" t="s">
        <v>7</v>
      </c>
      <c r="L1" s="11" t="s">
        <v>8</v>
      </c>
      <c r="M1" s="11" t="s">
        <v>9</v>
      </c>
      <c r="N1" s="11" t="s">
        <v>10</v>
      </c>
      <c r="O1" s="11" t="s">
        <v>12</v>
      </c>
      <c r="P1" s="11" t="s">
        <v>13</v>
      </c>
      <c r="Q1" s="11" t="s">
        <v>2</v>
      </c>
      <c r="R1" s="11" t="s">
        <v>236</v>
      </c>
      <c r="S1" s="6" t="s">
        <v>205</v>
      </c>
      <c r="T1" s="6" t="s">
        <v>206</v>
      </c>
      <c r="U1" s="6" t="s">
        <v>235</v>
      </c>
    </row>
    <row r="2" spans="1:21" x14ac:dyDescent="0.2">
      <c r="A2" s="7" t="s">
        <v>21</v>
      </c>
      <c r="B2" s="7" t="s">
        <v>20</v>
      </c>
      <c r="C2" s="7" t="s">
        <v>20</v>
      </c>
      <c r="D2" s="9">
        <v>166001002061</v>
      </c>
      <c r="E2" s="7" t="s">
        <v>22</v>
      </c>
      <c r="F2" s="7"/>
      <c r="G2" s="7" t="s">
        <v>18</v>
      </c>
      <c r="H2" s="7" t="s">
        <v>19</v>
      </c>
      <c r="I2" s="7">
        <v>2229</v>
      </c>
      <c r="J2" s="7">
        <v>0</v>
      </c>
      <c r="K2" s="7">
        <v>483</v>
      </c>
      <c r="L2" s="7">
        <v>1131</v>
      </c>
      <c r="M2" s="7">
        <v>615</v>
      </c>
      <c r="N2" s="7">
        <v>0</v>
      </c>
      <c r="O2" s="7">
        <v>108</v>
      </c>
      <c r="P2" s="7">
        <v>6</v>
      </c>
      <c r="Q2" s="7" t="s">
        <v>216</v>
      </c>
      <c r="R2" s="7"/>
      <c r="S2" s="7" t="s">
        <v>201</v>
      </c>
      <c r="T2" s="7" t="s">
        <v>193</v>
      </c>
      <c r="U2" s="21" t="s">
        <v>234</v>
      </c>
    </row>
    <row r="3" spans="1:21" x14ac:dyDescent="0.2">
      <c r="A3" s="7" t="s">
        <v>21</v>
      </c>
      <c r="B3" s="7" t="s">
        <v>20</v>
      </c>
      <c r="C3" s="7" t="s">
        <v>20</v>
      </c>
      <c r="D3" s="9">
        <v>166001007314</v>
      </c>
      <c r="E3" s="7" t="s">
        <v>23</v>
      </c>
      <c r="F3" s="7"/>
      <c r="G3" s="7" t="s">
        <v>18</v>
      </c>
      <c r="H3" s="7" t="s">
        <v>19</v>
      </c>
      <c r="I3" s="7">
        <v>1406</v>
      </c>
      <c r="J3" s="7">
        <v>71</v>
      </c>
      <c r="K3" s="7">
        <v>578</v>
      </c>
      <c r="L3" s="7">
        <v>530</v>
      </c>
      <c r="M3" s="7">
        <v>227</v>
      </c>
      <c r="N3" s="7">
        <v>0</v>
      </c>
      <c r="O3" s="7">
        <v>0</v>
      </c>
      <c r="P3" s="7">
        <v>0</v>
      </c>
      <c r="Q3" s="7" t="s">
        <v>17</v>
      </c>
      <c r="R3" s="7"/>
      <c r="S3" s="7" t="s">
        <v>194</v>
      </c>
      <c r="T3" s="7" t="s">
        <v>193</v>
      </c>
      <c r="U3" s="22"/>
    </row>
    <row r="4" spans="1:21" x14ac:dyDescent="0.2">
      <c r="A4" s="7" t="s">
        <v>21</v>
      </c>
      <c r="B4" s="7" t="s">
        <v>20</v>
      </c>
      <c r="C4" s="7" t="s">
        <v>20</v>
      </c>
      <c r="D4" s="9">
        <v>166001007128</v>
      </c>
      <c r="E4" s="7" t="s">
        <v>24</v>
      </c>
      <c r="F4" s="7"/>
      <c r="G4" s="7" t="s">
        <v>18</v>
      </c>
      <c r="H4" s="7" t="s">
        <v>19</v>
      </c>
      <c r="I4" s="7">
        <v>1396</v>
      </c>
      <c r="J4" s="7">
        <v>119</v>
      </c>
      <c r="K4" s="7">
        <v>612</v>
      </c>
      <c r="L4" s="7">
        <v>477</v>
      </c>
      <c r="M4" s="7">
        <v>188</v>
      </c>
      <c r="N4" s="7">
        <v>0</v>
      </c>
      <c r="O4" s="7">
        <v>0</v>
      </c>
      <c r="P4" s="7">
        <v>0</v>
      </c>
      <c r="Q4" s="7" t="s">
        <v>17</v>
      </c>
      <c r="R4" s="7"/>
      <c r="S4" s="7" t="s">
        <v>194</v>
      </c>
      <c r="T4" s="7" t="s">
        <v>193</v>
      </c>
      <c r="U4" s="22"/>
    </row>
    <row r="5" spans="1:21" ht="27.75" x14ac:dyDescent="0.2">
      <c r="A5" s="7" t="s">
        <v>21</v>
      </c>
      <c r="B5" s="7" t="s">
        <v>20</v>
      </c>
      <c r="C5" s="7" t="s">
        <v>20</v>
      </c>
      <c r="D5" s="9">
        <v>166001000093</v>
      </c>
      <c r="E5" s="7" t="s">
        <v>25</v>
      </c>
      <c r="F5" s="7"/>
      <c r="G5" s="7" t="s">
        <v>18</v>
      </c>
      <c r="H5" s="7" t="s">
        <v>19</v>
      </c>
      <c r="I5" s="7">
        <v>1393</v>
      </c>
      <c r="J5" s="7">
        <v>98</v>
      </c>
      <c r="K5" s="7">
        <v>668</v>
      </c>
      <c r="L5" s="7">
        <v>452</v>
      </c>
      <c r="M5" s="7">
        <v>175</v>
      </c>
      <c r="N5" s="7">
        <v>0</v>
      </c>
      <c r="O5" s="7">
        <v>56</v>
      </c>
      <c r="P5" s="7">
        <v>4</v>
      </c>
      <c r="Q5" s="7" t="s">
        <v>17</v>
      </c>
      <c r="R5" s="13" t="s">
        <v>238</v>
      </c>
      <c r="S5" s="7" t="s">
        <v>194</v>
      </c>
      <c r="T5" s="7" t="s">
        <v>193</v>
      </c>
      <c r="U5" s="22"/>
    </row>
    <row r="6" spans="1:21" x14ac:dyDescent="0.2">
      <c r="A6" s="7" t="s">
        <v>21</v>
      </c>
      <c r="B6" s="7" t="s">
        <v>20</v>
      </c>
      <c r="C6" s="7" t="s">
        <v>20</v>
      </c>
      <c r="D6" s="9">
        <v>166001000344</v>
      </c>
      <c r="E6" s="7" t="s">
        <v>27</v>
      </c>
      <c r="F6" s="7"/>
      <c r="G6" s="7" t="s">
        <v>18</v>
      </c>
      <c r="H6" s="7" t="s">
        <v>19</v>
      </c>
      <c r="I6" s="7">
        <v>1326</v>
      </c>
      <c r="J6" s="7">
        <v>108</v>
      </c>
      <c r="K6" s="7">
        <v>334</v>
      </c>
      <c r="L6" s="7">
        <v>417</v>
      </c>
      <c r="M6" s="7">
        <v>160</v>
      </c>
      <c r="N6" s="7">
        <v>307</v>
      </c>
      <c r="O6" s="7">
        <v>41</v>
      </c>
      <c r="P6" s="7">
        <v>3</v>
      </c>
      <c r="Q6" s="7" t="s">
        <v>17</v>
      </c>
      <c r="R6" s="7"/>
      <c r="S6" s="7" t="s">
        <v>194</v>
      </c>
      <c r="T6" s="7" t="s">
        <v>193</v>
      </c>
      <c r="U6" s="22"/>
    </row>
    <row r="7" spans="1:21" x14ac:dyDescent="0.2">
      <c r="A7" s="7" t="s">
        <v>21</v>
      </c>
      <c r="B7" s="7" t="s">
        <v>20</v>
      </c>
      <c r="C7" s="7" t="s">
        <v>20</v>
      </c>
      <c r="D7" s="9">
        <v>166001006480</v>
      </c>
      <c r="E7" s="7" t="s">
        <v>29</v>
      </c>
      <c r="F7" s="7"/>
      <c r="G7" s="7" t="s">
        <v>18</v>
      </c>
      <c r="H7" s="7" t="s">
        <v>19</v>
      </c>
      <c r="I7" s="7">
        <v>1238</v>
      </c>
      <c r="J7" s="7">
        <v>99</v>
      </c>
      <c r="K7" s="7">
        <v>563</v>
      </c>
      <c r="L7" s="7">
        <v>437</v>
      </c>
      <c r="M7" s="7">
        <v>139</v>
      </c>
      <c r="N7" s="7">
        <v>0</v>
      </c>
      <c r="O7" s="7">
        <v>52</v>
      </c>
      <c r="P7" s="7">
        <v>4</v>
      </c>
      <c r="Q7" s="7" t="s">
        <v>17</v>
      </c>
      <c r="R7" s="7"/>
      <c r="S7" s="7" t="s">
        <v>194</v>
      </c>
      <c r="T7" s="7" t="s">
        <v>193</v>
      </c>
      <c r="U7" s="22"/>
    </row>
    <row r="8" spans="1:21" x14ac:dyDescent="0.2">
      <c r="A8" s="7" t="s">
        <v>21</v>
      </c>
      <c r="B8" s="7" t="s">
        <v>20</v>
      </c>
      <c r="C8" s="7" t="s">
        <v>20</v>
      </c>
      <c r="D8" s="9">
        <v>166001000794</v>
      </c>
      <c r="E8" s="7" t="s">
        <v>53</v>
      </c>
      <c r="F8" s="7"/>
      <c r="G8" s="7" t="s">
        <v>18</v>
      </c>
      <c r="H8" s="7" t="s">
        <v>19</v>
      </c>
      <c r="I8" s="7">
        <v>687</v>
      </c>
      <c r="J8" s="7">
        <v>48</v>
      </c>
      <c r="K8" s="7">
        <v>281</v>
      </c>
      <c r="L8" s="7">
        <v>254</v>
      </c>
      <c r="M8" s="7">
        <v>104</v>
      </c>
      <c r="N8" s="7">
        <v>0</v>
      </c>
      <c r="O8" s="7">
        <v>31</v>
      </c>
      <c r="P8" s="7">
        <v>2</v>
      </c>
      <c r="Q8" s="7" t="s">
        <v>17</v>
      </c>
      <c r="R8" s="7" t="s">
        <v>239</v>
      </c>
      <c r="S8" s="7" t="s">
        <v>194</v>
      </c>
      <c r="T8" s="7" t="s">
        <v>193</v>
      </c>
      <c r="U8" s="22"/>
    </row>
    <row r="9" spans="1:21" x14ac:dyDescent="0.2">
      <c r="A9" s="7" t="s">
        <v>21</v>
      </c>
      <c r="B9" s="7" t="s">
        <v>20</v>
      </c>
      <c r="C9" s="7" t="s">
        <v>20</v>
      </c>
      <c r="D9" s="9">
        <v>166001006091</v>
      </c>
      <c r="E9" s="7" t="s">
        <v>55</v>
      </c>
      <c r="F9" s="7"/>
      <c r="G9" s="7" t="s">
        <v>18</v>
      </c>
      <c r="H9" s="7" t="s">
        <v>19</v>
      </c>
      <c r="I9" s="7">
        <v>646</v>
      </c>
      <c r="J9" s="7">
        <v>53</v>
      </c>
      <c r="K9" s="7">
        <v>142</v>
      </c>
      <c r="L9" s="7">
        <v>297</v>
      </c>
      <c r="M9" s="7">
        <v>141</v>
      </c>
      <c r="N9" s="7">
        <v>13</v>
      </c>
      <c r="O9" s="7">
        <v>42</v>
      </c>
      <c r="P9" s="7">
        <v>3</v>
      </c>
      <c r="Q9" s="7" t="s">
        <v>17</v>
      </c>
      <c r="R9" s="7"/>
      <c r="S9" s="7" t="s">
        <v>194</v>
      </c>
      <c r="T9" s="7" t="s">
        <v>193</v>
      </c>
      <c r="U9" s="22"/>
    </row>
    <row r="10" spans="1:21" ht="27.75" x14ac:dyDescent="0.2">
      <c r="A10" s="7" t="s">
        <v>21</v>
      </c>
      <c r="B10" s="7" t="s">
        <v>20</v>
      </c>
      <c r="C10" s="7" t="s">
        <v>20</v>
      </c>
      <c r="D10" s="12">
        <v>166001000654</v>
      </c>
      <c r="E10" s="10" t="s">
        <v>211</v>
      </c>
      <c r="F10" s="10"/>
      <c r="G10" s="7" t="s">
        <v>18</v>
      </c>
      <c r="H10" s="7" t="s">
        <v>19</v>
      </c>
      <c r="I10" s="7">
        <v>531</v>
      </c>
      <c r="J10" s="7">
        <v>11</v>
      </c>
      <c r="K10" s="7">
        <v>77</v>
      </c>
      <c r="L10" s="7">
        <v>263</v>
      </c>
      <c r="M10" s="7">
        <v>79</v>
      </c>
      <c r="N10" s="7">
        <v>101</v>
      </c>
      <c r="O10" s="7">
        <v>53</v>
      </c>
      <c r="P10" s="7">
        <v>3</v>
      </c>
      <c r="Q10" s="7" t="s">
        <v>216</v>
      </c>
      <c r="R10" s="14" t="s">
        <v>240</v>
      </c>
      <c r="S10" s="7" t="s">
        <v>201</v>
      </c>
      <c r="T10" s="7" t="s">
        <v>193</v>
      </c>
      <c r="U10" s="22"/>
    </row>
    <row r="11" spans="1:21" ht="27.75" x14ac:dyDescent="0.2">
      <c r="A11" s="7" t="s">
        <v>21</v>
      </c>
      <c r="B11" s="7" t="s">
        <v>20</v>
      </c>
      <c r="C11" s="7" t="s">
        <v>20</v>
      </c>
      <c r="D11" s="9">
        <v>166001000301</v>
      </c>
      <c r="E11" s="7" t="s">
        <v>66</v>
      </c>
      <c r="F11" s="7"/>
      <c r="G11" s="7" t="s">
        <v>18</v>
      </c>
      <c r="H11" s="7" t="s">
        <v>19</v>
      </c>
      <c r="I11" s="7">
        <v>527</v>
      </c>
      <c r="J11" s="7">
        <v>18</v>
      </c>
      <c r="K11" s="7">
        <v>161</v>
      </c>
      <c r="L11" s="7">
        <v>255</v>
      </c>
      <c r="M11" s="7">
        <v>70</v>
      </c>
      <c r="N11" s="7">
        <v>23</v>
      </c>
      <c r="O11" s="7">
        <v>27</v>
      </c>
      <c r="P11" s="7">
        <v>2</v>
      </c>
      <c r="Q11" s="7" t="s">
        <v>216</v>
      </c>
      <c r="R11" s="13" t="s">
        <v>241</v>
      </c>
      <c r="S11" s="7" t="s">
        <v>199</v>
      </c>
      <c r="T11" s="7" t="s">
        <v>193</v>
      </c>
      <c r="U11" s="22"/>
    </row>
    <row r="12" spans="1:21" x14ac:dyDescent="0.2">
      <c r="A12" s="7" t="s">
        <v>21</v>
      </c>
      <c r="B12" s="7" t="s">
        <v>20</v>
      </c>
      <c r="C12" s="7" t="s">
        <v>20</v>
      </c>
      <c r="D12" s="9">
        <v>166001000786</v>
      </c>
      <c r="E12" s="7" t="s">
        <v>81</v>
      </c>
      <c r="F12" s="7"/>
      <c r="G12" s="7" t="s">
        <v>18</v>
      </c>
      <c r="H12" s="7" t="s">
        <v>19</v>
      </c>
      <c r="I12" s="7">
        <v>330</v>
      </c>
      <c r="J12" s="7">
        <v>38</v>
      </c>
      <c r="K12" s="7">
        <v>125</v>
      </c>
      <c r="L12" s="7">
        <v>59</v>
      </c>
      <c r="M12" s="7">
        <v>108</v>
      </c>
      <c r="N12" s="7">
        <v>0</v>
      </c>
      <c r="O12" s="7">
        <v>54</v>
      </c>
      <c r="P12" s="7">
        <v>3</v>
      </c>
      <c r="Q12" s="7" t="s">
        <v>203</v>
      </c>
      <c r="R12" s="7"/>
      <c r="S12" s="7" t="s">
        <v>203</v>
      </c>
      <c r="T12" s="7" t="s">
        <v>193</v>
      </c>
      <c r="U12" s="22"/>
    </row>
    <row r="13" spans="1:21" ht="27.75" x14ac:dyDescent="0.2">
      <c r="A13" s="7" t="s">
        <v>21</v>
      </c>
      <c r="B13" s="7" t="s">
        <v>20</v>
      </c>
      <c r="C13" s="7" t="s">
        <v>20</v>
      </c>
      <c r="D13" s="9">
        <v>166001006458</v>
      </c>
      <c r="E13" s="7" t="s">
        <v>83</v>
      </c>
      <c r="F13" s="7"/>
      <c r="G13" s="7" t="s">
        <v>18</v>
      </c>
      <c r="H13" s="7" t="s">
        <v>19</v>
      </c>
      <c r="I13" s="7">
        <v>307</v>
      </c>
      <c r="J13" s="7">
        <v>0</v>
      </c>
      <c r="K13" s="7">
        <v>69</v>
      </c>
      <c r="L13" s="7">
        <v>158</v>
      </c>
      <c r="M13" s="7">
        <v>80</v>
      </c>
      <c r="N13" s="7">
        <v>0</v>
      </c>
      <c r="O13" s="7">
        <v>30</v>
      </c>
      <c r="P13" s="7">
        <v>1</v>
      </c>
      <c r="Q13" s="7" t="s">
        <v>17</v>
      </c>
      <c r="R13" s="13" t="s">
        <v>242</v>
      </c>
      <c r="S13" s="7" t="s">
        <v>194</v>
      </c>
      <c r="T13" s="7" t="s">
        <v>193</v>
      </c>
      <c r="U13" s="22"/>
    </row>
    <row r="14" spans="1:21" x14ac:dyDescent="0.2">
      <c r="A14" s="7" t="s">
        <v>21</v>
      </c>
      <c r="B14" s="7" t="s">
        <v>20</v>
      </c>
      <c r="C14" s="7" t="s">
        <v>20</v>
      </c>
      <c r="D14" s="9">
        <v>166001004641</v>
      </c>
      <c r="E14" s="7" t="s">
        <v>90</v>
      </c>
      <c r="F14" s="7"/>
      <c r="G14" s="7" t="s">
        <v>18</v>
      </c>
      <c r="H14" s="7" t="s">
        <v>19</v>
      </c>
      <c r="I14" s="7">
        <v>246</v>
      </c>
      <c r="J14" s="7">
        <v>20</v>
      </c>
      <c r="K14" s="7">
        <v>112</v>
      </c>
      <c r="L14" s="7">
        <v>73</v>
      </c>
      <c r="M14" s="7">
        <v>0</v>
      </c>
      <c r="N14" s="7">
        <v>41</v>
      </c>
      <c r="O14" s="7">
        <v>52</v>
      </c>
      <c r="P14" s="7">
        <v>2</v>
      </c>
      <c r="Q14" s="7" t="s">
        <v>17</v>
      </c>
      <c r="R14" s="7"/>
      <c r="S14" s="7" t="s">
        <v>194</v>
      </c>
      <c r="T14" s="7" t="s">
        <v>193</v>
      </c>
      <c r="U14" s="23"/>
    </row>
    <row r="15" spans="1:21" ht="14.45" customHeight="1" x14ac:dyDescent="0.2">
      <c r="A15" s="7" t="s">
        <v>21</v>
      </c>
      <c r="B15" s="7" t="s">
        <v>184</v>
      </c>
      <c r="C15" s="7" t="s">
        <v>184</v>
      </c>
      <c r="D15" s="9">
        <v>166170001023</v>
      </c>
      <c r="E15" s="7" t="s">
        <v>187</v>
      </c>
      <c r="F15" s="7" t="s">
        <v>217</v>
      </c>
      <c r="G15" s="7" t="s">
        <v>18</v>
      </c>
      <c r="H15" s="7" t="s">
        <v>19</v>
      </c>
      <c r="I15" s="15">
        <f>SUM(J15:N15)</f>
        <v>981</v>
      </c>
      <c r="J15" s="15">
        <v>53</v>
      </c>
      <c r="K15" s="15">
        <v>401</v>
      </c>
      <c r="L15" s="15">
        <v>383</v>
      </c>
      <c r="M15" s="15">
        <v>144</v>
      </c>
      <c r="N15" s="15">
        <v>0</v>
      </c>
      <c r="O15" s="18">
        <v>47</v>
      </c>
      <c r="P15" s="18">
        <v>3</v>
      </c>
      <c r="Q15" s="7" t="s">
        <v>17</v>
      </c>
      <c r="R15" s="7"/>
      <c r="S15" s="7" t="s">
        <v>191</v>
      </c>
      <c r="T15" s="7" t="s">
        <v>193</v>
      </c>
      <c r="U15" s="21" t="s">
        <v>214</v>
      </c>
    </row>
    <row r="16" spans="1:21" x14ac:dyDescent="0.2">
      <c r="A16" s="7" t="s">
        <v>21</v>
      </c>
      <c r="B16" s="7" t="s">
        <v>184</v>
      </c>
      <c r="C16" s="7" t="s">
        <v>184</v>
      </c>
      <c r="D16" s="9">
        <v>166170001023</v>
      </c>
      <c r="E16" s="7" t="s">
        <v>187</v>
      </c>
      <c r="F16" s="7" t="s">
        <v>212</v>
      </c>
      <c r="G16" s="7" t="s">
        <v>18</v>
      </c>
      <c r="H16" s="7" t="s">
        <v>19</v>
      </c>
      <c r="I16" s="16"/>
      <c r="J16" s="16"/>
      <c r="K16" s="16"/>
      <c r="L16" s="16"/>
      <c r="M16" s="16"/>
      <c r="N16" s="16"/>
      <c r="O16" s="19"/>
      <c r="P16" s="19"/>
      <c r="Q16" s="7" t="s">
        <v>216</v>
      </c>
      <c r="R16" s="7" t="s">
        <v>215</v>
      </c>
      <c r="S16" s="7"/>
      <c r="T16" s="7" t="s">
        <v>193</v>
      </c>
      <c r="U16" s="22"/>
    </row>
    <row r="17" spans="1:21" x14ac:dyDescent="0.2">
      <c r="A17" s="7" t="s">
        <v>21</v>
      </c>
      <c r="B17" s="7" t="s">
        <v>184</v>
      </c>
      <c r="C17" s="7" t="s">
        <v>184</v>
      </c>
      <c r="D17" s="9">
        <v>166170001023</v>
      </c>
      <c r="E17" s="7" t="s">
        <v>187</v>
      </c>
      <c r="F17" s="7" t="s">
        <v>213</v>
      </c>
      <c r="G17" s="7" t="s">
        <v>18</v>
      </c>
      <c r="H17" s="7" t="s">
        <v>19</v>
      </c>
      <c r="I17" s="17"/>
      <c r="J17" s="17"/>
      <c r="K17" s="17"/>
      <c r="L17" s="17"/>
      <c r="M17" s="17"/>
      <c r="N17" s="17"/>
      <c r="O17" s="20"/>
      <c r="P17" s="20"/>
      <c r="Q17" s="7" t="s">
        <v>216</v>
      </c>
      <c r="R17" s="7"/>
      <c r="S17" s="7"/>
      <c r="T17" s="7" t="s">
        <v>193</v>
      </c>
      <c r="U17" s="22"/>
    </row>
    <row r="18" spans="1:21" x14ac:dyDescent="0.2">
      <c r="A18" s="7" t="s">
        <v>21</v>
      </c>
      <c r="B18" s="7" t="s">
        <v>184</v>
      </c>
      <c r="C18" s="7" t="s">
        <v>184</v>
      </c>
      <c r="D18" s="9">
        <v>166170000256</v>
      </c>
      <c r="E18" s="7" t="s">
        <v>185</v>
      </c>
      <c r="F18" s="7" t="s">
        <v>217</v>
      </c>
      <c r="G18" s="7" t="s">
        <v>18</v>
      </c>
      <c r="H18" s="7" t="s">
        <v>19</v>
      </c>
      <c r="I18" s="15">
        <f t="shared" ref="I18:I33" si="0">SUM(J18:N18)</f>
        <v>1317</v>
      </c>
      <c r="J18" s="15">
        <v>95</v>
      </c>
      <c r="K18" s="15">
        <v>593</v>
      </c>
      <c r="L18" s="15">
        <v>463</v>
      </c>
      <c r="M18" s="15">
        <v>166</v>
      </c>
      <c r="N18" s="15">
        <v>0</v>
      </c>
      <c r="O18" s="18">
        <v>55</v>
      </c>
      <c r="P18" s="18">
        <v>3</v>
      </c>
      <c r="Q18" s="7" t="s">
        <v>17</v>
      </c>
      <c r="R18" s="7"/>
      <c r="S18" s="7" t="s">
        <v>197</v>
      </c>
      <c r="T18" s="7" t="s">
        <v>193</v>
      </c>
      <c r="U18" s="22"/>
    </row>
    <row r="19" spans="1:21" x14ac:dyDescent="0.2">
      <c r="A19" s="7" t="s">
        <v>21</v>
      </c>
      <c r="B19" s="7" t="s">
        <v>184</v>
      </c>
      <c r="C19" s="7" t="s">
        <v>184</v>
      </c>
      <c r="D19" s="9">
        <v>166170000256</v>
      </c>
      <c r="E19" s="7" t="s">
        <v>185</v>
      </c>
      <c r="F19" s="7" t="s">
        <v>219</v>
      </c>
      <c r="G19" s="7" t="s">
        <v>18</v>
      </c>
      <c r="H19" s="7" t="s">
        <v>19</v>
      </c>
      <c r="I19" s="17"/>
      <c r="J19" s="17"/>
      <c r="K19" s="17"/>
      <c r="L19" s="17"/>
      <c r="M19" s="17"/>
      <c r="N19" s="17"/>
      <c r="O19" s="20"/>
      <c r="P19" s="20"/>
      <c r="Q19" s="7" t="s">
        <v>230</v>
      </c>
      <c r="R19" s="7"/>
      <c r="S19" s="7"/>
      <c r="T19" s="7" t="s">
        <v>193</v>
      </c>
      <c r="U19" s="22"/>
    </row>
    <row r="20" spans="1:21" x14ac:dyDescent="0.2">
      <c r="A20" s="7" t="s">
        <v>21</v>
      </c>
      <c r="B20" s="7" t="s">
        <v>184</v>
      </c>
      <c r="C20" s="7" t="s">
        <v>184</v>
      </c>
      <c r="D20" s="9">
        <v>166170001881</v>
      </c>
      <c r="E20" s="10" t="s">
        <v>207</v>
      </c>
      <c r="F20" s="10" t="s">
        <v>217</v>
      </c>
      <c r="G20" s="7" t="s">
        <v>18</v>
      </c>
      <c r="H20" s="7" t="s">
        <v>19</v>
      </c>
      <c r="I20" s="15">
        <f t="shared" si="0"/>
        <v>1266</v>
      </c>
      <c r="J20" s="15">
        <v>89</v>
      </c>
      <c r="K20" s="15">
        <v>592</v>
      </c>
      <c r="L20" s="15">
        <v>453</v>
      </c>
      <c r="M20" s="15">
        <v>132</v>
      </c>
      <c r="N20" s="15">
        <v>0</v>
      </c>
      <c r="O20" s="18">
        <v>58</v>
      </c>
      <c r="P20" s="18">
        <v>3</v>
      </c>
      <c r="Q20" s="7" t="s">
        <v>216</v>
      </c>
      <c r="R20" s="7"/>
      <c r="S20" s="7" t="s">
        <v>201</v>
      </c>
      <c r="T20" s="7" t="s">
        <v>193</v>
      </c>
      <c r="U20" s="22"/>
    </row>
    <row r="21" spans="1:21" x14ac:dyDescent="0.2">
      <c r="A21" s="7" t="s">
        <v>21</v>
      </c>
      <c r="B21" s="7" t="s">
        <v>184</v>
      </c>
      <c r="C21" s="7" t="s">
        <v>184</v>
      </c>
      <c r="D21" s="9">
        <v>166170001881</v>
      </c>
      <c r="E21" s="10" t="s">
        <v>207</v>
      </c>
      <c r="F21" s="10" t="s">
        <v>218</v>
      </c>
      <c r="G21" s="7" t="s">
        <v>18</v>
      </c>
      <c r="H21" s="7" t="s">
        <v>19</v>
      </c>
      <c r="I21" s="16"/>
      <c r="J21" s="16"/>
      <c r="K21" s="16"/>
      <c r="L21" s="16"/>
      <c r="M21" s="16"/>
      <c r="N21" s="16"/>
      <c r="O21" s="19"/>
      <c r="P21" s="19"/>
      <c r="Q21" s="7" t="s">
        <v>216</v>
      </c>
      <c r="R21" s="7"/>
      <c r="S21" s="7"/>
      <c r="T21" s="7" t="s">
        <v>193</v>
      </c>
      <c r="U21" s="22"/>
    </row>
    <row r="22" spans="1:21" x14ac:dyDescent="0.2">
      <c r="A22" s="7" t="s">
        <v>21</v>
      </c>
      <c r="B22" s="7" t="s">
        <v>184</v>
      </c>
      <c r="C22" s="7" t="s">
        <v>184</v>
      </c>
      <c r="D22" s="9">
        <v>166170001881</v>
      </c>
      <c r="E22" s="10" t="s">
        <v>207</v>
      </c>
      <c r="F22" s="10" t="s">
        <v>220</v>
      </c>
      <c r="G22" s="7" t="s">
        <v>18</v>
      </c>
      <c r="H22" s="7" t="s">
        <v>19</v>
      </c>
      <c r="I22" s="16"/>
      <c r="J22" s="16"/>
      <c r="K22" s="16"/>
      <c r="L22" s="16"/>
      <c r="M22" s="16"/>
      <c r="N22" s="16"/>
      <c r="O22" s="19"/>
      <c r="P22" s="19"/>
      <c r="Q22" s="7" t="s">
        <v>17</v>
      </c>
      <c r="R22" s="7" t="s">
        <v>223</v>
      </c>
      <c r="S22" s="7"/>
      <c r="T22" s="7" t="s">
        <v>193</v>
      </c>
      <c r="U22" s="22"/>
    </row>
    <row r="23" spans="1:21" x14ac:dyDescent="0.2">
      <c r="A23" s="7" t="s">
        <v>21</v>
      </c>
      <c r="B23" s="7" t="s">
        <v>184</v>
      </c>
      <c r="C23" s="7" t="s">
        <v>184</v>
      </c>
      <c r="D23" s="9">
        <v>166170001881</v>
      </c>
      <c r="E23" s="10" t="s">
        <v>207</v>
      </c>
      <c r="F23" s="10" t="s">
        <v>221</v>
      </c>
      <c r="G23" s="7" t="s">
        <v>18</v>
      </c>
      <c r="H23" s="7" t="s">
        <v>19</v>
      </c>
      <c r="I23" s="17"/>
      <c r="J23" s="17"/>
      <c r="K23" s="17"/>
      <c r="L23" s="17"/>
      <c r="M23" s="17"/>
      <c r="N23" s="17"/>
      <c r="O23" s="20"/>
      <c r="P23" s="20"/>
      <c r="Q23" s="7" t="s">
        <v>216</v>
      </c>
      <c r="R23" s="7" t="s">
        <v>222</v>
      </c>
      <c r="S23" s="7"/>
      <c r="T23" s="7" t="s">
        <v>193</v>
      </c>
      <c r="U23" s="22"/>
    </row>
    <row r="24" spans="1:21" x14ac:dyDescent="0.2">
      <c r="A24" s="7" t="s">
        <v>21</v>
      </c>
      <c r="B24" s="7" t="s">
        <v>184</v>
      </c>
      <c r="C24" s="7" t="s">
        <v>184</v>
      </c>
      <c r="D24" s="9">
        <v>266170000927</v>
      </c>
      <c r="E24" s="10" t="s">
        <v>208</v>
      </c>
      <c r="F24" s="10" t="s">
        <v>217</v>
      </c>
      <c r="G24" s="7" t="s">
        <v>18</v>
      </c>
      <c r="H24" s="7" t="s">
        <v>19</v>
      </c>
      <c r="I24" s="15">
        <f t="shared" si="0"/>
        <v>1546</v>
      </c>
      <c r="J24" s="15">
        <v>122</v>
      </c>
      <c r="K24" s="15">
        <v>755</v>
      </c>
      <c r="L24" s="15">
        <v>514</v>
      </c>
      <c r="M24" s="15">
        <v>155</v>
      </c>
      <c r="N24" s="15">
        <v>0</v>
      </c>
      <c r="O24" s="18">
        <v>63</v>
      </c>
      <c r="P24" s="18">
        <v>4</v>
      </c>
      <c r="Q24" s="7" t="s">
        <v>17</v>
      </c>
      <c r="R24" s="7"/>
      <c r="S24" s="7" t="s">
        <v>194</v>
      </c>
      <c r="T24" s="7" t="s">
        <v>193</v>
      </c>
      <c r="U24" s="22"/>
    </row>
    <row r="25" spans="1:21" x14ac:dyDescent="0.2">
      <c r="A25" s="7" t="s">
        <v>21</v>
      </c>
      <c r="B25" s="7" t="s">
        <v>184</v>
      </c>
      <c r="C25" s="7" t="s">
        <v>184</v>
      </c>
      <c r="D25" s="9">
        <v>266170000927</v>
      </c>
      <c r="E25" s="10" t="s">
        <v>208</v>
      </c>
      <c r="F25" s="10" t="s">
        <v>224</v>
      </c>
      <c r="G25" s="7" t="s">
        <v>18</v>
      </c>
      <c r="H25" s="7" t="s">
        <v>19</v>
      </c>
      <c r="I25" s="16"/>
      <c r="J25" s="16"/>
      <c r="K25" s="16"/>
      <c r="L25" s="16"/>
      <c r="M25" s="16"/>
      <c r="N25" s="16"/>
      <c r="O25" s="19"/>
      <c r="P25" s="19"/>
      <c r="Q25" s="7" t="s">
        <v>216</v>
      </c>
      <c r="R25" s="7"/>
      <c r="S25" s="7"/>
      <c r="T25" s="7" t="s">
        <v>193</v>
      </c>
      <c r="U25" s="22"/>
    </row>
    <row r="26" spans="1:21" x14ac:dyDescent="0.2">
      <c r="A26" s="7" t="s">
        <v>21</v>
      </c>
      <c r="B26" s="7" t="s">
        <v>184</v>
      </c>
      <c r="C26" s="7" t="s">
        <v>184</v>
      </c>
      <c r="D26" s="9">
        <v>266170000927</v>
      </c>
      <c r="E26" s="10" t="s">
        <v>208</v>
      </c>
      <c r="F26" s="10" t="s">
        <v>225</v>
      </c>
      <c r="G26" s="7" t="s">
        <v>18</v>
      </c>
      <c r="H26" s="7" t="s">
        <v>19</v>
      </c>
      <c r="I26" s="17"/>
      <c r="J26" s="17"/>
      <c r="K26" s="17"/>
      <c r="L26" s="17"/>
      <c r="M26" s="17"/>
      <c r="N26" s="17"/>
      <c r="O26" s="20"/>
      <c r="P26" s="20"/>
      <c r="Q26" s="7" t="s">
        <v>216</v>
      </c>
      <c r="R26" s="7"/>
      <c r="S26" s="7"/>
      <c r="T26" s="7" t="s">
        <v>193</v>
      </c>
      <c r="U26" s="22"/>
    </row>
    <row r="27" spans="1:21" x14ac:dyDescent="0.2">
      <c r="A27" s="7" t="s">
        <v>21</v>
      </c>
      <c r="B27" s="7" t="s">
        <v>184</v>
      </c>
      <c r="C27" s="7" t="s">
        <v>184</v>
      </c>
      <c r="D27" s="9">
        <v>166170800104</v>
      </c>
      <c r="E27" s="7" t="s">
        <v>186</v>
      </c>
      <c r="F27" s="7" t="s">
        <v>217</v>
      </c>
      <c r="G27" s="7" t="s">
        <v>18</v>
      </c>
      <c r="H27" s="7" t="s">
        <v>19</v>
      </c>
      <c r="I27" s="15">
        <f t="shared" si="0"/>
        <v>840</v>
      </c>
      <c r="J27" s="15">
        <v>61</v>
      </c>
      <c r="K27" s="15">
        <v>311</v>
      </c>
      <c r="L27" s="15">
        <v>350</v>
      </c>
      <c r="M27" s="15">
        <v>118</v>
      </c>
      <c r="N27" s="15">
        <v>0</v>
      </c>
      <c r="O27" s="15">
        <v>38</v>
      </c>
      <c r="P27" s="15">
        <v>2</v>
      </c>
      <c r="Q27" s="7" t="s">
        <v>17</v>
      </c>
      <c r="R27" s="7"/>
      <c r="S27" s="7" t="s">
        <v>197</v>
      </c>
      <c r="T27" s="7" t="s">
        <v>193</v>
      </c>
      <c r="U27" s="22"/>
    </row>
    <row r="28" spans="1:21" x14ac:dyDescent="0.2">
      <c r="A28" s="7" t="s">
        <v>21</v>
      </c>
      <c r="B28" s="7" t="s">
        <v>184</v>
      </c>
      <c r="C28" s="7" t="s">
        <v>184</v>
      </c>
      <c r="D28" s="9">
        <v>166170800104</v>
      </c>
      <c r="E28" s="7" t="s">
        <v>186</v>
      </c>
      <c r="F28" s="7" t="s">
        <v>226</v>
      </c>
      <c r="G28" s="7" t="s">
        <v>18</v>
      </c>
      <c r="H28" s="7" t="s">
        <v>19</v>
      </c>
      <c r="I28" s="17"/>
      <c r="J28" s="17"/>
      <c r="K28" s="17"/>
      <c r="L28" s="17"/>
      <c r="M28" s="17"/>
      <c r="N28" s="17"/>
      <c r="O28" s="17"/>
      <c r="P28" s="17"/>
      <c r="Q28" s="7" t="s">
        <v>216</v>
      </c>
      <c r="R28" s="7"/>
      <c r="S28" s="7"/>
      <c r="T28" s="7" t="s">
        <v>193</v>
      </c>
      <c r="U28" s="22"/>
    </row>
    <row r="29" spans="1:21" x14ac:dyDescent="0.2">
      <c r="A29" s="7" t="s">
        <v>21</v>
      </c>
      <c r="B29" s="7" t="s">
        <v>184</v>
      </c>
      <c r="C29" s="7" t="s">
        <v>184</v>
      </c>
      <c r="D29" s="9">
        <v>166170001716</v>
      </c>
      <c r="E29" s="10" t="s">
        <v>209</v>
      </c>
      <c r="F29" s="10" t="s">
        <v>217</v>
      </c>
      <c r="G29" s="7" t="s">
        <v>18</v>
      </c>
      <c r="H29" s="7" t="s">
        <v>19</v>
      </c>
      <c r="I29" s="15">
        <f t="shared" si="0"/>
        <v>1627</v>
      </c>
      <c r="J29" s="15">
        <v>148</v>
      </c>
      <c r="K29" s="15">
        <v>758</v>
      </c>
      <c r="L29" s="15">
        <v>560</v>
      </c>
      <c r="M29" s="15">
        <v>161</v>
      </c>
      <c r="N29" s="15">
        <v>0</v>
      </c>
      <c r="O29" s="15">
        <v>76</v>
      </c>
      <c r="P29" s="15">
        <v>2</v>
      </c>
      <c r="Q29" s="7" t="s">
        <v>17</v>
      </c>
      <c r="R29" s="7"/>
      <c r="S29" s="7" t="s">
        <v>194</v>
      </c>
      <c r="T29" s="7" t="s">
        <v>193</v>
      </c>
      <c r="U29" s="22"/>
    </row>
    <row r="30" spans="1:21" x14ac:dyDescent="0.2">
      <c r="A30" s="7" t="s">
        <v>21</v>
      </c>
      <c r="B30" s="7" t="s">
        <v>184</v>
      </c>
      <c r="C30" s="7" t="s">
        <v>184</v>
      </c>
      <c r="D30" s="9">
        <v>166170001716</v>
      </c>
      <c r="E30" s="10" t="s">
        <v>209</v>
      </c>
      <c r="F30" s="10" t="s">
        <v>227</v>
      </c>
      <c r="G30" s="7" t="s">
        <v>18</v>
      </c>
      <c r="H30" s="7" t="s">
        <v>19</v>
      </c>
      <c r="I30" s="16"/>
      <c r="J30" s="16"/>
      <c r="K30" s="16"/>
      <c r="L30" s="16"/>
      <c r="M30" s="16"/>
      <c r="N30" s="16"/>
      <c r="O30" s="16"/>
      <c r="P30" s="16"/>
      <c r="Q30" s="7" t="s">
        <v>230</v>
      </c>
      <c r="R30" s="7"/>
      <c r="S30" s="7"/>
      <c r="T30" s="7" t="s">
        <v>193</v>
      </c>
      <c r="U30" s="22"/>
    </row>
    <row r="31" spans="1:21" x14ac:dyDescent="0.2">
      <c r="A31" s="7" t="s">
        <v>21</v>
      </c>
      <c r="B31" s="7" t="s">
        <v>184</v>
      </c>
      <c r="C31" s="7" t="s">
        <v>184</v>
      </c>
      <c r="D31" s="9">
        <v>166170001716</v>
      </c>
      <c r="E31" s="10" t="s">
        <v>209</v>
      </c>
      <c r="F31" s="10" t="s">
        <v>229</v>
      </c>
      <c r="G31" s="7" t="s">
        <v>18</v>
      </c>
      <c r="H31" s="7" t="s">
        <v>19</v>
      </c>
      <c r="I31" s="16"/>
      <c r="J31" s="16"/>
      <c r="K31" s="16"/>
      <c r="L31" s="16"/>
      <c r="M31" s="16"/>
      <c r="N31" s="16"/>
      <c r="O31" s="16"/>
      <c r="P31" s="16"/>
      <c r="Q31" s="7" t="s">
        <v>230</v>
      </c>
      <c r="R31" s="7"/>
      <c r="S31" s="7"/>
      <c r="T31" s="7" t="s">
        <v>193</v>
      </c>
      <c r="U31" s="22"/>
    </row>
    <row r="32" spans="1:21" x14ac:dyDescent="0.2">
      <c r="A32" s="7" t="s">
        <v>21</v>
      </c>
      <c r="B32" s="7" t="s">
        <v>184</v>
      </c>
      <c r="C32" s="7" t="s">
        <v>184</v>
      </c>
      <c r="D32" s="9">
        <v>166170001716</v>
      </c>
      <c r="E32" s="10" t="s">
        <v>209</v>
      </c>
      <c r="F32" s="10" t="s">
        <v>228</v>
      </c>
      <c r="G32" s="7" t="s">
        <v>18</v>
      </c>
      <c r="H32" s="7" t="s">
        <v>19</v>
      </c>
      <c r="I32" s="17"/>
      <c r="J32" s="17"/>
      <c r="K32" s="17"/>
      <c r="L32" s="17"/>
      <c r="M32" s="17"/>
      <c r="N32" s="17"/>
      <c r="O32" s="17"/>
      <c r="P32" s="17"/>
      <c r="Q32" s="7" t="s">
        <v>230</v>
      </c>
      <c r="R32" s="7"/>
      <c r="S32" s="7"/>
      <c r="T32" s="7" t="s">
        <v>193</v>
      </c>
      <c r="U32" s="22"/>
    </row>
    <row r="33" spans="1:21" x14ac:dyDescent="0.2">
      <c r="A33" s="7" t="s">
        <v>21</v>
      </c>
      <c r="B33" s="7" t="s">
        <v>184</v>
      </c>
      <c r="C33" s="7" t="s">
        <v>184</v>
      </c>
      <c r="D33" s="9">
        <v>166170002496</v>
      </c>
      <c r="E33" s="10" t="s">
        <v>210</v>
      </c>
      <c r="F33" s="10" t="s">
        <v>217</v>
      </c>
      <c r="G33" s="7" t="s">
        <v>18</v>
      </c>
      <c r="H33" s="7" t="s">
        <v>19</v>
      </c>
      <c r="I33" s="15">
        <f t="shared" si="0"/>
        <v>1695</v>
      </c>
      <c r="J33" s="15">
        <v>151</v>
      </c>
      <c r="K33" s="15">
        <v>822</v>
      </c>
      <c r="L33" s="15">
        <v>553</v>
      </c>
      <c r="M33" s="15">
        <v>169</v>
      </c>
      <c r="N33" s="15">
        <v>0</v>
      </c>
      <c r="O33" s="15">
        <v>73</v>
      </c>
      <c r="P33" s="15">
        <v>5</v>
      </c>
      <c r="Q33" s="7" t="s">
        <v>17</v>
      </c>
      <c r="R33" s="7"/>
      <c r="S33" s="7" t="s">
        <v>194</v>
      </c>
      <c r="T33" s="7" t="s">
        <v>193</v>
      </c>
      <c r="U33" s="22"/>
    </row>
    <row r="34" spans="1:21" x14ac:dyDescent="0.2">
      <c r="A34" s="7" t="s">
        <v>21</v>
      </c>
      <c r="B34" s="7" t="s">
        <v>184</v>
      </c>
      <c r="C34" s="7" t="s">
        <v>184</v>
      </c>
      <c r="D34" s="9">
        <v>166170002496</v>
      </c>
      <c r="E34" s="10" t="s">
        <v>210</v>
      </c>
      <c r="F34" s="7" t="s">
        <v>233</v>
      </c>
      <c r="G34" s="7" t="s">
        <v>18</v>
      </c>
      <c r="H34" s="7" t="s">
        <v>19</v>
      </c>
      <c r="I34" s="16"/>
      <c r="J34" s="16"/>
      <c r="K34" s="16"/>
      <c r="L34" s="16"/>
      <c r="M34" s="16"/>
      <c r="N34" s="16"/>
      <c r="O34" s="16"/>
      <c r="P34" s="16"/>
      <c r="Q34" s="7" t="s">
        <v>216</v>
      </c>
      <c r="R34" s="7"/>
      <c r="S34" s="7"/>
      <c r="T34" s="7" t="s">
        <v>193</v>
      </c>
      <c r="U34" s="22"/>
    </row>
    <row r="35" spans="1:21" x14ac:dyDescent="0.2">
      <c r="A35" s="7" t="s">
        <v>21</v>
      </c>
      <c r="B35" s="7" t="s">
        <v>184</v>
      </c>
      <c r="C35" s="7" t="s">
        <v>184</v>
      </c>
      <c r="D35" s="9">
        <v>166170002496</v>
      </c>
      <c r="E35" s="10" t="s">
        <v>210</v>
      </c>
      <c r="F35" s="7" t="s">
        <v>231</v>
      </c>
      <c r="G35" s="7" t="s">
        <v>18</v>
      </c>
      <c r="H35" s="7" t="s">
        <v>19</v>
      </c>
      <c r="I35" s="16"/>
      <c r="J35" s="16"/>
      <c r="K35" s="16"/>
      <c r="L35" s="16"/>
      <c r="M35" s="16"/>
      <c r="N35" s="16"/>
      <c r="O35" s="16"/>
      <c r="P35" s="16"/>
      <c r="Q35" s="7" t="s">
        <v>230</v>
      </c>
      <c r="R35" s="7" t="s">
        <v>237</v>
      </c>
      <c r="S35" s="7"/>
      <c r="T35" s="7" t="s">
        <v>193</v>
      </c>
      <c r="U35" s="22"/>
    </row>
    <row r="36" spans="1:21" x14ac:dyDescent="0.2">
      <c r="A36" s="7" t="s">
        <v>21</v>
      </c>
      <c r="B36" s="7" t="s">
        <v>184</v>
      </c>
      <c r="C36" s="7" t="s">
        <v>184</v>
      </c>
      <c r="D36" s="9">
        <v>166170002496</v>
      </c>
      <c r="E36" s="10" t="s">
        <v>210</v>
      </c>
      <c r="F36" s="7" t="s">
        <v>232</v>
      </c>
      <c r="G36" s="7" t="s">
        <v>18</v>
      </c>
      <c r="H36" s="7" t="s">
        <v>19</v>
      </c>
      <c r="I36" s="17"/>
      <c r="J36" s="17"/>
      <c r="K36" s="17"/>
      <c r="L36" s="17"/>
      <c r="M36" s="17"/>
      <c r="N36" s="17"/>
      <c r="O36" s="17"/>
      <c r="P36" s="17"/>
      <c r="Q36" s="7" t="s">
        <v>216</v>
      </c>
      <c r="R36" s="7"/>
      <c r="S36" s="7"/>
      <c r="T36" s="7" t="s">
        <v>193</v>
      </c>
      <c r="U36" s="23"/>
    </row>
  </sheetData>
  <autoFilter ref="A1:T36" xr:uid="{AD9222AA-34DD-4B36-B004-F206603A0708}"/>
  <mergeCells count="58">
    <mergeCell ref="U15:U36"/>
    <mergeCell ref="U2:U14"/>
    <mergeCell ref="O33:O36"/>
    <mergeCell ref="P18:P19"/>
    <mergeCell ref="P20:P23"/>
    <mergeCell ref="P24:P26"/>
    <mergeCell ref="P27:P28"/>
    <mergeCell ref="P29:P32"/>
    <mergeCell ref="P33:P36"/>
    <mergeCell ref="O18:O19"/>
    <mergeCell ref="O20:O23"/>
    <mergeCell ref="O24:O26"/>
    <mergeCell ref="O27:O28"/>
    <mergeCell ref="O29:O32"/>
    <mergeCell ref="M33:M36"/>
    <mergeCell ref="N18:N19"/>
    <mergeCell ref="N20:N23"/>
    <mergeCell ref="N24:N26"/>
    <mergeCell ref="N27:N28"/>
    <mergeCell ref="N29:N32"/>
    <mergeCell ref="N33:N36"/>
    <mergeCell ref="M18:M19"/>
    <mergeCell ref="M20:M23"/>
    <mergeCell ref="M24:M26"/>
    <mergeCell ref="M27:M28"/>
    <mergeCell ref="M29:M32"/>
    <mergeCell ref="L33:L36"/>
    <mergeCell ref="K18:K19"/>
    <mergeCell ref="K20:K23"/>
    <mergeCell ref="K24:K26"/>
    <mergeCell ref="K27:K28"/>
    <mergeCell ref="K29:K32"/>
    <mergeCell ref="L18:L19"/>
    <mergeCell ref="L20:L23"/>
    <mergeCell ref="L24:L26"/>
    <mergeCell ref="L27:L28"/>
    <mergeCell ref="L29:L32"/>
    <mergeCell ref="L15:L17"/>
    <mergeCell ref="M15:M17"/>
    <mergeCell ref="N15:N17"/>
    <mergeCell ref="O15:O17"/>
    <mergeCell ref="P15:P17"/>
    <mergeCell ref="K15:K17"/>
    <mergeCell ref="I27:I28"/>
    <mergeCell ref="I29:I32"/>
    <mergeCell ref="I33:I36"/>
    <mergeCell ref="J18:J19"/>
    <mergeCell ref="J20:J23"/>
    <mergeCell ref="J24:J26"/>
    <mergeCell ref="J27:J28"/>
    <mergeCell ref="J29:J32"/>
    <mergeCell ref="J33:J36"/>
    <mergeCell ref="I15:I17"/>
    <mergeCell ref="J15:J17"/>
    <mergeCell ref="I18:I19"/>
    <mergeCell ref="I20:I23"/>
    <mergeCell ref="I24:I26"/>
    <mergeCell ref="K33:K36"/>
  </mergeCells>
  <conditionalFormatting sqref="S1:S33">
    <cfRule type="containsText" dxfId="5" priority="1" operator="containsText" text="Afectación menor">
      <formula>NOT(ISERROR(SEARCH("Afectación menor",S1)))</formula>
    </cfRule>
    <cfRule type="containsText" dxfId="4" priority="2" operator="containsText" text="Afectación parcial">
      <formula>NOT(ISERROR(SEARCH("Afectación parcial",S1)))</formula>
    </cfRule>
    <cfRule type="containsText" dxfId="3" priority="3" operator="containsText" text="Colapso parcial">
      <formula>NOT(ISERROR(SEARCH("Colapso parcial",S1)))</formula>
    </cfRule>
  </conditionalFormatting>
  <pageMargins left="0.7" right="0.7" top="0.75" bottom="0.75" header="0.3" footer="0.3"/>
  <ignoredErrors>
    <ignoredError sqref="I33 I15 I18 I20 I24 I27 I29" formulaRange="1"/>
  </ignoredErrors>
  <extLst>
    <ext xmlns:x14="http://schemas.microsoft.com/office/spreadsheetml/2009/9/main" uri="{CCE6A557-97BC-4b89-ADB6-D9C93CAAB3DF}">
      <x14:dataValidations xmlns:xm="http://schemas.microsoft.com/office/excel/2006/main" count="3">
        <x14:dataValidation type="list" allowBlank="1" showInputMessage="1" showErrorMessage="1" xr:uid="{921836BC-AB68-4637-A4A2-5FC2A547EE1D}">
          <x14:formula1>
            <xm:f>'Clasificacion de afectación'!$D$2:$D$3</xm:f>
          </x14:formula1>
          <xm:sqref>T2:T33</xm:sqref>
        </x14:dataValidation>
        <x14:dataValidation type="list" allowBlank="1" showInputMessage="1" showErrorMessage="1" xr:uid="{286ADF85-E543-4F1D-B322-E56EE04000AC}">
          <x14:formula1>
            <xm:f>'Clasificacion de afectación'!$A$2:$A$7</xm:f>
          </x14:formula1>
          <xm:sqref>S2:S4 S6:S7 S9 S14:S33</xm:sqref>
        </x14:dataValidation>
        <x14:dataValidation type="list" allowBlank="1" showInputMessage="1" showErrorMessage="1" xr:uid="{F41B3DD7-23FA-4C9A-B495-07E3280B0449}">
          <x14:formula1>
            <xm:f>'Clasificacion de afectación'!$A$2:$A$8</xm:f>
          </x14:formula1>
          <xm:sqref>S5 S8 S10:S13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142D-72B2-4BAA-B68F-A690F42511EF}">
  <dimension ref="A1:R173"/>
  <sheetViews>
    <sheetView zoomScaleNormal="100" workbookViewId="0"/>
  </sheetViews>
  <sheetFormatPr defaultColWidth="11.43359375" defaultRowHeight="15" x14ac:dyDescent="0.2"/>
  <cols>
    <col min="1" max="1" width="12.375" style="3" bestFit="1" customWidth="1"/>
    <col min="2" max="3" width="12.64453125" style="3" bestFit="1" customWidth="1"/>
    <col min="4" max="4" width="13.046875" style="3" bestFit="1" customWidth="1"/>
    <col min="5" max="5" width="54.078125" style="3" bestFit="1" customWidth="1"/>
    <col min="6" max="6" width="8.47265625" style="3" bestFit="1" customWidth="1"/>
    <col min="7" max="7" width="7.93359375" style="3" bestFit="1" customWidth="1"/>
    <col min="8" max="8" width="12.375" style="3" bestFit="1" customWidth="1"/>
    <col min="9" max="9" width="16.41015625" style="3" bestFit="1" customWidth="1"/>
    <col min="10" max="11" width="10.0859375" style="3" bestFit="1" customWidth="1"/>
    <col min="12" max="12" width="8.0703125" style="3" bestFit="1" customWidth="1"/>
    <col min="13" max="13" width="9.14453125" style="3" bestFit="1" customWidth="1"/>
    <col min="14" max="14" width="10.76171875" style="3" bestFit="1" customWidth="1"/>
    <col min="15" max="15" width="19.1015625" style="3" bestFit="1" customWidth="1"/>
    <col min="16" max="16" width="21.1171875" style="3" bestFit="1" customWidth="1"/>
    <col min="17" max="17" width="42.375" style="3" customWidth="1"/>
    <col min="18" max="18" width="23.13671875" style="3" customWidth="1"/>
    <col min="19" max="16384" width="11.43359375" style="3"/>
  </cols>
  <sheetData>
    <row r="1" spans="1:18" ht="44.25" x14ac:dyDescent="0.2">
      <c r="A1" s="11" t="s">
        <v>15</v>
      </c>
      <c r="B1" s="11" t="s">
        <v>11</v>
      </c>
      <c r="C1" s="11" t="s">
        <v>14</v>
      </c>
      <c r="D1" s="11" t="s">
        <v>0</v>
      </c>
      <c r="E1" s="11" t="s">
        <v>1</v>
      </c>
      <c r="F1" s="11" t="s">
        <v>4</v>
      </c>
      <c r="G1" s="11" t="s">
        <v>5</v>
      </c>
      <c r="H1" s="11" t="s">
        <v>3</v>
      </c>
      <c r="I1" s="11" t="s">
        <v>6</v>
      </c>
      <c r="J1" s="11" t="s">
        <v>7</v>
      </c>
      <c r="K1" s="11" t="s">
        <v>8</v>
      </c>
      <c r="L1" s="11" t="s">
        <v>9</v>
      </c>
      <c r="M1" s="11" t="s">
        <v>10</v>
      </c>
      <c r="N1" s="11" t="s">
        <v>12</v>
      </c>
      <c r="O1" s="11" t="s">
        <v>13</v>
      </c>
      <c r="P1" s="11" t="s">
        <v>2</v>
      </c>
      <c r="Q1" s="6" t="s">
        <v>205</v>
      </c>
      <c r="R1" s="6" t="s">
        <v>206</v>
      </c>
    </row>
    <row r="2" spans="1:18" x14ac:dyDescent="0.2">
      <c r="A2" s="7" t="s">
        <v>21</v>
      </c>
      <c r="B2" s="7" t="s">
        <v>20</v>
      </c>
      <c r="C2" s="7" t="s">
        <v>20</v>
      </c>
      <c r="D2" s="9">
        <v>166001006008</v>
      </c>
      <c r="E2" s="7" t="s">
        <v>16</v>
      </c>
      <c r="F2" s="7" t="s">
        <v>18</v>
      </c>
      <c r="G2" s="7" t="s">
        <v>19</v>
      </c>
      <c r="H2" s="7">
        <v>2555</v>
      </c>
      <c r="I2" s="7">
        <v>123</v>
      </c>
      <c r="J2" s="7">
        <v>633</v>
      </c>
      <c r="K2" s="7">
        <v>967</v>
      </c>
      <c r="L2" s="7">
        <v>385</v>
      </c>
      <c r="M2" s="7">
        <v>447</v>
      </c>
      <c r="N2" s="7">
        <v>111</v>
      </c>
      <c r="O2" s="7">
        <v>6</v>
      </c>
      <c r="P2" s="7" t="s">
        <v>17</v>
      </c>
      <c r="Q2" s="7" t="s">
        <v>194</v>
      </c>
      <c r="R2" s="7" t="s">
        <v>193</v>
      </c>
    </row>
    <row r="3" spans="1:18" x14ac:dyDescent="0.2">
      <c r="A3" s="7" t="s">
        <v>21</v>
      </c>
      <c r="B3" s="7" t="s">
        <v>20</v>
      </c>
      <c r="C3" s="7" t="s">
        <v>20</v>
      </c>
      <c r="D3" s="9">
        <v>166001002061</v>
      </c>
      <c r="E3" s="7" t="s">
        <v>22</v>
      </c>
      <c r="F3" s="7" t="s">
        <v>18</v>
      </c>
      <c r="G3" s="7" t="s">
        <v>19</v>
      </c>
      <c r="H3" s="7">
        <v>2229</v>
      </c>
      <c r="I3" s="7">
        <v>0</v>
      </c>
      <c r="J3" s="7">
        <v>483</v>
      </c>
      <c r="K3" s="7">
        <v>1131</v>
      </c>
      <c r="L3" s="7">
        <v>615</v>
      </c>
      <c r="M3" s="7">
        <v>0</v>
      </c>
      <c r="N3" s="7">
        <v>108</v>
      </c>
      <c r="O3" s="7">
        <v>6</v>
      </c>
      <c r="P3" s="7" t="s">
        <v>17</v>
      </c>
      <c r="Q3" s="7" t="s">
        <v>194</v>
      </c>
      <c r="R3" s="7" t="s">
        <v>193</v>
      </c>
    </row>
    <row r="4" spans="1:18" x14ac:dyDescent="0.2">
      <c r="A4" s="7" t="s">
        <v>21</v>
      </c>
      <c r="B4" s="7" t="s">
        <v>20</v>
      </c>
      <c r="C4" s="7" t="s">
        <v>20</v>
      </c>
      <c r="D4" s="9">
        <v>166001007314</v>
      </c>
      <c r="E4" s="7" t="s">
        <v>23</v>
      </c>
      <c r="F4" s="7" t="s">
        <v>18</v>
      </c>
      <c r="G4" s="7" t="s">
        <v>19</v>
      </c>
      <c r="H4" s="7">
        <v>1406</v>
      </c>
      <c r="I4" s="7">
        <v>71</v>
      </c>
      <c r="J4" s="7">
        <v>578</v>
      </c>
      <c r="K4" s="7">
        <v>530</v>
      </c>
      <c r="L4" s="7">
        <v>227</v>
      </c>
      <c r="M4" s="7">
        <v>0</v>
      </c>
      <c r="N4" s="7"/>
      <c r="O4" s="7"/>
      <c r="P4" s="7" t="s">
        <v>17</v>
      </c>
      <c r="Q4" s="7" t="s">
        <v>194</v>
      </c>
      <c r="R4" s="7" t="s">
        <v>193</v>
      </c>
    </row>
    <row r="5" spans="1:18" x14ac:dyDescent="0.2">
      <c r="A5" s="7" t="s">
        <v>21</v>
      </c>
      <c r="B5" s="7" t="s">
        <v>20</v>
      </c>
      <c r="C5" s="7" t="s">
        <v>20</v>
      </c>
      <c r="D5" s="9">
        <v>166001007128</v>
      </c>
      <c r="E5" s="7" t="s">
        <v>24</v>
      </c>
      <c r="F5" s="7" t="s">
        <v>18</v>
      </c>
      <c r="G5" s="7" t="s">
        <v>19</v>
      </c>
      <c r="H5" s="7">
        <v>1396</v>
      </c>
      <c r="I5" s="7">
        <v>119</v>
      </c>
      <c r="J5" s="7">
        <v>612</v>
      </c>
      <c r="K5" s="7">
        <v>477</v>
      </c>
      <c r="L5" s="7">
        <v>188</v>
      </c>
      <c r="M5" s="7">
        <v>0</v>
      </c>
      <c r="N5" s="7"/>
      <c r="O5" s="7"/>
      <c r="P5" s="7" t="s">
        <v>17</v>
      </c>
      <c r="Q5" s="7" t="s">
        <v>194</v>
      </c>
      <c r="R5" s="7" t="s">
        <v>193</v>
      </c>
    </row>
    <row r="6" spans="1:18" x14ac:dyDescent="0.2">
      <c r="A6" s="7" t="s">
        <v>21</v>
      </c>
      <c r="B6" s="7" t="s">
        <v>20</v>
      </c>
      <c r="C6" s="7" t="s">
        <v>20</v>
      </c>
      <c r="D6" s="9">
        <v>166001000093</v>
      </c>
      <c r="E6" s="7" t="s">
        <v>25</v>
      </c>
      <c r="F6" s="7" t="s">
        <v>18</v>
      </c>
      <c r="G6" s="7" t="s">
        <v>19</v>
      </c>
      <c r="H6" s="7">
        <v>1393</v>
      </c>
      <c r="I6" s="7">
        <v>98</v>
      </c>
      <c r="J6" s="7">
        <v>668</v>
      </c>
      <c r="K6" s="7">
        <v>452</v>
      </c>
      <c r="L6" s="7">
        <v>175</v>
      </c>
      <c r="M6" s="7">
        <v>0</v>
      </c>
      <c r="N6" s="7">
        <v>56</v>
      </c>
      <c r="O6" s="7">
        <v>4</v>
      </c>
      <c r="P6" s="7" t="s">
        <v>17</v>
      </c>
      <c r="Q6" s="7" t="s">
        <v>194</v>
      </c>
      <c r="R6" s="7" t="s">
        <v>193</v>
      </c>
    </row>
    <row r="7" spans="1:18" x14ac:dyDescent="0.2">
      <c r="A7" s="7" t="s">
        <v>21</v>
      </c>
      <c r="B7" s="7" t="s">
        <v>20</v>
      </c>
      <c r="C7" s="7" t="s">
        <v>20</v>
      </c>
      <c r="D7" s="9">
        <v>166001002916</v>
      </c>
      <c r="E7" s="7" t="s">
        <v>26</v>
      </c>
      <c r="F7" s="7" t="s">
        <v>18</v>
      </c>
      <c r="G7" s="7" t="s">
        <v>19</v>
      </c>
      <c r="H7" s="7">
        <v>1334</v>
      </c>
      <c r="I7" s="7">
        <v>100</v>
      </c>
      <c r="J7" s="7">
        <v>351</v>
      </c>
      <c r="K7" s="7">
        <v>514</v>
      </c>
      <c r="L7" s="7">
        <v>153</v>
      </c>
      <c r="M7" s="7">
        <v>216</v>
      </c>
      <c r="N7" s="7">
        <v>53</v>
      </c>
      <c r="O7" s="7">
        <v>3</v>
      </c>
      <c r="P7" s="7" t="s">
        <v>17</v>
      </c>
      <c r="Q7" s="7" t="s">
        <v>194</v>
      </c>
      <c r="R7" s="7" t="s">
        <v>193</v>
      </c>
    </row>
    <row r="8" spans="1:18" x14ac:dyDescent="0.2">
      <c r="A8" s="7" t="s">
        <v>21</v>
      </c>
      <c r="B8" s="7" t="s">
        <v>20</v>
      </c>
      <c r="C8" s="7" t="s">
        <v>20</v>
      </c>
      <c r="D8" s="9">
        <v>166001000344</v>
      </c>
      <c r="E8" s="7" t="s">
        <v>27</v>
      </c>
      <c r="F8" s="7" t="s">
        <v>18</v>
      </c>
      <c r="G8" s="7" t="s">
        <v>19</v>
      </c>
      <c r="H8" s="7">
        <v>1326</v>
      </c>
      <c r="I8" s="7">
        <v>108</v>
      </c>
      <c r="J8" s="7">
        <v>334</v>
      </c>
      <c r="K8" s="7">
        <v>417</v>
      </c>
      <c r="L8" s="7">
        <v>160</v>
      </c>
      <c r="M8" s="7">
        <v>307</v>
      </c>
      <c r="N8" s="7">
        <v>41</v>
      </c>
      <c r="O8" s="7">
        <v>3</v>
      </c>
      <c r="P8" s="7" t="s">
        <v>17</v>
      </c>
      <c r="Q8" s="7" t="s">
        <v>194</v>
      </c>
      <c r="R8" s="7" t="s">
        <v>193</v>
      </c>
    </row>
    <row r="9" spans="1:18" x14ac:dyDescent="0.2">
      <c r="A9" s="7" t="s">
        <v>21</v>
      </c>
      <c r="B9" s="7" t="s">
        <v>20</v>
      </c>
      <c r="C9" s="7" t="s">
        <v>20</v>
      </c>
      <c r="D9" s="9">
        <v>166001004242</v>
      </c>
      <c r="E9" s="7" t="s">
        <v>28</v>
      </c>
      <c r="F9" s="7" t="s">
        <v>18</v>
      </c>
      <c r="G9" s="7" t="s">
        <v>19</v>
      </c>
      <c r="H9" s="7">
        <v>1273</v>
      </c>
      <c r="I9" s="7">
        <v>86</v>
      </c>
      <c r="J9" s="7">
        <v>550</v>
      </c>
      <c r="K9" s="7">
        <v>476</v>
      </c>
      <c r="L9" s="7">
        <v>161</v>
      </c>
      <c r="M9" s="7">
        <v>0</v>
      </c>
      <c r="N9" s="7">
        <v>56</v>
      </c>
      <c r="O9" s="7">
        <v>4</v>
      </c>
      <c r="P9" s="7" t="s">
        <v>17</v>
      </c>
      <c r="Q9" s="7" t="s">
        <v>194</v>
      </c>
      <c r="R9" s="7" t="s">
        <v>193</v>
      </c>
    </row>
    <row r="10" spans="1:18" x14ac:dyDescent="0.2">
      <c r="A10" s="7" t="s">
        <v>21</v>
      </c>
      <c r="B10" s="7" t="s">
        <v>20</v>
      </c>
      <c r="C10" s="7" t="s">
        <v>20</v>
      </c>
      <c r="D10" s="9">
        <v>166001006480</v>
      </c>
      <c r="E10" s="7" t="s">
        <v>29</v>
      </c>
      <c r="F10" s="7" t="s">
        <v>18</v>
      </c>
      <c r="G10" s="7" t="s">
        <v>19</v>
      </c>
      <c r="H10" s="7">
        <v>1238</v>
      </c>
      <c r="I10" s="7">
        <v>99</v>
      </c>
      <c r="J10" s="7">
        <v>563</v>
      </c>
      <c r="K10" s="7">
        <v>437</v>
      </c>
      <c r="L10" s="7">
        <v>139</v>
      </c>
      <c r="M10" s="7">
        <v>0</v>
      </c>
      <c r="N10" s="7">
        <v>52</v>
      </c>
      <c r="O10" s="7">
        <v>4</v>
      </c>
      <c r="P10" s="7" t="s">
        <v>17</v>
      </c>
      <c r="Q10" s="7" t="s">
        <v>194</v>
      </c>
      <c r="R10" s="7" t="s">
        <v>193</v>
      </c>
    </row>
    <row r="11" spans="1:18" x14ac:dyDescent="0.2">
      <c r="A11" s="7" t="s">
        <v>21</v>
      </c>
      <c r="B11" s="7" t="s">
        <v>20</v>
      </c>
      <c r="C11" s="7" t="s">
        <v>20</v>
      </c>
      <c r="D11" s="9">
        <v>166001006105</v>
      </c>
      <c r="E11" s="7" t="s">
        <v>30</v>
      </c>
      <c r="F11" s="7" t="s">
        <v>18</v>
      </c>
      <c r="G11" s="7" t="s">
        <v>19</v>
      </c>
      <c r="H11" s="7">
        <v>1233</v>
      </c>
      <c r="I11" s="7">
        <v>0</v>
      </c>
      <c r="J11" s="7">
        <v>0</v>
      </c>
      <c r="K11" s="7">
        <v>827</v>
      </c>
      <c r="L11" s="7">
        <v>306</v>
      </c>
      <c r="M11" s="7">
        <v>100</v>
      </c>
      <c r="N11" s="7">
        <v>93</v>
      </c>
      <c r="O11" s="7">
        <v>5</v>
      </c>
      <c r="P11" s="7" t="s">
        <v>17</v>
      </c>
      <c r="Q11" s="7" t="s">
        <v>194</v>
      </c>
      <c r="R11" s="7" t="s">
        <v>193</v>
      </c>
    </row>
    <row r="12" spans="1:18" x14ac:dyDescent="0.2">
      <c r="A12" s="7" t="s">
        <v>21</v>
      </c>
      <c r="B12" s="7" t="s">
        <v>20</v>
      </c>
      <c r="C12" s="7" t="s">
        <v>20</v>
      </c>
      <c r="D12" s="9">
        <v>366001005540</v>
      </c>
      <c r="E12" s="7" t="s">
        <v>31</v>
      </c>
      <c r="F12" s="7" t="s">
        <v>18</v>
      </c>
      <c r="G12" s="7" t="s">
        <v>19</v>
      </c>
      <c r="H12" s="7">
        <v>1222</v>
      </c>
      <c r="I12" s="7">
        <v>103</v>
      </c>
      <c r="J12" s="7">
        <v>485</v>
      </c>
      <c r="K12" s="7">
        <v>349</v>
      </c>
      <c r="L12" s="7">
        <v>70</v>
      </c>
      <c r="M12" s="7">
        <v>215</v>
      </c>
      <c r="N12" s="7">
        <v>47</v>
      </c>
      <c r="O12" s="7">
        <v>3</v>
      </c>
      <c r="P12" s="7" t="s">
        <v>17</v>
      </c>
      <c r="Q12" s="7" t="s">
        <v>194</v>
      </c>
      <c r="R12" s="7" t="s">
        <v>193</v>
      </c>
    </row>
    <row r="13" spans="1:18" x14ac:dyDescent="0.2">
      <c r="A13" s="7" t="s">
        <v>21</v>
      </c>
      <c r="B13" s="7" t="s">
        <v>20</v>
      </c>
      <c r="C13" s="7" t="s">
        <v>20</v>
      </c>
      <c r="D13" s="9">
        <v>166001000026</v>
      </c>
      <c r="E13" s="7" t="s">
        <v>32</v>
      </c>
      <c r="F13" s="7" t="s">
        <v>18</v>
      </c>
      <c r="G13" s="7" t="s">
        <v>19</v>
      </c>
      <c r="H13" s="7">
        <v>1126</v>
      </c>
      <c r="I13" s="7">
        <v>69</v>
      </c>
      <c r="J13" s="7">
        <v>341</v>
      </c>
      <c r="K13" s="7">
        <v>523</v>
      </c>
      <c r="L13" s="7">
        <v>193</v>
      </c>
      <c r="M13" s="7">
        <v>0</v>
      </c>
      <c r="N13" s="7">
        <v>60</v>
      </c>
      <c r="O13" s="7">
        <v>3</v>
      </c>
      <c r="P13" s="7" t="s">
        <v>17</v>
      </c>
      <c r="Q13" s="7" t="s">
        <v>194</v>
      </c>
      <c r="R13" s="7" t="s">
        <v>193</v>
      </c>
    </row>
    <row r="14" spans="1:18" x14ac:dyDescent="0.2">
      <c r="A14" s="7" t="s">
        <v>21</v>
      </c>
      <c r="B14" s="7" t="s">
        <v>20</v>
      </c>
      <c r="C14" s="7" t="s">
        <v>20</v>
      </c>
      <c r="D14" s="9">
        <v>266001001752</v>
      </c>
      <c r="E14" s="7" t="s">
        <v>33</v>
      </c>
      <c r="F14" s="7" t="s">
        <v>18</v>
      </c>
      <c r="G14" s="7" t="s">
        <v>34</v>
      </c>
      <c r="H14" s="7">
        <v>1090</v>
      </c>
      <c r="I14" s="7">
        <v>89</v>
      </c>
      <c r="J14" s="7">
        <v>445</v>
      </c>
      <c r="K14" s="7">
        <v>353</v>
      </c>
      <c r="L14" s="7">
        <v>134</v>
      </c>
      <c r="M14" s="7">
        <v>69</v>
      </c>
      <c r="N14" s="7">
        <v>48</v>
      </c>
      <c r="O14" s="7">
        <v>3</v>
      </c>
      <c r="P14" s="7" t="s">
        <v>17</v>
      </c>
      <c r="Q14" s="7" t="s">
        <v>194</v>
      </c>
      <c r="R14" s="7" t="s">
        <v>193</v>
      </c>
    </row>
    <row r="15" spans="1:18" x14ac:dyDescent="0.2">
      <c r="A15" s="7" t="s">
        <v>21</v>
      </c>
      <c r="B15" s="7" t="s">
        <v>20</v>
      </c>
      <c r="C15" s="7" t="s">
        <v>20</v>
      </c>
      <c r="D15" s="9">
        <v>166001002339</v>
      </c>
      <c r="E15" s="7" t="s">
        <v>35</v>
      </c>
      <c r="F15" s="7" t="s">
        <v>18</v>
      </c>
      <c r="G15" s="7" t="s">
        <v>19</v>
      </c>
      <c r="H15" s="7">
        <v>1082</v>
      </c>
      <c r="I15" s="7">
        <v>46</v>
      </c>
      <c r="J15" s="7">
        <v>340</v>
      </c>
      <c r="K15" s="7">
        <v>440</v>
      </c>
      <c r="L15" s="7">
        <v>256</v>
      </c>
      <c r="M15" s="7">
        <v>0</v>
      </c>
      <c r="N15" s="7">
        <v>73</v>
      </c>
      <c r="O15" s="7">
        <v>4</v>
      </c>
      <c r="P15" s="7" t="s">
        <v>17</v>
      </c>
      <c r="Q15" s="7" t="s">
        <v>194</v>
      </c>
      <c r="R15" s="7" t="s">
        <v>193</v>
      </c>
    </row>
    <row r="16" spans="1:18" x14ac:dyDescent="0.2">
      <c r="A16" s="7" t="s">
        <v>21</v>
      </c>
      <c r="B16" s="7" t="s">
        <v>20</v>
      </c>
      <c r="C16" s="7" t="s">
        <v>20</v>
      </c>
      <c r="D16" s="9">
        <v>166001003505</v>
      </c>
      <c r="E16" s="7" t="s">
        <v>36</v>
      </c>
      <c r="F16" s="7" t="s">
        <v>18</v>
      </c>
      <c r="G16" s="7" t="s">
        <v>19</v>
      </c>
      <c r="H16" s="7">
        <v>1074</v>
      </c>
      <c r="I16" s="7">
        <v>40</v>
      </c>
      <c r="J16" s="7">
        <v>428</v>
      </c>
      <c r="K16" s="7">
        <v>412</v>
      </c>
      <c r="L16" s="7">
        <v>194</v>
      </c>
      <c r="M16" s="7">
        <v>0</v>
      </c>
      <c r="N16" s="7">
        <v>43</v>
      </c>
      <c r="O16" s="7">
        <v>3</v>
      </c>
      <c r="P16" s="7" t="s">
        <v>17</v>
      </c>
      <c r="Q16" s="7" t="s">
        <v>194</v>
      </c>
      <c r="R16" s="7" t="s">
        <v>193</v>
      </c>
    </row>
    <row r="17" spans="1:18" x14ac:dyDescent="0.2">
      <c r="A17" s="7" t="s">
        <v>21</v>
      </c>
      <c r="B17" s="7" t="s">
        <v>20</v>
      </c>
      <c r="C17" s="7" t="s">
        <v>20</v>
      </c>
      <c r="D17" s="9">
        <v>166001000069</v>
      </c>
      <c r="E17" s="7" t="s">
        <v>37</v>
      </c>
      <c r="F17" s="7" t="s">
        <v>18</v>
      </c>
      <c r="G17" s="7" t="s">
        <v>19</v>
      </c>
      <c r="H17" s="7">
        <v>1058</v>
      </c>
      <c r="I17" s="7">
        <v>45</v>
      </c>
      <c r="J17" s="7">
        <v>352</v>
      </c>
      <c r="K17" s="7">
        <v>402</v>
      </c>
      <c r="L17" s="7">
        <v>116</v>
      </c>
      <c r="M17" s="7">
        <v>143</v>
      </c>
      <c r="N17" s="7">
        <v>48</v>
      </c>
      <c r="O17" s="7">
        <v>2</v>
      </c>
      <c r="P17" s="7" t="s">
        <v>17</v>
      </c>
      <c r="Q17" s="7" t="s">
        <v>194</v>
      </c>
      <c r="R17" s="7" t="s">
        <v>193</v>
      </c>
    </row>
    <row r="18" spans="1:18" x14ac:dyDescent="0.2">
      <c r="A18" s="7" t="s">
        <v>21</v>
      </c>
      <c r="B18" s="7" t="s">
        <v>20</v>
      </c>
      <c r="C18" s="7" t="s">
        <v>20</v>
      </c>
      <c r="D18" s="9">
        <v>166001000875</v>
      </c>
      <c r="E18" s="7" t="s">
        <v>38</v>
      </c>
      <c r="F18" s="7" t="s">
        <v>18</v>
      </c>
      <c r="G18" s="7" t="s">
        <v>19</v>
      </c>
      <c r="H18" s="7">
        <v>1040</v>
      </c>
      <c r="I18" s="7">
        <v>39</v>
      </c>
      <c r="J18" s="7">
        <v>321</v>
      </c>
      <c r="K18" s="7">
        <v>398</v>
      </c>
      <c r="L18" s="7">
        <v>142</v>
      </c>
      <c r="M18" s="7">
        <v>140</v>
      </c>
      <c r="N18" s="7">
        <v>49</v>
      </c>
      <c r="O18" s="7">
        <v>3</v>
      </c>
      <c r="P18" s="7" t="s">
        <v>17</v>
      </c>
      <c r="Q18" s="7" t="s">
        <v>194</v>
      </c>
      <c r="R18" s="7" t="s">
        <v>193</v>
      </c>
    </row>
    <row r="19" spans="1:18" x14ac:dyDescent="0.2">
      <c r="A19" s="7" t="s">
        <v>21</v>
      </c>
      <c r="B19" s="7" t="s">
        <v>20</v>
      </c>
      <c r="C19" s="7" t="s">
        <v>20</v>
      </c>
      <c r="D19" s="9">
        <v>166001800473</v>
      </c>
      <c r="E19" s="7" t="s">
        <v>39</v>
      </c>
      <c r="F19" s="7" t="s">
        <v>18</v>
      </c>
      <c r="G19" s="7" t="s">
        <v>19</v>
      </c>
      <c r="H19" s="7">
        <v>1035</v>
      </c>
      <c r="I19" s="7">
        <v>145</v>
      </c>
      <c r="J19" s="7">
        <v>890</v>
      </c>
      <c r="K19" s="7">
        <v>0</v>
      </c>
      <c r="L19" s="7">
        <v>0</v>
      </c>
      <c r="M19" s="7">
        <v>0</v>
      </c>
      <c r="N19" s="7"/>
      <c r="O19" s="7"/>
      <c r="P19" s="7" t="s">
        <v>17</v>
      </c>
      <c r="Q19" s="7" t="s">
        <v>194</v>
      </c>
      <c r="R19" s="7" t="s">
        <v>193</v>
      </c>
    </row>
    <row r="20" spans="1:18" x14ac:dyDescent="0.2">
      <c r="A20" s="7" t="s">
        <v>21</v>
      </c>
      <c r="B20" s="7" t="s">
        <v>20</v>
      </c>
      <c r="C20" s="7" t="s">
        <v>20</v>
      </c>
      <c r="D20" s="9">
        <v>166001000735</v>
      </c>
      <c r="E20" s="7" t="s">
        <v>40</v>
      </c>
      <c r="F20" s="7" t="s">
        <v>18</v>
      </c>
      <c r="G20" s="7" t="s">
        <v>19</v>
      </c>
      <c r="H20" s="7">
        <v>1014</v>
      </c>
      <c r="I20" s="7">
        <v>157</v>
      </c>
      <c r="J20" s="7">
        <v>528</v>
      </c>
      <c r="K20" s="7">
        <v>254</v>
      </c>
      <c r="L20" s="7">
        <v>75</v>
      </c>
      <c r="M20" s="7">
        <v>0</v>
      </c>
      <c r="N20" s="7">
        <v>44</v>
      </c>
      <c r="O20" s="7">
        <v>3</v>
      </c>
      <c r="P20" s="7" t="s">
        <v>17</v>
      </c>
      <c r="Q20" s="7" t="s">
        <v>194</v>
      </c>
      <c r="R20" s="7" t="s">
        <v>193</v>
      </c>
    </row>
    <row r="21" spans="1:18" x14ac:dyDescent="0.2">
      <c r="A21" s="7" t="s">
        <v>21</v>
      </c>
      <c r="B21" s="7" t="s">
        <v>20</v>
      </c>
      <c r="C21" s="7" t="s">
        <v>20</v>
      </c>
      <c r="D21" s="9">
        <v>166001000476</v>
      </c>
      <c r="E21" s="7" t="s">
        <v>41</v>
      </c>
      <c r="F21" s="7" t="s">
        <v>18</v>
      </c>
      <c r="G21" s="7" t="s">
        <v>19</v>
      </c>
      <c r="H21" s="7">
        <v>1009</v>
      </c>
      <c r="I21" s="7">
        <v>114</v>
      </c>
      <c r="J21" s="7">
        <v>397</v>
      </c>
      <c r="K21" s="7">
        <v>380</v>
      </c>
      <c r="L21" s="7">
        <v>118</v>
      </c>
      <c r="M21" s="7">
        <v>0</v>
      </c>
      <c r="N21" s="7">
        <v>50</v>
      </c>
      <c r="O21" s="7">
        <v>3</v>
      </c>
      <c r="P21" s="7" t="s">
        <v>17</v>
      </c>
      <c r="Q21" s="7" t="s">
        <v>194</v>
      </c>
      <c r="R21" s="7" t="s">
        <v>193</v>
      </c>
    </row>
    <row r="22" spans="1:18" x14ac:dyDescent="0.2">
      <c r="A22" s="7" t="s">
        <v>21</v>
      </c>
      <c r="B22" s="7" t="s">
        <v>20</v>
      </c>
      <c r="C22" s="7" t="s">
        <v>20</v>
      </c>
      <c r="D22" s="9">
        <v>166001004471</v>
      </c>
      <c r="E22" s="7" t="s">
        <v>42</v>
      </c>
      <c r="F22" s="7" t="s">
        <v>18</v>
      </c>
      <c r="G22" s="7" t="s">
        <v>19</v>
      </c>
      <c r="H22" s="7">
        <v>940</v>
      </c>
      <c r="I22" s="7">
        <v>99</v>
      </c>
      <c r="J22" s="7">
        <v>440</v>
      </c>
      <c r="K22" s="7">
        <v>306</v>
      </c>
      <c r="L22" s="7">
        <v>70</v>
      </c>
      <c r="M22" s="7">
        <v>25</v>
      </c>
      <c r="N22" s="7">
        <v>49</v>
      </c>
      <c r="O22" s="7">
        <v>3</v>
      </c>
      <c r="P22" s="7" t="s">
        <v>17</v>
      </c>
      <c r="Q22" s="7" t="s">
        <v>194</v>
      </c>
      <c r="R22" s="7" t="s">
        <v>193</v>
      </c>
    </row>
    <row r="23" spans="1:18" x14ac:dyDescent="0.2">
      <c r="A23" s="7" t="s">
        <v>21</v>
      </c>
      <c r="B23" s="7" t="s">
        <v>20</v>
      </c>
      <c r="C23" s="7" t="s">
        <v>20</v>
      </c>
      <c r="D23" s="9">
        <v>166001001898</v>
      </c>
      <c r="E23" s="7" t="s">
        <v>43</v>
      </c>
      <c r="F23" s="7" t="s">
        <v>18</v>
      </c>
      <c r="G23" s="7" t="s">
        <v>19</v>
      </c>
      <c r="H23" s="7">
        <v>895</v>
      </c>
      <c r="I23" s="7">
        <v>33</v>
      </c>
      <c r="J23" s="7">
        <v>327</v>
      </c>
      <c r="K23" s="7">
        <v>356</v>
      </c>
      <c r="L23" s="7">
        <v>179</v>
      </c>
      <c r="M23" s="7">
        <v>0</v>
      </c>
      <c r="N23" s="7">
        <v>46</v>
      </c>
      <c r="O23" s="7">
        <v>3</v>
      </c>
      <c r="P23" s="7" t="s">
        <v>17</v>
      </c>
      <c r="Q23" s="7" t="s">
        <v>194</v>
      </c>
      <c r="R23" s="7" t="s">
        <v>193</v>
      </c>
    </row>
    <row r="24" spans="1:18" x14ac:dyDescent="0.2">
      <c r="A24" s="7" t="s">
        <v>21</v>
      </c>
      <c r="B24" s="7" t="s">
        <v>20</v>
      </c>
      <c r="C24" s="7" t="s">
        <v>20</v>
      </c>
      <c r="D24" s="9">
        <v>266001001094</v>
      </c>
      <c r="E24" s="7" t="s">
        <v>44</v>
      </c>
      <c r="F24" s="7" t="s">
        <v>18</v>
      </c>
      <c r="G24" s="7" t="s">
        <v>19</v>
      </c>
      <c r="H24" s="7">
        <v>889</v>
      </c>
      <c r="I24" s="7">
        <v>30</v>
      </c>
      <c r="J24" s="7">
        <v>417</v>
      </c>
      <c r="K24" s="7">
        <v>317</v>
      </c>
      <c r="L24" s="7">
        <v>125</v>
      </c>
      <c r="M24" s="7">
        <v>0</v>
      </c>
      <c r="N24" s="7">
        <v>39</v>
      </c>
      <c r="O24" s="7">
        <v>4</v>
      </c>
      <c r="P24" s="7" t="s">
        <v>17</v>
      </c>
      <c r="Q24" s="7" t="s">
        <v>194</v>
      </c>
      <c r="R24" s="7" t="s">
        <v>193</v>
      </c>
    </row>
    <row r="25" spans="1:18" x14ac:dyDescent="0.2">
      <c r="A25" s="7" t="s">
        <v>21</v>
      </c>
      <c r="B25" s="7" t="s">
        <v>20</v>
      </c>
      <c r="C25" s="7" t="s">
        <v>20</v>
      </c>
      <c r="D25" s="9">
        <v>266001004913</v>
      </c>
      <c r="E25" s="7" t="s">
        <v>45</v>
      </c>
      <c r="F25" s="7" t="s">
        <v>18</v>
      </c>
      <c r="G25" s="7" t="s">
        <v>34</v>
      </c>
      <c r="H25" s="7">
        <v>869</v>
      </c>
      <c r="I25" s="7">
        <v>36</v>
      </c>
      <c r="J25" s="7">
        <v>177</v>
      </c>
      <c r="K25" s="7">
        <v>361</v>
      </c>
      <c r="L25" s="7">
        <v>167</v>
      </c>
      <c r="M25" s="7">
        <v>128</v>
      </c>
      <c r="N25" s="7">
        <v>54</v>
      </c>
      <c r="O25" s="7">
        <v>4</v>
      </c>
      <c r="P25" s="7" t="s">
        <v>17</v>
      </c>
      <c r="Q25" s="7" t="s">
        <v>194</v>
      </c>
      <c r="R25" s="7" t="s">
        <v>193</v>
      </c>
    </row>
    <row r="26" spans="1:18" x14ac:dyDescent="0.2">
      <c r="A26" s="7" t="s">
        <v>21</v>
      </c>
      <c r="B26" s="7" t="s">
        <v>20</v>
      </c>
      <c r="C26" s="7" t="s">
        <v>20</v>
      </c>
      <c r="D26" s="9">
        <v>166001800465</v>
      </c>
      <c r="E26" s="7" t="s">
        <v>46</v>
      </c>
      <c r="F26" s="7" t="s">
        <v>18</v>
      </c>
      <c r="G26" s="7" t="s">
        <v>19</v>
      </c>
      <c r="H26" s="7">
        <v>800</v>
      </c>
      <c r="I26" s="7">
        <v>77</v>
      </c>
      <c r="J26" s="7">
        <v>336</v>
      </c>
      <c r="K26" s="7">
        <v>285</v>
      </c>
      <c r="L26" s="7">
        <v>102</v>
      </c>
      <c r="M26" s="7">
        <v>0</v>
      </c>
      <c r="N26" s="7"/>
      <c r="O26" s="7"/>
      <c r="P26" s="7" t="s">
        <v>17</v>
      </c>
      <c r="Q26" s="7" t="s">
        <v>194</v>
      </c>
      <c r="R26" s="7" t="s">
        <v>193</v>
      </c>
    </row>
    <row r="27" spans="1:18" x14ac:dyDescent="0.2">
      <c r="A27" s="7" t="s">
        <v>21</v>
      </c>
      <c r="B27" s="7" t="s">
        <v>20</v>
      </c>
      <c r="C27" s="7" t="s">
        <v>20</v>
      </c>
      <c r="D27" s="9">
        <v>166001003980</v>
      </c>
      <c r="E27" s="7" t="s">
        <v>47</v>
      </c>
      <c r="F27" s="7" t="s">
        <v>18</v>
      </c>
      <c r="G27" s="7" t="s">
        <v>19</v>
      </c>
      <c r="H27" s="7">
        <v>757</v>
      </c>
      <c r="I27" s="7">
        <v>28</v>
      </c>
      <c r="J27" s="7">
        <v>195</v>
      </c>
      <c r="K27" s="7">
        <v>235</v>
      </c>
      <c r="L27" s="7">
        <v>101</v>
      </c>
      <c r="M27" s="7">
        <v>198</v>
      </c>
      <c r="N27" s="7">
        <v>23</v>
      </c>
      <c r="O27" s="7">
        <v>3</v>
      </c>
      <c r="P27" s="7" t="s">
        <v>17</v>
      </c>
      <c r="Q27" s="7" t="s">
        <v>194</v>
      </c>
      <c r="R27" s="7" t="s">
        <v>193</v>
      </c>
    </row>
    <row r="28" spans="1:18" x14ac:dyDescent="0.2">
      <c r="A28" s="7" t="s">
        <v>21</v>
      </c>
      <c r="B28" s="7" t="s">
        <v>20</v>
      </c>
      <c r="C28" s="7" t="s">
        <v>20</v>
      </c>
      <c r="D28" s="9">
        <v>166001000646</v>
      </c>
      <c r="E28" s="7" t="s">
        <v>48</v>
      </c>
      <c r="F28" s="7" t="s">
        <v>18</v>
      </c>
      <c r="G28" s="7" t="s">
        <v>19</v>
      </c>
      <c r="H28" s="7">
        <v>747</v>
      </c>
      <c r="I28" s="7">
        <v>40</v>
      </c>
      <c r="J28" s="7">
        <v>237</v>
      </c>
      <c r="K28" s="7">
        <v>296</v>
      </c>
      <c r="L28" s="7">
        <v>174</v>
      </c>
      <c r="M28" s="7">
        <v>0</v>
      </c>
      <c r="N28" s="7">
        <v>45</v>
      </c>
      <c r="O28" s="7">
        <v>2</v>
      </c>
      <c r="P28" s="7" t="s">
        <v>17</v>
      </c>
      <c r="Q28" s="7" t="s">
        <v>194</v>
      </c>
      <c r="R28" s="7" t="s">
        <v>193</v>
      </c>
    </row>
    <row r="29" spans="1:18" x14ac:dyDescent="0.2">
      <c r="A29" s="7" t="s">
        <v>21</v>
      </c>
      <c r="B29" s="7" t="s">
        <v>20</v>
      </c>
      <c r="C29" s="7" t="s">
        <v>20</v>
      </c>
      <c r="D29" s="9">
        <v>166001007136</v>
      </c>
      <c r="E29" s="7" t="s">
        <v>49</v>
      </c>
      <c r="F29" s="7" t="s">
        <v>18</v>
      </c>
      <c r="G29" s="7" t="s">
        <v>19</v>
      </c>
      <c r="H29" s="7">
        <v>729</v>
      </c>
      <c r="I29" s="7">
        <v>36</v>
      </c>
      <c r="J29" s="7">
        <v>256</v>
      </c>
      <c r="K29" s="7">
        <v>312</v>
      </c>
      <c r="L29" s="7">
        <v>125</v>
      </c>
      <c r="M29" s="7">
        <v>0</v>
      </c>
      <c r="N29" s="7"/>
      <c r="O29" s="7"/>
      <c r="P29" s="7" t="s">
        <v>17</v>
      </c>
      <c r="Q29" s="7" t="s">
        <v>194</v>
      </c>
      <c r="R29" s="7" t="s">
        <v>193</v>
      </c>
    </row>
    <row r="30" spans="1:18" x14ac:dyDescent="0.2">
      <c r="A30" s="7" t="s">
        <v>21</v>
      </c>
      <c r="B30" s="7" t="s">
        <v>20</v>
      </c>
      <c r="C30" s="7" t="s">
        <v>20</v>
      </c>
      <c r="D30" s="9">
        <v>166001000310</v>
      </c>
      <c r="E30" s="7" t="s">
        <v>50</v>
      </c>
      <c r="F30" s="7" t="s">
        <v>18</v>
      </c>
      <c r="G30" s="7" t="s">
        <v>19</v>
      </c>
      <c r="H30" s="7">
        <v>712</v>
      </c>
      <c r="I30" s="7">
        <v>45</v>
      </c>
      <c r="J30" s="7">
        <v>297</v>
      </c>
      <c r="K30" s="7">
        <v>264</v>
      </c>
      <c r="L30" s="7">
        <v>106</v>
      </c>
      <c r="M30" s="7">
        <v>0</v>
      </c>
      <c r="N30" s="7">
        <v>35</v>
      </c>
      <c r="O30" s="7">
        <v>2</v>
      </c>
      <c r="P30" s="7" t="s">
        <v>17</v>
      </c>
      <c r="Q30" s="7" t="s">
        <v>194</v>
      </c>
      <c r="R30" s="7" t="s">
        <v>193</v>
      </c>
    </row>
    <row r="31" spans="1:18" x14ac:dyDescent="0.2">
      <c r="A31" s="7" t="s">
        <v>21</v>
      </c>
      <c r="B31" s="7" t="s">
        <v>20</v>
      </c>
      <c r="C31" s="7" t="s">
        <v>20</v>
      </c>
      <c r="D31" s="9">
        <v>166001000077</v>
      </c>
      <c r="E31" s="7" t="s">
        <v>51</v>
      </c>
      <c r="F31" s="7" t="s">
        <v>18</v>
      </c>
      <c r="G31" s="7" t="s">
        <v>19</v>
      </c>
      <c r="H31" s="7">
        <v>702</v>
      </c>
      <c r="I31" s="7">
        <v>60</v>
      </c>
      <c r="J31" s="7">
        <v>309</v>
      </c>
      <c r="K31" s="7">
        <v>273</v>
      </c>
      <c r="L31" s="7">
        <v>60</v>
      </c>
      <c r="M31" s="7">
        <v>0</v>
      </c>
      <c r="N31" s="7">
        <v>31</v>
      </c>
      <c r="O31" s="7">
        <v>2</v>
      </c>
      <c r="P31" s="7" t="s">
        <v>17</v>
      </c>
      <c r="Q31" s="7" t="s">
        <v>194</v>
      </c>
      <c r="R31" s="7" t="s">
        <v>193</v>
      </c>
    </row>
    <row r="32" spans="1:18" x14ac:dyDescent="0.2">
      <c r="A32" s="7" t="s">
        <v>21</v>
      </c>
      <c r="B32" s="7" t="s">
        <v>20</v>
      </c>
      <c r="C32" s="7" t="s">
        <v>20</v>
      </c>
      <c r="D32" s="9">
        <v>266001005201</v>
      </c>
      <c r="E32" s="7" t="s">
        <v>52</v>
      </c>
      <c r="F32" s="7" t="s">
        <v>18</v>
      </c>
      <c r="G32" s="7" t="s">
        <v>34</v>
      </c>
      <c r="H32" s="7">
        <v>689</v>
      </c>
      <c r="I32" s="7">
        <v>29</v>
      </c>
      <c r="J32" s="7">
        <v>242</v>
      </c>
      <c r="K32" s="7">
        <v>307</v>
      </c>
      <c r="L32" s="7">
        <v>111</v>
      </c>
      <c r="M32" s="7">
        <v>0</v>
      </c>
      <c r="N32" s="7">
        <v>52</v>
      </c>
      <c r="O32" s="7">
        <v>3</v>
      </c>
      <c r="P32" s="7" t="s">
        <v>17</v>
      </c>
      <c r="Q32" s="7" t="s">
        <v>194</v>
      </c>
      <c r="R32" s="7" t="s">
        <v>193</v>
      </c>
    </row>
    <row r="33" spans="1:18" x14ac:dyDescent="0.2">
      <c r="A33" s="7" t="s">
        <v>21</v>
      </c>
      <c r="B33" s="7" t="s">
        <v>20</v>
      </c>
      <c r="C33" s="7" t="s">
        <v>20</v>
      </c>
      <c r="D33" s="9">
        <v>166001000794</v>
      </c>
      <c r="E33" s="7" t="s">
        <v>53</v>
      </c>
      <c r="F33" s="7" t="s">
        <v>18</v>
      </c>
      <c r="G33" s="7" t="s">
        <v>19</v>
      </c>
      <c r="H33" s="7">
        <v>687</v>
      </c>
      <c r="I33" s="7">
        <v>48</v>
      </c>
      <c r="J33" s="7">
        <v>281</v>
      </c>
      <c r="K33" s="7">
        <v>254</v>
      </c>
      <c r="L33" s="7">
        <v>104</v>
      </c>
      <c r="M33" s="7">
        <v>0</v>
      </c>
      <c r="N33" s="7">
        <v>31</v>
      </c>
      <c r="O33" s="7">
        <v>2</v>
      </c>
      <c r="P33" s="7" t="s">
        <v>17</v>
      </c>
      <c r="Q33" s="7" t="s">
        <v>194</v>
      </c>
      <c r="R33" s="7" t="s">
        <v>193</v>
      </c>
    </row>
    <row r="34" spans="1:18" x14ac:dyDescent="0.2">
      <c r="A34" s="7" t="s">
        <v>21</v>
      </c>
      <c r="B34" s="7" t="s">
        <v>20</v>
      </c>
      <c r="C34" s="7" t="s">
        <v>20</v>
      </c>
      <c r="D34" s="9">
        <v>166001004617</v>
      </c>
      <c r="E34" s="7" t="s">
        <v>54</v>
      </c>
      <c r="F34" s="7" t="s">
        <v>18</v>
      </c>
      <c r="G34" s="7" t="s">
        <v>19</v>
      </c>
      <c r="H34" s="7">
        <v>663</v>
      </c>
      <c r="I34" s="7">
        <v>65</v>
      </c>
      <c r="J34" s="7">
        <v>318</v>
      </c>
      <c r="K34" s="7">
        <v>216</v>
      </c>
      <c r="L34" s="7">
        <v>64</v>
      </c>
      <c r="M34" s="7">
        <v>0</v>
      </c>
      <c r="N34" s="7">
        <v>36</v>
      </c>
      <c r="O34" s="7">
        <v>2</v>
      </c>
      <c r="P34" s="7" t="s">
        <v>17</v>
      </c>
      <c r="Q34" s="7" t="s">
        <v>194</v>
      </c>
      <c r="R34" s="7" t="s">
        <v>193</v>
      </c>
    </row>
    <row r="35" spans="1:18" x14ac:dyDescent="0.2">
      <c r="A35" s="7" t="s">
        <v>21</v>
      </c>
      <c r="B35" s="7" t="s">
        <v>20</v>
      </c>
      <c r="C35" s="7" t="s">
        <v>20</v>
      </c>
      <c r="D35" s="9">
        <v>166001006091</v>
      </c>
      <c r="E35" s="7" t="s">
        <v>55</v>
      </c>
      <c r="F35" s="7" t="s">
        <v>18</v>
      </c>
      <c r="G35" s="7" t="s">
        <v>19</v>
      </c>
      <c r="H35" s="7">
        <v>646</v>
      </c>
      <c r="I35" s="7">
        <v>53</v>
      </c>
      <c r="J35" s="7">
        <v>142</v>
      </c>
      <c r="K35" s="7">
        <v>297</v>
      </c>
      <c r="L35" s="7">
        <v>141</v>
      </c>
      <c r="M35" s="7">
        <v>13</v>
      </c>
      <c r="N35" s="7">
        <v>42</v>
      </c>
      <c r="O35" s="7">
        <v>3</v>
      </c>
      <c r="P35" s="7" t="s">
        <v>17</v>
      </c>
      <c r="Q35" s="7" t="s">
        <v>194</v>
      </c>
      <c r="R35" s="7" t="s">
        <v>193</v>
      </c>
    </row>
    <row r="36" spans="1:18" x14ac:dyDescent="0.2">
      <c r="A36" s="7" t="s">
        <v>21</v>
      </c>
      <c r="B36" s="7" t="s">
        <v>20</v>
      </c>
      <c r="C36" s="7" t="s">
        <v>20</v>
      </c>
      <c r="D36" s="9">
        <v>166001006059</v>
      </c>
      <c r="E36" s="7" t="s">
        <v>56</v>
      </c>
      <c r="F36" s="7" t="s">
        <v>18</v>
      </c>
      <c r="G36" s="7" t="s">
        <v>19</v>
      </c>
      <c r="H36" s="7">
        <v>641</v>
      </c>
      <c r="I36" s="7">
        <v>0</v>
      </c>
      <c r="J36" s="7">
        <v>0</v>
      </c>
      <c r="K36" s="7">
        <v>367</v>
      </c>
      <c r="L36" s="7">
        <v>180</v>
      </c>
      <c r="M36" s="7">
        <v>94</v>
      </c>
      <c r="N36" s="7">
        <v>59</v>
      </c>
      <c r="O36" s="7">
        <v>4</v>
      </c>
      <c r="P36" s="7" t="s">
        <v>17</v>
      </c>
      <c r="Q36" s="7" t="s">
        <v>194</v>
      </c>
      <c r="R36" s="7" t="s">
        <v>193</v>
      </c>
    </row>
    <row r="37" spans="1:18" x14ac:dyDescent="0.2">
      <c r="A37" s="7" t="s">
        <v>21</v>
      </c>
      <c r="B37" s="7" t="s">
        <v>20</v>
      </c>
      <c r="C37" s="7" t="s">
        <v>20</v>
      </c>
      <c r="D37" s="9">
        <v>166001000891</v>
      </c>
      <c r="E37" s="7" t="s">
        <v>57</v>
      </c>
      <c r="F37" s="7" t="s">
        <v>18</v>
      </c>
      <c r="G37" s="7" t="s">
        <v>19</v>
      </c>
      <c r="H37" s="7">
        <v>635</v>
      </c>
      <c r="I37" s="7">
        <v>41</v>
      </c>
      <c r="J37" s="7">
        <v>107</v>
      </c>
      <c r="K37" s="7">
        <v>329</v>
      </c>
      <c r="L37" s="7">
        <v>158</v>
      </c>
      <c r="M37" s="7">
        <v>0</v>
      </c>
      <c r="N37" s="7">
        <v>50</v>
      </c>
      <c r="O37" s="7">
        <v>3</v>
      </c>
      <c r="P37" s="7" t="s">
        <v>17</v>
      </c>
      <c r="Q37" s="7" t="s">
        <v>194</v>
      </c>
      <c r="R37" s="7" t="s">
        <v>193</v>
      </c>
    </row>
    <row r="38" spans="1:18" x14ac:dyDescent="0.2">
      <c r="A38" s="7" t="s">
        <v>21</v>
      </c>
      <c r="B38" s="7" t="s">
        <v>20</v>
      </c>
      <c r="C38" s="7" t="s">
        <v>20</v>
      </c>
      <c r="D38" s="9">
        <v>166001000565</v>
      </c>
      <c r="E38" s="7" t="s">
        <v>58</v>
      </c>
      <c r="F38" s="7" t="s">
        <v>18</v>
      </c>
      <c r="G38" s="7" t="s">
        <v>19</v>
      </c>
      <c r="H38" s="7">
        <v>621</v>
      </c>
      <c r="I38" s="7">
        <v>31</v>
      </c>
      <c r="J38" s="7">
        <v>238</v>
      </c>
      <c r="K38" s="7">
        <v>242</v>
      </c>
      <c r="L38" s="7">
        <v>110</v>
      </c>
      <c r="M38" s="7">
        <v>0</v>
      </c>
      <c r="N38" s="7"/>
      <c r="O38" s="7"/>
      <c r="P38" s="7" t="s">
        <v>17</v>
      </c>
      <c r="Q38" s="7" t="s">
        <v>194</v>
      </c>
      <c r="R38" s="7" t="s">
        <v>193</v>
      </c>
    </row>
    <row r="39" spans="1:18" x14ac:dyDescent="0.2">
      <c r="A39" s="7" t="s">
        <v>21</v>
      </c>
      <c r="B39" s="7" t="s">
        <v>20</v>
      </c>
      <c r="C39" s="7" t="s">
        <v>20</v>
      </c>
      <c r="D39" s="9">
        <v>166001006067</v>
      </c>
      <c r="E39" s="7" t="s">
        <v>59</v>
      </c>
      <c r="F39" s="7" t="s">
        <v>18</v>
      </c>
      <c r="G39" s="7" t="s">
        <v>19</v>
      </c>
      <c r="H39" s="7">
        <v>593</v>
      </c>
      <c r="I39" s="7">
        <v>63</v>
      </c>
      <c r="J39" s="7">
        <v>267</v>
      </c>
      <c r="K39" s="7">
        <v>188</v>
      </c>
      <c r="L39" s="7">
        <v>75</v>
      </c>
      <c r="M39" s="7">
        <v>0</v>
      </c>
      <c r="N39" s="7">
        <v>35</v>
      </c>
      <c r="O39" s="7">
        <v>2</v>
      </c>
      <c r="P39" s="7" t="s">
        <v>17</v>
      </c>
      <c r="Q39" s="7" t="s">
        <v>194</v>
      </c>
      <c r="R39" s="7" t="s">
        <v>193</v>
      </c>
    </row>
    <row r="40" spans="1:18" x14ac:dyDescent="0.2">
      <c r="A40" s="7" t="s">
        <v>21</v>
      </c>
      <c r="B40" s="7" t="s">
        <v>20</v>
      </c>
      <c r="C40" s="7" t="s">
        <v>20</v>
      </c>
      <c r="D40" s="9">
        <v>266001001205</v>
      </c>
      <c r="E40" s="7" t="s">
        <v>60</v>
      </c>
      <c r="F40" s="7" t="s">
        <v>18</v>
      </c>
      <c r="G40" s="7" t="s">
        <v>19</v>
      </c>
      <c r="H40" s="7">
        <v>573</v>
      </c>
      <c r="I40" s="7">
        <v>99</v>
      </c>
      <c r="J40" s="7">
        <v>446</v>
      </c>
      <c r="K40" s="7">
        <v>0</v>
      </c>
      <c r="L40" s="7">
        <v>0</v>
      </c>
      <c r="M40" s="7">
        <v>28</v>
      </c>
      <c r="N40" s="7">
        <v>1</v>
      </c>
      <c r="O40" s="7"/>
      <c r="P40" s="7" t="s">
        <v>17</v>
      </c>
      <c r="Q40" s="7" t="s">
        <v>194</v>
      </c>
      <c r="R40" s="7" t="s">
        <v>193</v>
      </c>
    </row>
    <row r="41" spans="1:18" x14ac:dyDescent="0.2">
      <c r="A41" s="7" t="s">
        <v>21</v>
      </c>
      <c r="B41" s="7" t="s">
        <v>20</v>
      </c>
      <c r="C41" s="7" t="s">
        <v>20</v>
      </c>
      <c r="D41" s="9">
        <v>166001000620</v>
      </c>
      <c r="E41" s="7" t="s">
        <v>61</v>
      </c>
      <c r="F41" s="7" t="s">
        <v>18</v>
      </c>
      <c r="G41" s="7" t="s">
        <v>19</v>
      </c>
      <c r="H41" s="7">
        <v>564</v>
      </c>
      <c r="I41" s="7">
        <v>0</v>
      </c>
      <c r="J41" s="7">
        <v>0</v>
      </c>
      <c r="K41" s="7">
        <v>376</v>
      </c>
      <c r="L41" s="7">
        <v>188</v>
      </c>
      <c r="M41" s="7">
        <v>0</v>
      </c>
      <c r="N41" s="7">
        <v>38</v>
      </c>
      <c r="O41" s="7">
        <v>3</v>
      </c>
      <c r="P41" s="7" t="s">
        <v>17</v>
      </c>
      <c r="Q41" s="7" t="s">
        <v>194</v>
      </c>
      <c r="R41" s="7" t="s">
        <v>193</v>
      </c>
    </row>
    <row r="42" spans="1:18" x14ac:dyDescent="0.2">
      <c r="A42" s="7" t="s">
        <v>21</v>
      </c>
      <c r="B42" s="7" t="s">
        <v>20</v>
      </c>
      <c r="C42" s="7" t="s">
        <v>20</v>
      </c>
      <c r="D42" s="9">
        <v>166001000484</v>
      </c>
      <c r="E42" s="7" t="s">
        <v>62</v>
      </c>
      <c r="F42" s="7" t="s">
        <v>18</v>
      </c>
      <c r="G42" s="7" t="s">
        <v>19</v>
      </c>
      <c r="H42" s="7">
        <v>556</v>
      </c>
      <c r="I42" s="7">
        <v>15</v>
      </c>
      <c r="J42" s="7">
        <v>161</v>
      </c>
      <c r="K42" s="7">
        <v>269</v>
      </c>
      <c r="L42" s="7">
        <v>111</v>
      </c>
      <c r="M42" s="7">
        <v>0</v>
      </c>
      <c r="N42" s="7">
        <v>24</v>
      </c>
      <c r="O42" s="7">
        <v>2</v>
      </c>
      <c r="P42" s="7" t="s">
        <v>17</v>
      </c>
      <c r="Q42" s="7" t="s">
        <v>194</v>
      </c>
      <c r="R42" s="7" t="s">
        <v>193</v>
      </c>
    </row>
    <row r="43" spans="1:18" x14ac:dyDescent="0.2">
      <c r="A43" s="7" t="s">
        <v>21</v>
      </c>
      <c r="B43" s="7" t="s">
        <v>20</v>
      </c>
      <c r="C43" s="7" t="s">
        <v>20</v>
      </c>
      <c r="D43" s="9">
        <v>266001005928</v>
      </c>
      <c r="E43" s="7" t="s">
        <v>63</v>
      </c>
      <c r="F43" s="7" t="s">
        <v>18</v>
      </c>
      <c r="G43" s="7" t="s">
        <v>34</v>
      </c>
      <c r="H43" s="7">
        <v>553</v>
      </c>
      <c r="I43" s="7">
        <v>17</v>
      </c>
      <c r="J43" s="7">
        <v>150</v>
      </c>
      <c r="K43" s="7">
        <v>287</v>
      </c>
      <c r="L43" s="7">
        <v>99</v>
      </c>
      <c r="M43" s="7">
        <v>0</v>
      </c>
      <c r="N43" s="7">
        <v>41</v>
      </c>
      <c r="O43" s="7">
        <v>3</v>
      </c>
      <c r="P43" s="7" t="s">
        <v>17</v>
      </c>
      <c r="Q43" s="7" t="s">
        <v>194</v>
      </c>
      <c r="R43" s="7" t="s">
        <v>193</v>
      </c>
    </row>
    <row r="44" spans="1:18" x14ac:dyDescent="0.2">
      <c r="A44" s="7" t="s">
        <v>21</v>
      </c>
      <c r="B44" s="7" t="s">
        <v>20</v>
      </c>
      <c r="C44" s="7" t="s">
        <v>20</v>
      </c>
      <c r="D44" s="9">
        <v>166001000654</v>
      </c>
      <c r="E44" t="s">
        <v>211</v>
      </c>
      <c r="F44" s="7" t="s">
        <v>18</v>
      </c>
      <c r="G44" s="7" t="s">
        <v>19</v>
      </c>
      <c r="H44" s="7">
        <v>531</v>
      </c>
      <c r="I44" s="7">
        <v>11</v>
      </c>
      <c r="J44" s="7">
        <v>77</v>
      </c>
      <c r="K44" s="7">
        <v>263</v>
      </c>
      <c r="L44" s="7">
        <v>79</v>
      </c>
      <c r="M44" s="7">
        <v>101</v>
      </c>
      <c r="N44" s="7">
        <v>53</v>
      </c>
      <c r="O44" s="7">
        <v>3</v>
      </c>
      <c r="P44" s="7" t="s">
        <v>17</v>
      </c>
      <c r="Q44" s="7" t="s">
        <v>194</v>
      </c>
      <c r="R44" s="7" t="s">
        <v>193</v>
      </c>
    </row>
    <row r="45" spans="1:18" x14ac:dyDescent="0.2">
      <c r="A45" s="7" t="s">
        <v>21</v>
      </c>
      <c r="B45" s="7" t="s">
        <v>20</v>
      </c>
      <c r="C45" s="7" t="s">
        <v>20</v>
      </c>
      <c r="D45" s="9">
        <v>266001002481</v>
      </c>
      <c r="E45" s="7" t="s">
        <v>65</v>
      </c>
      <c r="F45" s="7" t="s">
        <v>18</v>
      </c>
      <c r="G45" s="7" t="s">
        <v>34</v>
      </c>
      <c r="H45" s="7">
        <v>530</v>
      </c>
      <c r="I45" s="7">
        <v>0</v>
      </c>
      <c r="J45" s="7">
        <v>0</v>
      </c>
      <c r="K45" s="7">
        <v>335</v>
      </c>
      <c r="L45" s="7">
        <v>97</v>
      </c>
      <c r="M45" s="7">
        <v>98</v>
      </c>
      <c r="N45" s="7">
        <v>30</v>
      </c>
      <c r="O45" s="7">
        <v>2</v>
      </c>
      <c r="P45" s="7" t="s">
        <v>17</v>
      </c>
      <c r="Q45" s="7" t="s">
        <v>194</v>
      </c>
      <c r="R45" s="7" t="s">
        <v>193</v>
      </c>
    </row>
    <row r="46" spans="1:18" x14ac:dyDescent="0.2">
      <c r="A46" s="7" t="s">
        <v>21</v>
      </c>
      <c r="B46" s="7" t="s">
        <v>20</v>
      </c>
      <c r="C46" s="7" t="s">
        <v>20</v>
      </c>
      <c r="D46" s="9">
        <v>166001000301</v>
      </c>
      <c r="E46" s="7" t="s">
        <v>66</v>
      </c>
      <c r="F46" s="7" t="s">
        <v>18</v>
      </c>
      <c r="G46" s="7" t="s">
        <v>19</v>
      </c>
      <c r="H46" s="7">
        <v>527</v>
      </c>
      <c r="I46" s="7">
        <v>18</v>
      </c>
      <c r="J46" s="7">
        <v>161</v>
      </c>
      <c r="K46" s="7">
        <v>255</v>
      </c>
      <c r="L46" s="7">
        <v>70</v>
      </c>
      <c r="M46" s="7">
        <v>23</v>
      </c>
      <c r="N46" s="7">
        <v>27</v>
      </c>
      <c r="O46" s="7">
        <v>2</v>
      </c>
      <c r="P46" s="7" t="s">
        <v>17</v>
      </c>
      <c r="Q46" s="7" t="s">
        <v>194</v>
      </c>
      <c r="R46" s="7" t="s">
        <v>193</v>
      </c>
    </row>
    <row r="47" spans="1:18" x14ac:dyDescent="0.2">
      <c r="A47" s="7" t="s">
        <v>21</v>
      </c>
      <c r="B47" s="7" t="s">
        <v>20</v>
      </c>
      <c r="C47" s="7" t="s">
        <v>20</v>
      </c>
      <c r="D47" s="9">
        <v>166001004447</v>
      </c>
      <c r="E47" s="7" t="s">
        <v>67</v>
      </c>
      <c r="F47" s="7" t="s">
        <v>18</v>
      </c>
      <c r="G47" s="7" t="s">
        <v>19</v>
      </c>
      <c r="H47" s="7">
        <v>495</v>
      </c>
      <c r="I47" s="7">
        <v>42</v>
      </c>
      <c r="J47" s="7">
        <v>188</v>
      </c>
      <c r="K47" s="7">
        <v>249</v>
      </c>
      <c r="L47" s="7">
        <v>0</v>
      </c>
      <c r="M47" s="7">
        <v>16</v>
      </c>
      <c r="N47" s="7"/>
      <c r="O47" s="7"/>
      <c r="P47" s="7" t="s">
        <v>17</v>
      </c>
      <c r="Q47" s="7" t="s">
        <v>194</v>
      </c>
      <c r="R47" s="7" t="s">
        <v>193</v>
      </c>
    </row>
    <row r="48" spans="1:18" x14ac:dyDescent="0.2">
      <c r="A48" s="7" t="s">
        <v>21</v>
      </c>
      <c r="B48" s="7" t="s">
        <v>20</v>
      </c>
      <c r="C48" s="7" t="s">
        <v>20</v>
      </c>
      <c r="D48" s="9">
        <v>266001005499</v>
      </c>
      <c r="E48" s="7" t="s">
        <v>68</v>
      </c>
      <c r="F48" s="7" t="s">
        <v>18</v>
      </c>
      <c r="G48" s="7" t="s">
        <v>34</v>
      </c>
      <c r="H48" s="7">
        <v>495</v>
      </c>
      <c r="I48" s="7">
        <v>0</v>
      </c>
      <c r="J48" s="7">
        <v>0</v>
      </c>
      <c r="K48" s="7">
        <v>365</v>
      </c>
      <c r="L48" s="7">
        <v>81</v>
      </c>
      <c r="M48" s="7">
        <v>49</v>
      </c>
      <c r="N48" s="7">
        <v>50</v>
      </c>
      <c r="O48" s="7">
        <v>3</v>
      </c>
      <c r="P48" s="7" t="s">
        <v>17</v>
      </c>
      <c r="Q48" s="7" t="s">
        <v>194</v>
      </c>
      <c r="R48" s="7" t="s">
        <v>193</v>
      </c>
    </row>
    <row r="49" spans="1:18" x14ac:dyDescent="0.2">
      <c r="A49" s="7" t="s">
        <v>21</v>
      </c>
      <c r="B49" s="7" t="s">
        <v>20</v>
      </c>
      <c r="C49" s="7" t="s">
        <v>20</v>
      </c>
      <c r="D49" s="9">
        <v>166001800073</v>
      </c>
      <c r="E49" s="7" t="s">
        <v>69</v>
      </c>
      <c r="F49" s="7" t="s">
        <v>18</v>
      </c>
      <c r="G49" s="7" t="s">
        <v>19</v>
      </c>
      <c r="H49" s="7">
        <v>472</v>
      </c>
      <c r="I49" s="7">
        <v>29</v>
      </c>
      <c r="J49" s="7">
        <v>186</v>
      </c>
      <c r="K49" s="7">
        <v>179</v>
      </c>
      <c r="L49" s="7">
        <v>78</v>
      </c>
      <c r="M49" s="7">
        <v>0</v>
      </c>
      <c r="N49" s="7">
        <v>35</v>
      </c>
      <c r="O49" s="7">
        <v>2</v>
      </c>
      <c r="P49" s="7" t="s">
        <v>17</v>
      </c>
      <c r="Q49" s="7" t="s">
        <v>194</v>
      </c>
      <c r="R49" s="7" t="s">
        <v>193</v>
      </c>
    </row>
    <row r="50" spans="1:18" x14ac:dyDescent="0.2">
      <c r="A50" s="7" t="s">
        <v>21</v>
      </c>
      <c r="B50" s="7" t="s">
        <v>20</v>
      </c>
      <c r="C50" s="7" t="s">
        <v>20</v>
      </c>
      <c r="D50" s="9">
        <v>166001000859</v>
      </c>
      <c r="E50" s="7" t="s">
        <v>70</v>
      </c>
      <c r="F50" s="7" t="s">
        <v>18</v>
      </c>
      <c r="G50" s="7" t="s">
        <v>19</v>
      </c>
      <c r="H50" s="7">
        <v>469</v>
      </c>
      <c r="I50" s="7">
        <v>31</v>
      </c>
      <c r="J50" s="7">
        <v>169</v>
      </c>
      <c r="K50" s="7">
        <v>203</v>
      </c>
      <c r="L50" s="7">
        <v>66</v>
      </c>
      <c r="M50" s="7">
        <v>0</v>
      </c>
      <c r="N50" s="7">
        <v>37</v>
      </c>
      <c r="O50" s="7">
        <v>2</v>
      </c>
      <c r="P50" s="7" t="s">
        <v>17</v>
      </c>
      <c r="Q50" s="7" t="s">
        <v>194</v>
      </c>
      <c r="R50" s="7" t="s">
        <v>193</v>
      </c>
    </row>
    <row r="51" spans="1:18" x14ac:dyDescent="0.2">
      <c r="A51" s="7" t="s">
        <v>21</v>
      </c>
      <c r="B51" s="7" t="s">
        <v>20</v>
      </c>
      <c r="C51" s="7" t="s">
        <v>20</v>
      </c>
      <c r="D51" s="9">
        <v>166001000450</v>
      </c>
      <c r="E51" s="7" t="s">
        <v>71</v>
      </c>
      <c r="F51" s="7" t="s">
        <v>18</v>
      </c>
      <c r="G51" s="7" t="s">
        <v>19</v>
      </c>
      <c r="H51" s="7">
        <v>468</v>
      </c>
      <c r="I51" s="7">
        <v>22</v>
      </c>
      <c r="J51" s="7">
        <v>123</v>
      </c>
      <c r="K51" s="7">
        <v>248</v>
      </c>
      <c r="L51" s="7">
        <v>75</v>
      </c>
      <c r="M51" s="7">
        <v>0</v>
      </c>
      <c r="N51" s="7">
        <v>33</v>
      </c>
      <c r="O51" s="7">
        <v>2</v>
      </c>
      <c r="P51" s="7" t="s">
        <v>17</v>
      </c>
      <c r="Q51" s="7" t="s">
        <v>194</v>
      </c>
      <c r="R51" s="7" t="s">
        <v>193</v>
      </c>
    </row>
    <row r="52" spans="1:18" x14ac:dyDescent="0.2">
      <c r="A52" s="7" t="s">
        <v>21</v>
      </c>
      <c r="B52" s="7" t="s">
        <v>20</v>
      </c>
      <c r="C52" s="7" t="s">
        <v>20</v>
      </c>
      <c r="D52" s="9">
        <v>166001006733</v>
      </c>
      <c r="E52" s="7" t="s">
        <v>72</v>
      </c>
      <c r="F52" s="7" t="s">
        <v>18</v>
      </c>
      <c r="G52" s="7" t="s">
        <v>19</v>
      </c>
      <c r="H52" s="7">
        <v>456</v>
      </c>
      <c r="I52" s="7">
        <v>64</v>
      </c>
      <c r="J52" s="7">
        <v>294</v>
      </c>
      <c r="K52" s="7">
        <v>0</v>
      </c>
      <c r="L52" s="7">
        <v>0</v>
      </c>
      <c r="M52" s="7">
        <v>98</v>
      </c>
      <c r="N52" s="7"/>
      <c r="O52" s="7"/>
      <c r="P52" s="7" t="s">
        <v>17</v>
      </c>
      <c r="Q52" s="7" t="s">
        <v>194</v>
      </c>
      <c r="R52" s="7" t="s">
        <v>193</v>
      </c>
    </row>
    <row r="53" spans="1:18" x14ac:dyDescent="0.2">
      <c r="A53" s="7" t="s">
        <v>21</v>
      </c>
      <c r="B53" s="7" t="s">
        <v>20</v>
      </c>
      <c r="C53" s="7" t="s">
        <v>20</v>
      </c>
      <c r="D53" s="9">
        <v>166001000913</v>
      </c>
      <c r="E53" s="7" t="s">
        <v>73</v>
      </c>
      <c r="F53" s="7" t="s">
        <v>18</v>
      </c>
      <c r="G53" s="7" t="s">
        <v>19</v>
      </c>
      <c r="H53" s="7">
        <v>447</v>
      </c>
      <c r="I53" s="7">
        <v>0</v>
      </c>
      <c r="J53" s="7">
        <v>50</v>
      </c>
      <c r="K53" s="7">
        <v>247</v>
      </c>
      <c r="L53" s="7">
        <v>150</v>
      </c>
      <c r="M53" s="7">
        <v>0</v>
      </c>
      <c r="N53" s="7">
        <v>31</v>
      </c>
      <c r="O53" s="7">
        <v>2</v>
      </c>
      <c r="P53" s="7" t="s">
        <v>17</v>
      </c>
      <c r="Q53" s="7" t="s">
        <v>194</v>
      </c>
      <c r="R53" s="7" t="s">
        <v>193</v>
      </c>
    </row>
    <row r="54" spans="1:18" x14ac:dyDescent="0.2">
      <c r="A54" s="7" t="s">
        <v>21</v>
      </c>
      <c r="B54" s="7" t="s">
        <v>20</v>
      </c>
      <c r="C54" s="7" t="s">
        <v>20</v>
      </c>
      <c r="D54" s="9">
        <v>166001000395</v>
      </c>
      <c r="E54" s="7" t="s">
        <v>74</v>
      </c>
      <c r="F54" s="7" t="s">
        <v>18</v>
      </c>
      <c r="G54" s="7" t="s">
        <v>19</v>
      </c>
      <c r="H54" s="7">
        <v>443</v>
      </c>
      <c r="I54" s="7">
        <v>43</v>
      </c>
      <c r="J54" s="7">
        <v>177</v>
      </c>
      <c r="K54" s="7">
        <v>145</v>
      </c>
      <c r="L54" s="7">
        <v>46</v>
      </c>
      <c r="M54" s="7">
        <v>32</v>
      </c>
      <c r="N54" s="7">
        <v>26</v>
      </c>
      <c r="O54" s="7">
        <v>1</v>
      </c>
      <c r="P54" s="7" t="s">
        <v>17</v>
      </c>
      <c r="Q54" s="7" t="s">
        <v>194</v>
      </c>
      <c r="R54" s="7" t="s">
        <v>193</v>
      </c>
    </row>
    <row r="55" spans="1:18" x14ac:dyDescent="0.2">
      <c r="A55" s="7" t="s">
        <v>21</v>
      </c>
      <c r="B55" s="7" t="s">
        <v>20</v>
      </c>
      <c r="C55" s="7" t="s">
        <v>20</v>
      </c>
      <c r="D55" s="9">
        <v>166001002746</v>
      </c>
      <c r="E55" s="7" t="s">
        <v>75</v>
      </c>
      <c r="F55" s="7" t="s">
        <v>18</v>
      </c>
      <c r="G55" s="7" t="s">
        <v>19</v>
      </c>
      <c r="H55" s="7">
        <v>372</v>
      </c>
      <c r="I55" s="7">
        <v>35</v>
      </c>
      <c r="J55" s="7">
        <v>185</v>
      </c>
      <c r="K55" s="7">
        <v>110</v>
      </c>
      <c r="L55" s="7">
        <v>42</v>
      </c>
      <c r="M55" s="7">
        <v>0</v>
      </c>
      <c r="N55" s="7">
        <v>21</v>
      </c>
      <c r="O55" s="7">
        <v>1</v>
      </c>
      <c r="P55" s="7" t="s">
        <v>17</v>
      </c>
      <c r="Q55" s="7" t="s">
        <v>194</v>
      </c>
      <c r="R55" s="7" t="s">
        <v>193</v>
      </c>
    </row>
    <row r="56" spans="1:18" x14ac:dyDescent="0.2">
      <c r="A56" s="7" t="s">
        <v>21</v>
      </c>
      <c r="B56" s="7" t="s">
        <v>20</v>
      </c>
      <c r="C56" s="7" t="s">
        <v>20</v>
      </c>
      <c r="D56" s="9">
        <v>266001002244</v>
      </c>
      <c r="E56" s="7" t="s">
        <v>76</v>
      </c>
      <c r="F56" s="7" t="s">
        <v>18</v>
      </c>
      <c r="G56" s="7" t="s">
        <v>34</v>
      </c>
      <c r="H56" s="7">
        <v>354</v>
      </c>
      <c r="I56" s="7">
        <v>0</v>
      </c>
      <c r="J56" s="7">
        <v>0</v>
      </c>
      <c r="K56" s="7">
        <v>220</v>
      </c>
      <c r="L56" s="7">
        <v>70</v>
      </c>
      <c r="M56" s="7">
        <v>64</v>
      </c>
      <c r="N56" s="7">
        <v>31</v>
      </c>
      <c r="O56" s="7">
        <v>3</v>
      </c>
      <c r="P56" s="7" t="s">
        <v>17</v>
      </c>
      <c r="Q56" s="7" t="s">
        <v>194</v>
      </c>
      <c r="R56" s="7" t="s">
        <v>193</v>
      </c>
    </row>
    <row r="57" spans="1:18" x14ac:dyDescent="0.2">
      <c r="A57" s="7" t="s">
        <v>21</v>
      </c>
      <c r="B57" s="7" t="s">
        <v>20</v>
      </c>
      <c r="C57" s="7" t="s">
        <v>20</v>
      </c>
      <c r="D57" s="9">
        <v>166001003700</v>
      </c>
      <c r="E57" s="7" t="s">
        <v>77</v>
      </c>
      <c r="F57" s="7" t="s">
        <v>18</v>
      </c>
      <c r="G57" s="7" t="s">
        <v>19</v>
      </c>
      <c r="H57" s="7">
        <v>354</v>
      </c>
      <c r="I57" s="7">
        <v>42</v>
      </c>
      <c r="J57" s="7">
        <v>312</v>
      </c>
      <c r="K57" s="7">
        <v>0</v>
      </c>
      <c r="L57" s="7">
        <v>0</v>
      </c>
      <c r="M57" s="7">
        <v>0</v>
      </c>
      <c r="N57" s="7">
        <v>5</v>
      </c>
      <c r="O57" s="7"/>
      <c r="P57" s="7" t="s">
        <v>17</v>
      </c>
      <c r="Q57" s="7" t="s">
        <v>194</v>
      </c>
      <c r="R57" s="7" t="s">
        <v>193</v>
      </c>
    </row>
    <row r="58" spans="1:18" x14ac:dyDescent="0.2">
      <c r="A58" s="7" t="s">
        <v>21</v>
      </c>
      <c r="B58" s="7" t="s">
        <v>20</v>
      </c>
      <c r="C58" s="7" t="s">
        <v>20</v>
      </c>
      <c r="D58" s="9">
        <v>166001002886</v>
      </c>
      <c r="E58" s="7" t="s">
        <v>78</v>
      </c>
      <c r="F58" s="7" t="s">
        <v>18</v>
      </c>
      <c r="G58" s="7" t="s">
        <v>19</v>
      </c>
      <c r="H58" s="7">
        <v>334</v>
      </c>
      <c r="I58" s="7">
        <v>16</v>
      </c>
      <c r="J58" s="7">
        <v>112</v>
      </c>
      <c r="K58" s="7">
        <v>145</v>
      </c>
      <c r="L58" s="7">
        <v>61</v>
      </c>
      <c r="M58" s="7">
        <v>0</v>
      </c>
      <c r="N58" s="7">
        <v>25</v>
      </c>
      <c r="O58" s="7">
        <v>1</v>
      </c>
      <c r="P58" s="7" t="s">
        <v>17</v>
      </c>
      <c r="Q58" s="7" t="s">
        <v>194</v>
      </c>
      <c r="R58" s="7" t="s">
        <v>193</v>
      </c>
    </row>
    <row r="59" spans="1:18" x14ac:dyDescent="0.2">
      <c r="A59" s="7" t="s">
        <v>21</v>
      </c>
      <c r="B59" s="7" t="s">
        <v>20</v>
      </c>
      <c r="C59" s="7" t="s">
        <v>20</v>
      </c>
      <c r="D59" s="9">
        <v>266001001175</v>
      </c>
      <c r="E59" s="7" t="s">
        <v>79</v>
      </c>
      <c r="F59" s="7" t="s">
        <v>18</v>
      </c>
      <c r="G59" s="7" t="s">
        <v>34</v>
      </c>
      <c r="H59" s="7">
        <v>333</v>
      </c>
      <c r="I59" s="7">
        <v>40</v>
      </c>
      <c r="J59" s="7">
        <v>226</v>
      </c>
      <c r="K59" s="7">
        <v>0</v>
      </c>
      <c r="L59" s="7">
        <v>0</v>
      </c>
      <c r="M59" s="7">
        <v>67</v>
      </c>
      <c r="N59" s="7">
        <v>1</v>
      </c>
      <c r="O59" s="7"/>
      <c r="P59" s="7" t="s">
        <v>17</v>
      </c>
      <c r="Q59" s="7" t="s">
        <v>194</v>
      </c>
      <c r="R59" s="7" t="s">
        <v>193</v>
      </c>
    </row>
    <row r="60" spans="1:18" x14ac:dyDescent="0.2">
      <c r="A60" s="7" t="s">
        <v>21</v>
      </c>
      <c r="B60" s="7" t="s">
        <v>20</v>
      </c>
      <c r="C60" s="7" t="s">
        <v>20</v>
      </c>
      <c r="D60" s="9">
        <v>166001000573</v>
      </c>
      <c r="E60" s="7" t="s">
        <v>80</v>
      </c>
      <c r="F60" s="7" t="s">
        <v>18</v>
      </c>
      <c r="G60" s="7" t="s">
        <v>19</v>
      </c>
      <c r="H60" s="7">
        <v>332</v>
      </c>
      <c r="I60" s="7">
        <v>89</v>
      </c>
      <c r="J60" s="7">
        <v>243</v>
      </c>
      <c r="K60" s="7">
        <v>0</v>
      </c>
      <c r="L60" s="7">
        <v>0</v>
      </c>
      <c r="M60" s="7">
        <v>0</v>
      </c>
      <c r="N60" s="7"/>
      <c r="O60" s="7"/>
      <c r="P60" s="7" t="s">
        <v>17</v>
      </c>
      <c r="Q60" s="7" t="s">
        <v>194</v>
      </c>
      <c r="R60" s="7" t="s">
        <v>193</v>
      </c>
    </row>
    <row r="61" spans="1:18" x14ac:dyDescent="0.2">
      <c r="A61" s="7" t="s">
        <v>21</v>
      </c>
      <c r="B61" s="7" t="s">
        <v>20</v>
      </c>
      <c r="C61" s="7" t="s">
        <v>20</v>
      </c>
      <c r="D61" s="9">
        <v>166001000786</v>
      </c>
      <c r="E61" s="7" t="s">
        <v>81</v>
      </c>
      <c r="F61" s="7" t="s">
        <v>18</v>
      </c>
      <c r="G61" s="7" t="s">
        <v>19</v>
      </c>
      <c r="H61" s="7">
        <v>330</v>
      </c>
      <c r="I61" s="7">
        <v>38</v>
      </c>
      <c r="J61" s="7">
        <v>125</v>
      </c>
      <c r="K61" s="7">
        <v>59</v>
      </c>
      <c r="L61" s="7">
        <v>108</v>
      </c>
      <c r="M61" s="7">
        <v>0</v>
      </c>
      <c r="N61" s="7">
        <v>54</v>
      </c>
      <c r="O61" s="7">
        <v>3</v>
      </c>
      <c r="P61" s="7" t="s">
        <v>17</v>
      </c>
      <c r="Q61" s="7" t="s">
        <v>194</v>
      </c>
      <c r="R61" s="7" t="s">
        <v>193</v>
      </c>
    </row>
    <row r="62" spans="1:18" x14ac:dyDescent="0.2">
      <c r="A62" s="7" t="s">
        <v>21</v>
      </c>
      <c r="B62" s="7" t="s">
        <v>20</v>
      </c>
      <c r="C62" s="7" t="s">
        <v>20</v>
      </c>
      <c r="D62" s="9">
        <v>166001002215</v>
      </c>
      <c r="E62" s="7" t="s">
        <v>82</v>
      </c>
      <c r="F62" s="7" t="s">
        <v>18</v>
      </c>
      <c r="G62" s="7" t="s">
        <v>19</v>
      </c>
      <c r="H62" s="7">
        <v>322</v>
      </c>
      <c r="I62" s="7">
        <v>38</v>
      </c>
      <c r="J62" s="7">
        <v>284</v>
      </c>
      <c r="K62" s="7">
        <v>0</v>
      </c>
      <c r="L62" s="7">
        <v>0</v>
      </c>
      <c r="M62" s="7">
        <v>0</v>
      </c>
      <c r="N62" s="7"/>
      <c r="O62" s="7"/>
      <c r="P62" s="7" t="s">
        <v>17</v>
      </c>
      <c r="Q62" s="7" t="s">
        <v>194</v>
      </c>
      <c r="R62" s="7" t="s">
        <v>193</v>
      </c>
    </row>
    <row r="63" spans="1:18" x14ac:dyDescent="0.2">
      <c r="A63" s="7" t="s">
        <v>21</v>
      </c>
      <c r="B63" s="7" t="s">
        <v>20</v>
      </c>
      <c r="C63" s="7" t="s">
        <v>20</v>
      </c>
      <c r="D63" s="9">
        <v>166001006458</v>
      </c>
      <c r="E63" s="7" t="s">
        <v>83</v>
      </c>
      <c r="F63" s="7" t="s">
        <v>18</v>
      </c>
      <c r="G63" s="7" t="s">
        <v>19</v>
      </c>
      <c r="H63" s="7">
        <v>307</v>
      </c>
      <c r="I63" s="7">
        <v>0</v>
      </c>
      <c r="J63" s="7">
        <v>69</v>
      </c>
      <c r="K63" s="7">
        <v>158</v>
      </c>
      <c r="L63" s="7">
        <v>80</v>
      </c>
      <c r="M63" s="7">
        <v>0</v>
      </c>
      <c r="N63" s="7">
        <v>30</v>
      </c>
      <c r="O63" s="7">
        <v>1</v>
      </c>
      <c r="P63" s="7" t="s">
        <v>17</v>
      </c>
      <c r="Q63" s="7" t="s">
        <v>194</v>
      </c>
      <c r="R63" s="7" t="s">
        <v>193</v>
      </c>
    </row>
    <row r="64" spans="1:18" x14ac:dyDescent="0.2">
      <c r="A64" s="7" t="s">
        <v>21</v>
      </c>
      <c r="B64" s="7" t="s">
        <v>20</v>
      </c>
      <c r="C64" s="7" t="s">
        <v>20</v>
      </c>
      <c r="D64" s="9">
        <v>166001004978</v>
      </c>
      <c r="E64" s="7" t="s">
        <v>64</v>
      </c>
      <c r="F64" s="7" t="s">
        <v>18</v>
      </c>
      <c r="G64" s="7" t="s">
        <v>19</v>
      </c>
      <c r="H64" s="7">
        <v>300</v>
      </c>
      <c r="I64" s="7">
        <v>51</v>
      </c>
      <c r="J64" s="7">
        <v>249</v>
      </c>
      <c r="K64" s="7">
        <v>0</v>
      </c>
      <c r="L64" s="7">
        <v>0</v>
      </c>
      <c r="M64" s="7">
        <v>0</v>
      </c>
      <c r="N64" s="7"/>
      <c r="O64" s="7"/>
      <c r="P64" s="7" t="s">
        <v>17</v>
      </c>
      <c r="Q64" s="7" t="s">
        <v>194</v>
      </c>
      <c r="R64" s="7" t="s">
        <v>193</v>
      </c>
    </row>
    <row r="65" spans="1:18" x14ac:dyDescent="0.2">
      <c r="A65" s="7" t="s">
        <v>21</v>
      </c>
      <c r="B65" s="7" t="s">
        <v>20</v>
      </c>
      <c r="C65" s="7" t="s">
        <v>20</v>
      </c>
      <c r="D65" s="9">
        <v>266001002228</v>
      </c>
      <c r="E65" s="7" t="s">
        <v>84</v>
      </c>
      <c r="F65" s="7" t="s">
        <v>18</v>
      </c>
      <c r="G65" s="7" t="s">
        <v>34</v>
      </c>
      <c r="H65" s="7">
        <v>282</v>
      </c>
      <c r="I65" s="7">
        <v>48</v>
      </c>
      <c r="J65" s="7">
        <v>234</v>
      </c>
      <c r="K65" s="7">
        <v>0</v>
      </c>
      <c r="L65" s="7">
        <v>0</v>
      </c>
      <c r="M65" s="7">
        <v>0</v>
      </c>
      <c r="N65" s="7">
        <v>16</v>
      </c>
      <c r="O65" s="7">
        <v>1</v>
      </c>
      <c r="P65" s="7" t="s">
        <v>17</v>
      </c>
      <c r="Q65" s="7" t="s">
        <v>194</v>
      </c>
      <c r="R65" s="7" t="s">
        <v>193</v>
      </c>
    </row>
    <row r="66" spans="1:18" x14ac:dyDescent="0.2">
      <c r="A66" s="7" t="s">
        <v>21</v>
      </c>
      <c r="B66" s="7" t="s">
        <v>20</v>
      </c>
      <c r="C66" s="7" t="s">
        <v>20</v>
      </c>
      <c r="D66" s="9">
        <v>266001000411</v>
      </c>
      <c r="E66" s="7" t="s">
        <v>85</v>
      </c>
      <c r="F66" s="7" t="s">
        <v>18</v>
      </c>
      <c r="G66" s="7" t="s">
        <v>34</v>
      </c>
      <c r="H66" s="7">
        <v>276</v>
      </c>
      <c r="I66" s="7">
        <v>0</v>
      </c>
      <c r="J66" s="7">
        <v>0</v>
      </c>
      <c r="K66" s="7">
        <v>195</v>
      </c>
      <c r="L66" s="7">
        <v>81</v>
      </c>
      <c r="M66" s="7">
        <v>0</v>
      </c>
      <c r="N66" s="7">
        <v>31</v>
      </c>
      <c r="O66" s="7">
        <v>3</v>
      </c>
      <c r="P66" s="7" t="s">
        <v>17</v>
      </c>
      <c r="Q66" s="7" t="s">
        <v>194</v>
      </c>
      <c r="R66" s="7" t="s">
        <v>193</v>
      </c>
    </row>
    <row r="67" spans="1:18" x14ac:dyDescent="0.2">
      <c r="A67" s="7" t="s">
        <v>21</v>
      </c>
      <c r="B67" s="7" t="s">
        <v>20</v>
      </c>
      <c r="C67" s="7" t="s">
        <v>20</v>
      </c>
      <c r="D67" s="9">
        <v>166001002924</v>
      </c>
      <c r="E67" s="7" t="s">
        <v>86</v>
      </c>
      <c r="F67" s="7" t="s">
        <v>18</v>
      </c>
      <c r="G67" s="7" t="s">
        <v>19</v>
      </c>
      <c r="H67" s="7">
        <v>270</v>
      </c>
      <c r="I67" s="7">
        <v>27</v>
      </c>
      <c r="J67" s="7">
        <v>89</v>
      </c>
      <c r="K67" s="7">
        <v>110</v>
      </c>
      <c r="L67" s="7">
        <v>44</v>
      </c>
      <c r="M67" s="7">
        <v>0</v>
      </c>
      <c r="N67" s="7">
        <v>21</v>
      </c>
      <c r="O67" s="7">
        <v>2</v>
      </c>
      <c r="P67" s="7" t="s">
        <v>17</v>
      </c>
      <c r="Q67" s="7" t="s">
        <v>194</v>
      </c>
      <c r="R67" s="7" t="s">
        <v>193</v>
      </c>
    </row>
    <row r="68" spans="1:18" x14ac:dyDescent="0.2">
      <c r="A68" s="7" t="s">
        <v>21</v>
      </c>
      <c r="B68" s="7" t="s">
        <v>20</v>
      </c>
      <c r="C68" s="7" t="s">
        <v>20</v>
      </c>
      <c r="D68" s="9">
        <v>266001001523</v>
      </c>
      <c r="E68" s="7" t="s">
        <v>87</v>
      </c>
      <c r="F68" s="7" t="s">
        <v>18</v>
      </c>
      <c r="G68" s="7" t="s">
        <v>34</v>
      </c>
      <c r="H68" s="7">
        <v>266</v>
      </c>
      <c r="I68" s="7">
        <v>44</v>
      </c>
      <c r="J68" s="7">
        <v>150</v>
      </c>
      <c r="K68" s="7">
        <v>0</v>
      </c>
      <c r="L68" s="7">
        <v>0</v>
      </c>
      <c r="M68" s="7">
        <v>72</v>
      </c>
      <c r="N68" s="7"/>
      <c r="O68" s="7"/>
      <c r="P68" s="7" t="s">
        <v>17</v>
      </c>
      <c r="Q68" s="7" t="s">
        <v>194</v>
      </c>
      <c r="R68" s="7" t="s">
        <v>193</v>
      </c>
    </row>
    <row r="69" spans="1:18" x14ac:dyDescent="0.2">
      <c r="A69" s="7" t="s">
        <v>21</v>
      </c>
      <c r="B69" s="7" t="s">
        <v>20</v>
      </c>
      <c r="C69" s="7" t="s">
        <v>20</v>
      </c>
      <c r="D69" s="9">
        <v>266001001558</v>
      </c>
      <c r="E69" s="7" t="s">
        <v>88</v>
      </c>
      <c r="F69" s="7" t="s">
        <v>18</v>
      </c>
      <c r="G69" s="7" t="s">
        <v>34</v>
      </c>
      <c r="H69" s="7">
        <v>265</v>
      </c>
      <c r="I69" s="7">
        <v>10</v>
      </c>
      <c r="J69" s="7">
        <v>81</v>
      </c>
      <c r="K69" s="7">
        <v>130</v>
      </c>
      <c r="L69" s="7">
        <v>44</v>
      </c>
      <c r="M69" s="7">
        <v>0</v>
      </c>
      <c r="N69" s="7">
        <v>21</v>
      </c>
      <c r="O69" s="7">
        <v>2</v>
      </c>
      <c r="P69" s="7" t="s">
        <v>17</v>
      </c>
      <c r="Q69" s="7" t="s">
        <v>194</v>
      </c>
      <c r="R69" s="7" t="s">
        <v>193</v>
      </c>
    </row>
    <row r="70" spans="1:18" x14ac:dyDescent="0.2">
      <c r="A70" s="7" t="s">
        <v>21</v>
      </c>
      <c r="B70" s="7" t="s">
        <v>20</v>
      </c>
      <c r="C70" s="7" t="s">
        <v>20</v>
      </c>
      <c r="D70" s="9">
        <v>266001001655</v>
      </c>
      <c r="E70" s="7" t="s">
        <v>89</v>
      </c>
      <c r="F70" s="7" t="s">
        <v>18</v>
      </c>
      <c r="G70" s="7" t="s">
        <v>34</v>
      </c>
      <c r="H70" s="7">
        <v>264</v>
      </c>
      <c r="I70" s="7">
        <v>48</v>
      </c>
      <c r="J70" s="7">
        <v>216</v>
      </c>
      <c r="K70" s="7">
        <v>0</v>
      </c>
      <c r="L70" s="7">
        <v>0</v>
      </c>
      <c r="M70" s="7">
        <v>0</v>
      </c>
      <c r="N70" s="7"/>
      <c r="O70" s="7"/>
      <c r="P70" s="7" t="s">
        <v>17</v>
      </c>
      <c r="Q70" s="7" t="s">
        <v>194</v>
      </c>
      <c r="R70" s="7" t="s">
        <v>193</v>
      </c>
    </row>
    <row r="71" spans="1:18" x14ac:dyDescent="0.2">
      <c r="A71" s="7" t="s">
        <v>21</v>
      </c>
      <c r="B71" s="7" t="s">
        <v>20</v>
      </c>
      <c r="C71" s="7" t="s">
        <v>20</v>
      </c>
      <c r="D71" s="9">
        <v>166001004641</v>
      </c>
      <c r="E71" s="7" t="s">
        <v>90</v>
      </c>
      <c r="F71" s="7" t="s">
        <v>18</v>
      </c>
      <c r="G71" s="7" t="s">
        <v>19</v>
      </c>
      <c r="H71" s="7">
        <v>246</v>
      </c>
      <c r="I71" s="7">
        <v>20</v>
      </c>
      <c r="J71" s="7">
        <v>112</v>
      </c>
      <c r="K71" s="7">
        <v>73</v>
      </c>
      <c r="L71" s="7">
        <v>0</v>
      </c>
      <c r="M71" s="7">
        <v>41</v>
      </c>
      <c r="N71" s="7">
        <v>52</v>
      </c>
      <c r="O71" s="7">
        <v>2</v>
      </c>
      <c r="P71" s="7" t="s">
        <v>17</v>
      </c>
      <c r="Q71" s="7" t="s">
        <v>194</v>
      </c>
      <c r="R71" s="7" t="s">
        <v>193</v>
      </c>
    </row>
    <row r="72" spans="1:18" x14ac:dyDescent="0.2">
      <c r="A72" s="7" t="s">
        <v>21</v>
      </c>
      <c r="B72" s="7" t="s">
        <v>20</v>
      </c>
      <c r="C72" s="7" t="s">
        <v>20</v>
      </c>
      <c r="D72" s="9">
        <v>166001002975</v>
      </c>
      <c r="E72" s="7" t="s">
        <v>91</v>
      </c>
      <c r="F72" s="7" t="s">
        <v>18</v>
      </c>
      <c r="G72" s="7" t="s">
        <v>19</v>
      </c>
      <c r="H72" s="7">
        <v>240</v>
      </c>
      <c r="I72" s="7">
        <v>49</v>
      </c>
      <c r="J72" s="7">
        <v>191</v>
      </c>
      <c r="K72" s="7">
        <v>0</v>
      </c>
      <c r="L72" s="7">
        <v>0</v>
      </c>
      <c r="M72" s="7">
        <v>0</v>
      </c>
      <c r="N72" s="7">
        <v>7</v>
      </c>
      <c r="O72" s="7"/>
      <c r="P72" s="7" t="s">
        <v>17</v>
      </c>
      <c r="Q72" s="7" t="s">
        <v>194</v>
      </c>
      <c r="R72" s="7" t="s">
        <v>193</v>
      </c>
    </row>
    <row r="73" spans="1:18" x14ac:dyDescent="0.2">
      <c r="A73" s="7" t="s">
        <v>21</v>
      </c>
      <c r="B73" s="7" t="s">
        <v>20</v>
      </c>
      <c r="C73" s="7" t="s">
        <v>20</v>
      </c>
      <c r="D73" s="9">
        <v>166001006725</v>
      </c>
      <c r="E73" s="7" t="s">
        <v>92</v>
      </c>
      <c r="F73" s="7" t="s">
        <v>18</v>
      </c>
      <c r="G73" s="7" t="s">
        <v>34</v>
      </c>
      <c r="H73" s="7">
        <v>236</v>
      </c>
      <c r="I73" s="7">
        <v>23</v>
      </c>
      <c r="J73" s="7">
        <v>213</v>
      </c>
      <c r="K73" s="7">
        <v>0</v>
      </c>
      <c r="L73" s="7">
        <v>0</v>
      </c>
      <c r="M73" s="7">
        <v>0</v>
      </c>
      <c r="N73" s="7"/>
      <c r="O73" s="7"/>
      <c r="P73" s="7" t="s">
        <v>17</v>
      </c>
      <c r="Q73" s="7" t="s">
        <v>194</v>
      </c>
      <c r="R73" s="7" t="s">
        <v>193</v>
      </c>
    </row>
    <row r="74" spans="1:18" x14ac:dyDescent="0.2">
      <c r="A74" s="7" t="s">
        <v>21</v>
      </c>
      <c r="B74" s="7" t="s">
        <v>20</v>
      </c>
      <c r="C74" s="7" t="s">
        <v>20</v>
      </c>
      <c r="D74" s="9">
        <v>266001004301</v>
      </c>
      <c r="E74" s="7" t="s">
        <v>93</v>
      </c>
      <c r="F74" s="7" t="s">
        <v>18</v>
      </c>
      <c r="G74" s="7" t="s">
        <v>34</v>
      </c>
      <c r="H74" s="7">
        <v>231</v>
      </c>
      <c r="I74" s="7">
        <v>0</v>
      </c>
      <c r="J74" s="7">
        <v>0</v>
      </c>
      <c r="K74" s="7">
        <v>184</v>
      </c>
      <c r="L74" s="7">
        <v>47</v>
      </c>
      <c r="M74" s="7">
        <v>0</v>
      </c>
      <c r="N74" s="7">
        <v>31</v>
      </c>
      <c r="O74" s="7">
        <v>3</v>
      </c>
      <c r="P74" s="7" t="s">
        <v>17</v>
      </c>
      <c r="Q74" s="7" t="s">
        <v>194</v>
      </c>
      <c r="R74" s="7" t="s">
        <v>193</v>
      </c>
    </row>
    <row r="75" spans="1:18" x14ac:dyDescent="0.2">
      <c r="A75" s="7" t="s">
        <v>21</v>
      </c>
      <c r="B75" s="7" t="s">
        <v>20</v>
      </c>
      <c r="C75" s="7" t="s">
        <v>20</v>
      </c>
      <c r="D75" s="9">
        <v>266001004654</v>
      </c>
      <c r="E75" s="7" t="s">
        <v>94</v>
      </c>
      <c r="F75" s="7" t="s">
        <v>18</v>
      </c>
      <c r="G75" s="7" t="s">
        <v>34</v>
      </c>
      <c r="H75" s="7">
        <v>231</v>
      </c>
      <c r="I75" s="7">
        <v>12</v>
      </c>
      <c r="J75" s="7">
        <v>104</v>
      </c>
      <c r="K75" s="7">
        <v>86</v>
      </c>
      <c r="L75" s="7">
        <v>29</v>
      </c>
      <c r="M75" s="7">
        <v>0</v>
      </c>
      <c r="N75" s="7">
        <v>18</v>
      </c>
      <c r="O75" s="7">
        <v>1</v>
      </c>
      <c r="P75" s="7" t="s">
        <v>17</v>
      </c>
      <c r="Q75" s="7" t="s">
        <v>194</v>
      </c>
      <c r="R75" s="7" t="s">
        <v>193</v>
      </c>
    </row>
    <row r="76" spans="1:18" x14ac:dyDescent="0.2">
      <c r="A76" s="7" t="s">
        <v>21</v>
      </c>
      <c r="B76" s="7" t="s">
        <v>20</v>
      </c>
      <c r="C76" s="7" t="s">
        <v>20</v>
      </c>
      <c r="D76" s="9">
        <v>266001004255</v>
      </c>
      <c r="E76" s="7" t="s">
        <v>95</v>
      </c>
      <c r="F76" s="7" t="s">
        <v>18</v>
      </c>
      <c r="G76" s="7" t="s">
        <v>34</v>
      </c>
      <c r="H76" s="7">
        <v>228</v>
      </c>
      <c r="I76" s="7">
        <v>25</v>
      </c>
      <c r="J76" s="7">
        <v>111</v>
      </c>
      <c r="K76" s="7">
        <v>67</v>
      </c>
      <c r="L76" s="7">
        <v>25</v>
      </c>
      <c r="M76" s="7">
        <v>0</v>
      </c>
      <c r="N76" s="7">
        <v>19</v>
      </c>
      <c r="O76" s="7">
        <v>1</v>
      </c>
      <c r="P76" s="7" t="s">
        <v>17</v>
      </c>
      <c r="Q76" s="7" t="s">
        <v>194</v>
      </c>
      <c r="R76" s="7" t="s">
        <v>193</v>
      </c>
    </row>
    <row r="77" spans="1:18" x14ac:dyDescent="0.2">
      <c r="A77" s="7" t="s">
        <v>21</v>
      </c>
      <c r="B77" s="7" t="s">
        <v>20</v>
      </c>
      <c r="C77" s="7" t="s">
        <v>20</v>
      </c>
      <c r="D77" s="9">
        <v>166001003572</v>
      </c>
      <c r="E77" s="7" t="s">
        <v>96</v>
      </c>
      <c r="F77" s="7" t="s">
        <v>18</v>
      </c>
      <c r="G77" s="7" t="s">
        <v>19</v>
      </c>
      <c r="H77" s="7">
        <v>225</v>
      </c>
      <c r="I77" s="7">
        <v>0</v>
      </c>
      <c r="J77" s="7">
        <v>0</v>
      </c>
      <c r="K77" s="7">
        <v>170</v>
      </c>
      <c r="L77" s="7">
        <v>55</v>
      </c>
      <c r="M77" s="7">
        <v>0</v>
      </c>
      <c r="N77" s="7">
        <v>26</v>
      </c>
      <c r="O77" s="7">
        <v>2</v>
      </c>
      <c r="P77" s="7" t="s">
        <v>17</v>
      </c>
      <c r="Q77" s="7" t="s">
        <v>194</v>
      </c>
      <c r="R77" s="7" t="s">
        <v>193</v>
      </c>
    </row>
    <row r="78" spans="1:18" x14ac:dyDescent="0.2">
      <c r="A78" s="7" t="s">
        <v>21</v>
      </c>
      <c r="B78" s="7" t="s">
        <v>20</v>
      </c>
      <c r="C78" s="7" t="s">
        <v>20</v>
      </c>
      <c r="D78" s="9">
        <v>266001000501</v>
      </c>
      <c r="E78" s="7" t="s">
        <v>97</v>
      </c>
      <c r="F78" s="7" t="s">
        <v>18</v>
      </c>
      <c r="G78" s="7" t="s">
        <v>34</v>
      </c>
      <c r="H78" s="7">
        <v>216</v>
      </c>
      <c r="I78" s="7">
        <v>0</v>
      </c>
      <c r="J78" s="7">
        <v>0</v>
      </c>
      <c r="K78" s="7">
        <v>127</v>
      </c>
      <c r="L78" s="7">
        <v>66</v>
      </c>
      <c r="M78" s="7">
        <v>23</v>
      </c>
      <c r="N78" s="7">
        <v>29</v>
      </c>
      <c r="O78" s="7">
        <v>2</v>
      </c>
      <c r="P78" s="7" t="s">
        <v>17</v>
      </c>
      <c r="Q78" s="7" t="s">
        <v>194</v>
      </c>
      <c r="R78" s="7" t="s">
        <v>193</v>
      </c>
    </row>
    <row r="79" spans="1:18" x14ac:dyDescent="0.2">
      <c r="A79" s="7" t="s">
        <v>21</v>
      </c>
      <c r="B79" s="7" t="s">
        <v>20</v>
      </c>
      <c r="C79" s="7" t="s">
        <v>20</v>
      </c>
      <c r="D79" s="9">
        <v>166001000921</v>
      </c>
      <c r="E79" s="7" t="s">
        <v>98</v>
      </c>
      <c r="F79" s="7" t="s">
        <v>18</v>
      </c>
      <c r="G79" s="7" t="s">
        <v>19</v>
      </c>
      <c r="H79" s="7">
        <v>206</v>
      </c>
      <c r="I79" s="7">
        <v>31</v>
      </c>
      <c r="J79" s="7">
        <v>175</v>
      </c>
      <c r="K79" s="7">
        <v>0</v>
      </c>
      <c r="L79" s="7">
        <v>0</v>
      </c>
      <c r="M79" s="7">
        <v>0</v>
      </c>
      <c r="N79" s="7">
        <v>6</v>
      </c>
      <c r="O79" s="7"/>
      <c r="P79" s="7" t="s">
        <v>17</v>
      </c>
      <c r="Q79" s="7" t="s">
        <v>194</v>
      </c>
      <c r="R79" s="7" t="s">
        <v>193</v>
      </c>
    </row>
    <row r="80" spans="1:18" x14ac:dyDescent="0.2">
      <c r="A80" s="7" t="s">
        <v>21</v>
      </c>
      <c r="B80" s="7" t="s">
        <v>20</v>
      </c>
      <c r="C80" s="7" t="s">
        <v>20</v>
      </c>
      <c r="D80" s="9">
        <v>266001001370</v>
      </c>
      <c r="E80" s="7" t="s">
        <v>99</v>
      </c>
      <c r="F80" s="7" t="s">
        <v>18</v>
      </c>
      <c r="G80" s="7" t="s">
        <v>34</v>
      </c>
      <c r="H80" s="7">
        <v>180</v>
      </c>
      <c r="I80" s="7">
        <v>7</v>
      </c>
      <c r="J80" s="7">
        <v>0</v>
      </c>
      <c r="K80" s="7">
        <v>128</v>
      </c>
      <c r="L80" s="7">
        <v>45</v>
      </c>
      <c r="M80" s="7">
        <v>0</v>
      </c>
      <c r="N80" s="7">
        <v>24</v>
      </c>
      <c r="O80" s="7">
        <v>2</v>
      </c>
      <c r="P80" s="7" t="s">
        <v>17</v>
      </c>
      <c r="Q80" s="7" t="s">
        <v>194</v>
      </c>
      <c r="R80" s="7" t="s">
        <v>193</v>
      </c>
    </row>
    <row r="81" spans="1:18" x14ac:dyDescent="0.2">
      <c r="A81" s="7" t="s">
        <v>21</v>
      </c>
      <c r="B81" s="7" t="s">
        <v>20</v>
      </c>
      <c r="C81" s="7" t="s">
        <v>20</v>
      </c>
      <c r="D81" s="9">
        <v>166001003947</v>
      </c>
      <c r="E81" s="7" t="s">
        <v>100</v>
      </c>
      <c r="F81" s="7" t="s">
        <v>18</v>
      </c>
      <c r="G81" s="7" t="s">
        <v>19</v>
      </c>
      <c r="H81" s="7">
        <v>165</v>
      </c>
      <c r="I81" s="7">
        <v>47</v>
      </c>
      <c r="J81" s="7">
        <v>118</v>
      </c>
      <c r="K81" s="7">
        <v>0</v>
      </c>
      <c r="L81" s="7">
        <v>0</v>
      </c>
      <c r="M81" s="7">
        <v>0</v>
      </c>
      <c r="N81" s="7">
        <v>6</v>
      </c>
      <c r="O81" s="7"/>
      <c r="P81" s="7" t="s">
        <v>17</v>
      </c>
      <c r="Q81" s="7" t="s">
        <v>194</v>
      </c>
      <c r="R81" s="7" t="s">
        <v>193</v>
      </c>
    </row>
    <row r="82" spans="1:18" x14ac:dyDescent="0.2">
      <c r="A82" s="7" t="s">
        <v>21</v>
      </c>
      <c r="B82" s="7" t="s">
        <v>20</v>
      </c>
      <c r="C82" s="7" t="s">
        <v>20</v>
      </c>
      <c r="D82" s="9">
        <v>266001001698</v>
      </c>
      <c r="E82" s="7" t="s">
        <v>65</v>
      </c>
      <c r="F82" s="7" t="s">
        <v>18</v>
      </c>
      <c r="G82" s="7" t="s">
        <v>34</v>
      </c>
      <c r="H82" s="7">
        <v>161</v>
      </c>
      <c r="I82" s="7">
        <v>41</v>
      </c>
      <c r="J82" s="7">
        <v>120</v>
      </c>
      <c r="K82" s="7">
        <v>0</v>
      </c>
      <c r="L82" s="7">
        <v>0</v>
      </c>
      <c r="M82" s="7">
        <v>0</v>
      </c>
      <c r="N82" s="7">
        <v>5</v>
      </c>
      <c r="O82" s="7"/>
      <c r="P82" s="7" t="s">
        <v>17</v>
      </c>
      <c r="Q82" s="7" t="s">
        <v>194</v>
      </c>
      <c r="R82" s="7" t="s">
        <v>193</v>
      </c>
    </row>
    <row r="83" spans="1:18" x14ac:dyDescent="0.2">
      <c r="A83" s="7" t="s">
        <v>21</v>
      </c>
      <c r="B83" s="7" t="s">
        <v>20</v>
      </c>
      <c r="C83" s="7" t="s">
        <v>20</v>
      </c>
      <c r="D83" s="9">
        <v>266001006983</v>
      </c>
      <c r="E83" s="7" t="s">
        <v>101</v>
      </c>
      <c r="F83" s="7" t="s">
        <v>18</v>
      </c>
      <c r="G83" s="7" t="s">
        <v>34</v>
      </c>
      <c r="H83" s="7">
        <v>154</v>
      </c>
      <c r="I83" s="7">
        <v>0</v>
      </c>
      <c r="J83" s="7">
        <v>0</v>
      </c>
      <c r="K83" s="7">
        <v>120</v>
      </c>
      <c r="L83" s="7">
        <v>34</v>
      </c>
      <c r="M83" s="7">
        <v>0</v>
      </c>
      <c r="N83" s="7"/>
      <c r="O83" s="7"/>
      <c r="P83" s="7" t="s">
        <v>17</v>
      </c>
      <c r="Q83" s="7" t="s">
        <v>194</v>
      </c>
      <c r="R83" s="7" t="s">
        <v>193</v>
      </c>
    </row>
    <row r="84" spans="1:18" x14ac:dyDescent="0.2">
      <c r="A84" s="7" t="s">
        <v>21</v>
      </c>
      <c r="B84" s="7" t="s">
        <v>20</v>
      </c>
      <c r="C84" s="7" t="s">
        <v>20</v>
      </c>
      <c r="D84" s="9">
        <v>166001001006</v>
      </c>
      <c r="E84" s="7" t="s">
        <v>102</v>
      </c>
      <c r="F84" s="7" t="s">
        <v>18</v>
      </c>
      <c r="G84" s="7" t="s">
        <v>19</v>
      </c>
      <c r="H84" s="7">
        <v>153</v>
      </c>
      <c r="I84" s="7">
        <v>23</v>
      </c>
      <c r="J84" s="7">
        <v>130</v>
      </c>
      <c r="K84" s="7">
        <v>0</v>
      </c>
      <c r="L84" s="7">
        <v>0</v>
      </c>
      <c r="M84" s="7">
        <v>0</v>
      </c>
      <c r="N84" s="7"/>
      <c r="O84" s="7"/>
      <c r="P84" s="7" t="s">
        <v>17</v>
      </c>
      <c r="Q84" s="7" t="s">
        <v>194</v>
      </c>
      <c r="R84" s="7" t="s">
        <v>193</v>
      </c>
    </row>
    <row r="85" spans="1:18" x14ac:dyDescent="0.2">
      <c r="A85" s="7" t="s">
        <v>21</v>
      </c>
      <c r="B85" s="7" t="s">
        <v>20</v>
      </c>
      <c r="C85" s="7" t="s">
        <v>20</v>
      </c>
      <c r="D85" s="9">
        <v>266001001671</v>
      </c>
      <c r="E85" s="7" t="s">
        <v>103</v>
      </c>
      <c r="F85" s="7" t="s">
        <v>18</v>
      </c>
      <c r="G85" s="7" t="s">
        <v>34</v>
      </c>
      <c r="H85" s="7">
        <v>153</v>
      </c>
      <c r="I85" s="7">
        <v>30</v>
      </c>
      <c r="J85" s="7">
        <v>123</v>
      </c>
      <c r="K85" s="7">
        <v>0</v>
      </c>
      <c r="L85" s="7">
        <v>0</v>
      </c>
      <c r="M85" s="7">
        <v>0</v>
      </c>
      <c r="N85" s="7">
        <v>6</v>
      </c>
      <c r="O85" s="7"/>
      <c r="P85" s="7" t="s">
        <v>17</v>
      </c>
      <c r="Q85" s="7" t="s">
        <v>194</v>
      </c>
      <c r="R85" s="7" t="s">
        <v>193</v>
      </c>
    </row>
    <row r="86" spans="1:18" x14ac:dyDescent="0.2">
      <c r="A86" s="7" t="s">
        <v>21</v>
      </c>
      <c r="B86" s="7" t="s">
        <v>20</v>
      </c>
      <c r="C86" s="7" t="s">
        <v>20</v>
      </c>
      <c r="D86" s="9">
        <v>166001000107</v>
      </c>
      <c r="E86" s="7" t="s">
        <v>104</v>
      </c>
      <c r="F86" s="7" t="s">
        <v>18</v>
      </c>
      <c r="G86" s="7" t="s">
        <v>19</v>
      </c>
      <c r="H86" s="7">
        <v>152</v>
      </c>
      <c r="I86" s="7">
        <v>20</v>
      </c>
      <c r="J86" s="7">
        <v>132</v>
      </c>
      <c r="K86" s="7">
        <v>0</v>
      </c>
      <c r="L86" s="7">
        <v>0</v>
      </c>
      <c r="M86" s="7">
        <v>0</v>
      </c>
      <c r="N86" s="7"/>
      <c r="O86" s="7"/>
      <c r="P86" s="7" t="s">
        <v>17</v>
      </c>
      <c r="Q86" s="7" t="s">
        <v>194</v>
      </c>
      <c r="R86" s="7" t="s">
        <v>193</v>
      </c>
    </row>
    <row r="87" spans="1:18" x14ac:dyDescent="0.2">
      <c r="A87" s="7" t="s">
        <v>21</v>
      </c>
      <c r="B87" s="7" t="s">
        <v>20</v>
      </c>
      <c r="C87" s="7" t="s">
        <v>20</v>
      </c>
      <c r="D87" s="9">
        <v>266001001019</v>
      </c>
      <c r="E87" s="7" t="s">
        <v>105</v>
      </c>
      <c r="F87" s="7" t="s">
        <v>18</v>
      </c>
      <c r="G87" s="7" t="s">
        <v>34</v>
      </c>
      <c r="H87" s="7">
        <v>145</v>
      </c>
      <c r="I87" s="7">
        <v>17</v>
      </c>
      <c r="J87" s="7">
        <v>114</v>
      </c>
      <c r="K87" s="7">
        <v>0</v>
      </c>
      <c r="L87" s="7">
        <v>0</v>
      </c>
      <c r="M87" s="7">
        <v>14</v>
      </c>
      <c r="N87" s="7">
        <v>1</v>
      </c>
      <c r="O87" s="7"/>
      <c r="P87" s="7" t="s">
        <v>17</v>
      </c>
      <c r="Q87" s="7" t="s">
        <v>194</v>
      </c>
      <c r="R87" s="7" t="s">
        <v>193</v>
      </c>
    </row>
    <row r="88" spans="1:18" x14ac:dyDescent="0.2">
      <c r="A88" s="7" t="s">
        <v>21</v>
      </c>
      <c r="B88" s="7" t="s">
        <v>20</v>
      </c>
      <c r="C88" s="7" t="s">
        <v>20</v>
      </c>
      <c r="D88" s="9">
        <v>266001002121</v>
      </c>
      <c r="E88" s="7" t="s">
        <v>106</v>
      </c>
      <c r="F88" s="7" t="s">
        <v>18</v>
      </c>
      <c r="G88" s="7" t="s">
        <v>34</v>
      </c>
      <c r="H88" s="7">
        <v>141</v>
      </c>
      <c r="I88" s="7">
        <v>27</v>
      </c>
      <c r="J88" s="7">
        <v>114</v>
      </c>
      <c r="K88" s="7">
        <v>0</v>
      </c>
      <c r="L88" s="7">
        <v>0</v>
      </c>
      <c r="M88" s="7">
        <v>0</v>
      </c>
      <c r="N88" s="7">
        <v>9</v>
      </c>
      <c r="O88" s="7"/>
      <c r="P88" s="7" t="s">
        <v>17</v>
      </c>
      <c r="Q88" s="7" t="s">
        <v>194</v>
      </c>
      <c r="R88" s="7" t="s">
        <v>193</v>
      </c>
    </row>
    <row r="89" spans="1:18" x14ac:dyDescent="0.2">
      <c r="A89" s="7" t="s">
        <v>21</v>
      </c>
      <c r="B89" s="7" t="s">
        <v>20</v>
      </c>
      <c r="C89" s="7" t="s">
        <v>20</v>
      </c>
      <c r="D89" s="9">
        <v>166001002754</v>
      </c>
      <c r="E89" s="7" t="s">
        <v>107</v>
      </c>
      <c r="F89" s="7" t="s">
        <v>18</v>
      </c>
      <c r="G89" s="7" t="s">
        <v>19</v>
      </c>
      <c r="H89" s="7">
        <v>137</v>
      </c>
      <c r="I89" s="7">
        <v>22</v>
      </c>
      <c r="J89" s="7">
        <v>115</v>
      </c>
      <c r="K89" s="7">
        <v>0</v>
      </c>
      <c r="L89" s="7">
        <v>0</v>
      </c>
      <c r="M89" s="7">
        <v>0</v>
      </c>
      <c r="N89" s="7"/>
      <c r="O89" s="7"/>
      <c r="P89" s="7" t="s">
        <v>17</v>
      </c>
      <c r="Q89" s="7" t="s">
        <v>194</v>
      </c>
      <c r="R89" s="7" t="s">
        <v>193</v>
      </c>
    </row>
    <row r="90" spans="1:18" x14ac:dyDescent="0.2">
      <c r="A90" s="7" t="s">
        <v>21</v>
      </c>
      <c r="B90" s="7" t="s">
        <v>20</v>
      </c>
      <c r="C90" s="7" t="s">
        <v>20</v>
      </c>
      <c r="D90" s="9">
        <v>166001000191</v>
      </c>
      <c r="E90" s="7" t="s">
        <v>108</v>
      </c>
      <c r="F90" s="7" t="s">
        <v>18</v>
      </c>
      <c r="G90" s="7" t="s">
        <v>19</v>
      </c>
      <c r="H90" s="7">
        <v>130</v>
      </c>
      <c r="I90" s="7">
        <v>19</v>
      </c>
      <c r="J90" s="7">
        <v>111</v>
      </c>
      <c r="K90" s="7">
        <v>0</v>
      </c>
      <c r="L90" s="7">
        <v>0</v>
      </c>
      <c r="M90" s="7">
        <v>0</v>
      </c>
      <c r="N90" s="7">
        <v>2</v>
      </c>
      <c r="O90" s="7"/>
      <c r="P90" s="7" t="s">
        <v>17</v>
      </c>
      <c r="Q90" s="7" t="s">
        <v>194</v>
      </c>
      <c r="R90" s="7" t="s">
        <v>193</v>
      </c>
    </row>
    <row r="91" spans="1:18" x14ac:dyDescent="0.2">
      <c r="A91" s="7" t="s">
        <v>21</v>
      </c>
      <c r="B91" s="7" t="s">
        <v>20</v>
      </c>
      <c r="C91" s="7" t="s">
        <v>20</v>
      </c>
      <c r="D91" s="9">
        <v>266001001248</v>
      </c>
      <c r="E91" s="7" t="s">
        <v>109</v>
      </c>
      <c r="F91" s="7" t="s">
        <v>18</v>
      </c>
      <c r="G91" s="7" t="s">
        <v>34</v>
      </c>
      <c r="H91" s="7">
        <v>130</v>
      </c>
      <c r="I91" s="7">
        <v>31</v>
      </c>
      <c r="J91" s="7">
        <v>99</v>
      </c>
      <c r="K91" s="7">
        <v>0</v>
      </c>
      <c r="L91" s="7">
        <v>0</v>
      </c>
      <c r="M91" s="7">
        <v>0</v>
      </c>
      <c r="N91" s="7">
        <v>3</v>
      </c>
      <c r="O91" s="7"/>
      <c r="P91" s="7" t="s">
        <v>17</v>
      </c>
      <c r="Q91" s="7" t="s">
        <v>194</v>
      </c>
      <c r="R91" s="7" t="s">
        <v>193</v>
      </c>
    </row>
    <row r="92" spans="1:18" x14ac:dyDescent="0.2">
      <c r="A92" s="7" t="s">
        <v>21</v>
      </c>
      <c r="B92" s="7" t="s">
        <v>20</v>
      </c>
      <c r="C92" s="7" t="s">
        <v>20</v>
      </c>
      <c r="D92" s="9">
        <v>266001005669</v>
      </c>
      <c r="E92" s="7" t="s">
        <v>110</v>
      </c>
      <c r="F92" s="7" t="s">
        <v>18</v>
      </c>
      <c r="G92" s="7" t="s">
        <v>34</v>
      </c>
      <c r="H92" s="7">
        <v>122</v>
      </c>
      <c r="I92" s="7">
        <v>15</v>
      </c>
      <c r="J92" s="7">
        <v>107</v>
      </c>
      <c r="K92" s="7">
        <v>0</v>
      </c>
      <c r="L92" s="7">
        <v>0</v>
      </c>
      <c r="M92" s="7">
        <v>0</v>
      </c>
      <c r="N92" s="7">
        <v>7</v>
      </c>
      <c r="O92" s="7"/>
      <c r="P92" s="7" t="s">
        <v>17</v>
      </c>
      <c r="Q92" s="7" t="s">
        <v>194</v>
      </c>
      <c r="R92" s="7" t="s">
        <v>193</v>
      </c>
    </row>
    <row r="93" spans="1:18" x14ac:dyDescent="0.2">
      <c r="A93" s="7" t="s">
        <v>21</v>
      </c>
      <c r="B93" s="7" t="s">
        <v>20</v>
      </c>
      <c r="C93" s="7" t="s">
        <v>20</v>
      </c>
      <c r="D93" s="9">
        <v>266001001477</v>
      </c>
      <c r="E93" s="7" t="s">
        <v>111</v>
      </c>
      <c r="F93" s="7" t="s">
        <v>18</v>
      </c>
      <c r="G93" s="7" t="s">
        <v>34</v>
      </c>
      <c r="H93" s="7">
        <v>113</v>
      </c>
      <c r="I93" s="7">
        <v>12</v>
      </c>
      <c r="J93" s="7">
        <v>101</v>
      </c>
      <c r="K93" s="7">
        <v>0</v>
      </c>
      <c r="L93" s="7">
        <v>0</v>
      </c>
      <c r="M93" s="7">
        <v>0</v>
      </c>
      <c r="N93" s="7">
        <v>7</v>
      </c>
      <c r="O93" s="7">
        <v>1</v>
      </c>
      <c r="P93" s="7" t="s">
        <v>17</v>
      </c>
      <c r="Q93" s="7" t="s">
        <v>194</v>
      </c>
      <c r="R93" s="7" t="s">
        <v>193</v>
      </c>
    </row>
    <row r="94" spans="1:18" x14ac:dyDescent="0.2">
      <c r="A94" s="7" t="s">
        <v>21</v>
      </c>
      <c r="B94" s="7" t="s">
        <v>20</v>
      </c>
      <c r="C94" s="7" t="s">
        <v>20</v>
      </c>
      <c r="D94" s="9">
        <v>266001001264</v>
      </c>
      <c r="E94" s="7" t="s">
        <v>112</v>
      </c>
      <c r="F94" s="7" t="s">
        <v>18</v>
      </c>
      <c r="G94" s="7" t="s">
        <v>19</v>
      </c>
      <c r="H94" s="7">
        <v>111</v>
      </c>
      <c r="I94" s="7">
        <v>18</v>
      </c>
      <c r="J94" s="7">
        <v>93</v>
      </c>
      <c r="K94" s="7">
        <v>0</v>
      </c>
      <c r="L94" s="7">
        <v>0</v>
      </c>
      <c r="M94" s="7">
        <v>0</v>
      </c>
      <c r="N94" s="7"/>
      <c r="O94" s="7"/>
      <c r="P94" s="7" t="s">
        <v>17</v>
      </c>
      <c r="Q94" s="7" t="s">
        <v>194</v>
      </c>
      <c r="R94" s="7" t="s">
        <v>193</v>
      </c>
    </row>
    <row r="95" spans="1:18" x14ac:dyDescent="0.2">
      <c r="A95" s="7" t="s">
        <v>21</v>
      </c>
      <c r="B95" s="7" t="s">
        <v>20</v>
      </c>
      <c r="C95" s="7" t="s">
        <v>20</v>
      </c>
      <c r="D95" s="9">
        <v>166001000590</v>
      </c>
      <c r="E95" s="7" t="s">
        <v>113</v>
      </c>
      <c r="F95" s="7" t="s">
        <v>18</v>
      </c>
      <c r="G95" s="7" t="s">
        <v>19</v>
      </c>
      <c r="H95" s="7">
        <v>107</v>
      </c>
      <c r="I95" s="7">
        <v>21</v>
      </c>
      <c r="J95" s="7">
        <v>86</v>
      </c>
      <c r="K95" s="7">
        <v>0</v>
      </c>
      <c r="L95" s="7">
        <v>0</v>
      </c>
      <c r="M95" s="7">
        <v>0</v>
      </c>
      <c r="N95" s="7"/>
      <c r="O95" s="7"/>
      <c r="P95" s="7" t="s">
        <v>17</v>
      </c>
      <c r="Q95" s="7" t="s">
        <v>194</v>
      </c>
      <c r="R95" s="7" t="s">
        <v>193</v>
      </c>
    </row>
    <row r="96" spans="1:18" x14ac:dyDescent="0.2">
      <c r="A96" s="7" t="s">
        <v>21</v>
      </c>
      <c r="B96" s="7" t="s">
        <v>20</v>
      </c>
      <c r="C96" s="7" t="s">
        <v>20</v>
      </c>
      <c r="D96" s="9">
        <v>266001004999</v>
      </c>
      <c r="E96" s="7" t="s">
        <v>114</v>
      </c>
      <c r="F96" s="7" t="s">
        <v>18</v>
      </c>
      <c r="G96" s="7" t="s">
        <v>34</v>
      </c>
      <c r="H96" s="7">
        <v>100</v>
      </c>
      <c r="I96" s="7">
        <v>18</v>
      </c>
      <c r="J96" s="7">
        <v>53</v>
      </c>
      <c r="K96" s="7">
        <v>29</v>
      </c>
      <c r="L96" s="7">
        <v>0</v>
      </c>
      <c r="M96" s="7">
        <v>0</v>
      </c>
      <c r="N96" s="7">
        <v>7</v>
      </c>
      <c r="O96" s="7">
        <v>1</v>
      </c>
      <c r="P96" s="7" t="s">
        <v>17</v>
      </c>
      <c r="Q96" s="7" t="s">
        <v>194</v>
      </c>
      <c r="R96" s="7" t="s">
        <v>193</v>
      </c>
    </row>
    <row r="97" spans="1:18" x14ac:dyDescent="0.2">
      <c r="A97" s="7" t="s">
        <v>21</v>
      </c>
      <c r="B97" s="7" t="s">
        <v>20</v>
      </c>
      <c r="C97" s="7" t="s">
        <v>20</v>
      </c>
      <c r="D97" s="9">
        <v>166001004935</v>
      </c>
      <c r="E97" s="7" t="s">
        <v>115</v>
      </c>
      <c r="F97" s="7" t="s">
        <v>18</v>
      </c>
      <c r="G97" s="7" t="s">
        <v>19</v>
      </c>
      <c r="H97" s="7">
        <v>97</v>
      </c>
      <c r="I97" s="7">
        <v>17</v>
      </c>
      <c r="J97" s="7">
        <v>80</v>
      </c>
      <c r="K97" s="7">
        <v>0</v>
      </c>
      <c r="L97" s="7">
        <v>0</v>
      </c>
      <c r="M97" s="7">
        <v>0</v>
      </c>
      <c r="N97" s="7"/>
      <c r="O97" s="7"/>
      <c r="P97" s="7" t="s">
        <v>17</v>
      </c>
      <c r="Q97" s="7" t="s">
        <v>194</v>
      </c>
      <c r="R97" s="7" t="s">
        <v>193</v>
      </c>
    </row>
    <row r="98" spans="1:18" x14ac:dyDescent="0.2">
      <c r="A98" s="7" t="s">
        <v>21</v>
      </c>
      <c r="B98" s="7" t="s">
        <v>20</v>
      </c>
      <c r="C98" s="7" t="s">
        <v>20</v>
      </c>
      <c r="D98" s="9">
        <v>266001001400</v>
      </c>
      <c r="E98" s="7" t="s">
        <v>116</v>
      </c>
      <c r="F98" s="7" t="s">
        <v>18</v>
      </c>
      <c r="G98" s="7" t="s">
        <v>34</v>
      </c>
      <c r="H98" s="7">
        <v>97</v>
      </c>
      <c r="I98" s="7">
        <v>26</v>
      </c>
      <c r="J98" s="7">
        <v>71</v>
      </c>
      <c r="K98" s="7">
        <v>0</v>
      </c>
      <c r="L98" s="7">
        <v>0</v>
      </c>
      <c r="M98" s="7">
        <v>0</v>
      </c>
      <c r="N98" s="7">
        <v>25</v>
      </c>
      <c r="O98" s="7">
        <v>2</v>
      </c>
      <c r="P98" s="7" t="s">
        <v>17</v>
      </c>
      <c r="Q98" s="7" t="s">
        <v>194</v>
      </c>
      <c r="R98" s="7" t="s">
        <v>193</v>
      </c>
    </row>
    <row r="99" spans="1:18" x14ac:dyDescent="0.2">
      <c r="A99" s="7" t="s">
        <v>21</v>
      </c>
      <c r="B99" s="7" t="s">
        <v>20</v>
      </c>
      <c r="C99" s="7" t="s">
        <v>20</v>
      </c>
      <c r="D99" s="9">
        <v>266001001035</v>
      </c>
      <c r="E99" s="7" t="s">
        <v>117</v>
      </c>
      <c r="F99" s="7" t="s">
        <v>18</v>
      </c>
      <c r="G99" s="7" t="s">
        <v>34</v>
      </c>
      <c r="H99" s="7">
        <v>94</v>
      </c>
      <c r="I99" s="7">
        <v>43</v>
      </c>
      <c r="J99" s="7">
        <v>51</v>
      </c>
      <c r="K99" s="7">
        <v>0</v>
      </c>
      <c r="L99" s="7">
        <v>0</v>
      </c>
      <c r="M99" s="7">
        <v>0</v>
      </c>
      <c r="N99" s="7"/>
      <c r="O99" s="7"/>
      <c r="P99" s="7" t="s">
        <v>17</v>
      </c>
      <c r="Q99" s="7" t="s">
        <v>194</v>
      </c>
      <c r="R99" s="7" t="s">
        <v>193</v>
      </c>
    </row>
    <row r="100" spans="1:18" x14ac:dyDescent="0.2">
      <c r="A100" s="7" t="s">
        <v>21</v>
      </c>
      <c r="B100" s="7" t="s">
        <v>20</v>
      </c>
      <c r="C100" s="7" t="s">
        <v>20</v>
      </c>
      <c r="D100" s="9">
        <v>266001000276</v>
      </c>
      <c r="E100" s="7" t="s">
        <v>118</v>
      </c>
      <c r="F100" s="7" t="s">
        <v>18</v>
      </c>
      <c r="G100" s="7" t="s">
        <v>34</v>
      </c>
      <c r="H100" s="7">
        <v>75</v>
      </c>
      <c r="I100" s="7">
        <v>0</v>
      </c>
      <c r="J100" s="7">
        <v>75</v>
      </c>
      <c r="K100" s="7">
        <v>0</v>
      </c>
      <c r="L100" s="7">
        <v>0</v>
      </c>
      <c r="M100" s="7">
        <v>0</v>
      </c>
      <c r="N100" s="7"/>
      <c r="O100" s="7"/>
      <c r="P100" s="7" t="s">
        <v>17</v>
      </c>
      <c r="Q100" s="7" t="s">
        <v>194</v>
      </c>
      <c r="R100" s="7" t="s">
        <v>193</v>
      </c>
    </row>
    <row r="101" spans="1:18" x14ac:dyDescent="0.2">
      <c r="A101" s="7" t="s">
        <v>21</v>
      </c>
      <c r="B101" s="7" t="s">
        <v>20</v>
      </c>
      <c r="C101" s="7" t="s">
        <v>20</v>
      </c>
      <c r="D101" s="9">
        <v>266001002015</v>
      </c>
      <c r="E101" s="7" t="s">
        <v>119</v>
      </c>
      <c r="F101" s="7" t="s">
        <v>18</v>
      </c>
      <c r="G101" s="7" t="s">
        <v>34</v>
      </c>
      <c r="H101" s="7">
        <v>74</v>
      </c>
      <c r="I101" s="7">
        <v>7</v>
      </c>
      <c r="J101" s="7">
        <v>44</v>
      </c>
      <c r="K101" s="7">
        <v>0</v>
      </c>
      <c r="L101" s="7">
        <v>0</v>
      </c>
      <c r="M101" s="7">
        <v>23</v>
      </c>
      <c r="N101" s="7">
        <v>3</v>
      </c>
      <c r="O101" s="7"/>
      <c r="P101" s="7" t="s">
        <v>17</v>
      </c>
      <c r="Q101" s="7" t="s">
        <v>194</v>
      </c>
      <c r="R101" s="7" t="s">
        <v>193</v>
      </c>
    </row>
    <row r="102" spans="1:18" x14ac:dyDescent="0.2">
      <c r="A102" s="7" t="s">
        <v>21</v>
      </c>
      <c r="B102" s="7" t="s">
        <v>20</v>
      </c>
      <c r="C102" s="7" t="s">
        <v>20</v>
      </c>
      <c r="D102" s="9">
        <v>266001001582</v>
      </c>
      <c r="E102" s="7" t="s">
        <v>120</v>
      </c>
      <c r="F102" s="7" t="s">
        <v>18</v>
      </c>
      <c r="G102" s="7" t="s">
        <v>34</v>
      </c>
      <c r="H102" s="7">
        <v>62</v>
      </c>
      <c r="I102" s="7">
        <v>15</v>
      </c>
      <c r="J102" s="7">
        <v>47</v>
      </c>
      <c r="K102" s="7">
        <v>0</v>
      </c>
      <c r="L102" s="7">
        <v>0</v>
      </c>
      <c r="M102" s="7">
        <v>0</v>
      </c>
      <c r="N102" s="7"/>
      <c r="O102" s="7"/>
      <c r="P102" s="7" t="s">
        <v>17</v>
      </c>
      <c r="Q102" s="7" t="s">
        <v>194</v>
      </c>
      <c r="R102" s="7" t="s">
        <v>193</v>
      </c>
    </row>
    <row r="103" spans="1:18" x14ac:dyDescent="0.2">
      <c r="A103" s="7" t="s">
        <v>21</v>
      </c>
      <c r="B103" s="7" t="s">
        <v>20</v>
      </c>
      <c r="C103" s="7" t="s">
        <v>20</v>
      </c>
      <c r="D103" s="9">
        <v>266001001809</v>
      </c>
      <c r="E103" s="7" t="s">
        <v>121</v>
      </c>
      <c r="F103" s="7" t="s">
        <v>18</v>
      </c>
      <c r="G103" s="7" t="s">
        <v>34</v>
      </c>
      <c r="H103" s="7">
        <v>60</v>
      </c>
      <c r="I103" s="7">
        <v>16</v>
      </c>
      <c r="J103" s="7">
        <v>44</v>
      </c>
      <c r="K103" s="7">
        <v>0</v>
      </c>
      <c r="L103" s="7">
        <v>0</v>
      </c>
      <c r="M103" s="7">
        <v>0</v>
      </c>
      <c r="N103" s="7"/>
      <c r="O103" s="7"/>
      <c r="P103" s="7" t="s">
        <v>17</v>
      </c>
      <c r="Q103" s="7" t="s">
        <v>194</v>
      </c>
      <c r="R103" s="7" t="s">
        <v>193</v>
      </c>
    </row>
    <row r="104" spans="1:18" x14ac:dyDescent="0.2">
      <c r="A104" s="7" t="s">
        <v>21</v>
      </c>
      <c r="B104" s="7" t="s">
        <v>20</v>
      </c>
      <c r="C104" s="7" t="s">
        <v>20</v>
      </c>
      <c r="D104" s="9">
        <v>266001001256</v>
      </c>
      <c r="E104" s="7" t="s">
        <v>122</v>
      </c>
      <c r="F104" s="7" t="s">
        <v>18</v>
      </c>
      <c r="G104" s="7" t="s">
        <v>19</v>
      </c>
      <c r="H104" s="7">
        <v>57</v>
      </c>
      <c r="I104" s="7">
        <v>31</v>
      </c>
      <c r="J104" s="7">
        <v>26</v>
      </c>
      <c r="K104" s="7">
        <v>0</v>
      </c>
      <c r="L104" s="7">
        <v>0</v>
      </c>
      <c r="M104" s="7">
        <v>0</v>
      </c>
      <c r="N104" s="7"/>
      <c r="O104" s="7"/>
      <c r="P104" s="7" t="s">
        <v>17</v>
      </c>
      <c r="Q104" s="7" t="s">
        <v>194</v>
      </c>
      <c r="R104" s="7" t="s">
        <v>193</v>
      </c>
    </row>
    <row r="105" spans="1:18" x14ac:dyDescent="0.2">
      <c r="A105" s="7" t="s">
        <v>21</v>
      </c>
      <c r="B105" s="7" t="s">
        <v>20</v>
      </c>
      <c r="C105" s="7" t="s">
        <v>20</v>
      </c>
      <c r="D105" s="9">
        <v>266001001396</v>
      </c>
      <c r="E105" s="7" t="s">
        <v>123</v>
      </c>
      <c r="F105" s="7" t="s">
        <v>18</v>
      </c>
      <c r="G105" s="7" t="s">
        <v>34</v>
      </c>
      <c r="H105" s="7">
        <v>53</v>
      </c>
      <c r="I105" s="7">
        <v>7</v>
      </c>
      <c r="J105" s="7">
        <v>46</v>
      </c>
      <c r="K105" s="7">
        <v>0</v>
      </c>
      <c r="L105" s="7">
        <v>0</v>
      </c>
      <c r="M105" s="7">
        <v>0</v>
      </c>
      <c r="N105" s="7">
        <v>2</v>
      </c>
      <c r="O105" s="7"/>
      <c r="P105" s="7" t="s">
        <v>17</v>
      </c>
      <c r="Q105" s="7" t="s">
        <v>194</v>
      </c>
      <c r="R105" s="7" t="s">
        <v>193</v>
      </c>
    </row>
    <row r="106" spans="1:18" x14ac:dyDescent="0.2">
      <c r="A106" s="7" t="s">
        <v>21</v>
      </c>
      <c r="B106" s="7" t="s">
        <v>20</v>
      </c>
      <c r="C106" s="7" t="s">
        <v>20</v>
      </c>
      <c r="D106" s="9">
        <v>266001800230</v>
      </c>
      <c r="E106" s="7" t="s">
        <v>124</v>
      </c>
      <c r="F106" s="7" t="s">
        <v>18</v>
      </c>
      <c r="G106" s="7" t="s">
        <v>34</v>
      </c>
      <c r="H106" s="7">
        <v>50</v>
      </c>
      <c r="I106" s="7">
        <v>0</v>
      </c>
      <c r="J106" s="7">
        <v>0</v>
      </c>
      <c r="K106" s="7">
        <v>0</v>
      </c>
      <c r="L106" s="7">
        <v>0</v>
      </c>
      <c r="M106" s="7">
        <v>50</v>
      </c>
      <c r="N106" s="7">
        <v>6</v>
      </c>
      <c r="O106" s="7"/>
      <c r="P106" s="7" t="s">
        <v>17</v>
      </c>
      <c r="Q106" s="7" t="s">
        <v>194</v>
      </c>
      <c r="R106" s="7" t="s">
        <v>193</v>
      </c>
    </row>
    <row r="107" spans="1:18" x14ac:dyDescent="0.2">
      <c r="A107" s="7" t="s">
        <v>21</v>
      </c>
      <c r="B107" s="7" t="s">
        <v>20</v>
      </c>
      <c r="C107" s="7" t="s">
        <v>20</v>
      </c>
      <c r="D107" s="9">
        <v>266001004310</v>
      </c>
      <c r="E107" s="7" t="s">
        <v>125</v>
      </c>
      <c r="F107" s="7" t="s">
        <v>18</v>
      </c>
      <c r="G107" s="7" t="s">
        <v>34</v>
      </c>
      <c r="H107" s="7">
        <v>48</v>
      </c>
      <c r="I107" s="7">
        <v>0</v>
      </c>
      <c r="J107" s="7">
        <v>0</v>
      </c>
      <c r="K107" s="7">
        <v>35</v>
      </c>
      <c r="L107" s="7">
        <v>13</v>
      </c>
      <c r="M107" s="7">
        <v>0</v>
      </c>
      <c r="N107" s="7">
        <v>1</v>
      </c>
      <c r="O107" s="7"/>
      <c r="P107" s="7" t="s">
        <v>17</v>
      </c>
      <c r="Q107" s="7" t="s">
        <v>194</v>
      </c>
      <c r="R107" s="7" t="s">
        <v>193</v>
      </c>
    </row>
    <row r="108" spans="1:18" x14ac:dyDescent="0.2">
      <c r="A108" s="7" t="s">
        <v>21</v>
      </c>
      <c r="B108" s="7" t="s">
        <v>20</v>
      </c>
      <c r="C108" s="7" t="s">
        <v>20</v>
      </c>
      <c r="D108" s="9">
        <v>266001001451</v>
      </c>
      <c r="E108" s="7" t="s">
        <v>126</v>
      </c>
      <c r="F108" s="7" t="s">
        <v>18</v>
      </c>
      <c r="G108" s="7" t="s">
        <v>34</v>
      </c>
      <c r="H108" s="7">
        <v>47</v>
      </c>
      <c r="I108" s="7">
        <v>9</v>
      </c>
      <c r="J108" s="7">
        <v>38</v>
      </c>
      <c r="K108" s="7">
        <v>0</v>
      </c>
      <c r="L108" s="7">
        <v>0</v>
      </c>
      <c r="M108" s="7">
        <v>0</v>
      </c>
      <c r="N108" s="7">
        <v>4</v>
      </c>
      <c r="O108" s="7"/>
      <c r="P108" s="7" t="s">
        <v>17</v>
      </c>
      <c r="Q108" s="7" t="s">
        <v>194</v>
      </c>
      <c r="R108" s="7" t="s">
        <v>193</v>
      </c>
    </row>
    <row r="109" spans="1:18" x14ac:dyDescent="0.2">
      <c r="A109" s="7" t="s">
        <v>21</v>
      </c>
      <c r="B109" s="7" t="s">
        <v>20</v>
      </c>
      <c r="C109" s="7" t="s">
        <v>20</v>
      </c>
      <c r="D109" s="9">
        <v>266001003861</v>
      </c>
      <c r="E109" s="7" t="s">
        <v>127</v>
      </c>
      <c r="F109" s="7" t="s">
        <v>18</v>
      </c>
      <c r="G109" s="7" t="s">
        <v>34</v>
      </c>
      <c r="H109" s="7">
        <v>42</v>
      </c>
      <c r="I109" s="7">
        <v>10</v>
      </c>
      <c r="J109" s="7">
        <v>32</v>
      </c>
      <c r="K109" s="7">
        <v>0</v>
      </c>
      <c r="L109" s="7">
        <v>0</v>
      </c>
      <c r="M109" s="7">
        <v>0</v>
      </c>
      <c r="N109" s="7">
        <v>1</v>
      </c>
      <c r="O109" s="7"/>
      <c r="P109" s="7" t="s">
        <v>17</v>
      </c>
      <c r="Q109" s="7" t="s">
        <v>194</v>
      </c>
      <c r="R109" s="7" t="s">
        <v>193</v>
      </c>
    </row>
    <row r="110" spans="1:18" x14ac:dyDescent="0.2">
      <c r="A110" s="7" t="s">
        <v>21</v>
      </c>
      <c r="B110" s="7" t="s">
        <v>20</v>
      </c>
      <c r="C110" s="7" t="s">
        <v>20</v>
      </c>
      <c r="D110" s="9">
        <v>166001004463</v>
      </c>
      <c r="E110" s="7" t="s">
        <v>128</v>
      </c>
      <c r="F110" s="7" t="s">
        <v>18</v>
      </c>
      <c r="G110" s="7" t="s">
        <v>19</v>
      </c>
      <c r="H110" s="7">
        <v>41</v>
      </c>
      <c r="I110" s="7">
        <v>0</v>
      </c>
      <c r="J110" s="7">
        <v>41</v>
      </c>
      <c r="K110" s="7">
        <v>0</v>
      </c>
      <c r="L110" s="7">
        <v>0</v>
      </c>
      <c r="M110" s="7">
        <v>0</v>
      </c>
      <c r="N110" s="7"/>
      <c r="O110" s="7"/>
      <c r="P110" s="7" t="s">
        <v>17</v>
      </c>
      <c r="Q110" s="7" t="s">
        <v>194</v>
      </c>
      <c r="R110" s="7" t="s">
        <v>193</v>
      </c>
    </row>
    <row r="111" spans="1:18" x14ac:dyDescent="0.2">
      <c r="A111" s="7" t="s">
        <v>21</v>
      </c>
      <c r="B111" s="7" t="s">
        <v>20</v>
      </c>
      <c r="C111" s="7" t="s">
        <v>20</v>
      </c>
      <c r="D111" s="9">
        <v>266001001779</v>
      </c>
      <c r="E111" s="7" t="s">
        <v>129</v>
      </c>
      <c r="F111" s="7" t="s">
        <v>18</v>
      </c>
      <c r="G111" s="7" t="s">
        <v>34</v>
      </c>
      <c r="H111" s="7">
        <v>33</v>
      </c>
      <c r="I111" s="7">
        <v>2</v>
      </c>
      <c r="J111" s="7">
        <v>31</v>
      </c>
      <c r="K111" s="7">
        <v>0</v>
      </c>
      <c r="L111" s="7">
        <v>0</v>
      </c>
      <c r="M111" s="7">
        <v>0</v>
      </c>
      <c r="N111" s="7">
        <v>1</v>
      </c>
      <c r="O111" s="7"/>
      <c r="P111" s="7" t="s">
        <v>17</v>
      </c>
      <c r="Q111" s="7" t="s">
        <v>194</v>
      </c>
      <c r="R111" s="7" t="s">
        <v>193</v>
      </c>
    </row>
    <row r="112" spans="1:18" x14ac:dyDescent="0.2">
      <c r="A112" s="7" t="s">
        <v>21</v>
      </c>
      <c r="B112" s="7" t="s">
        <v>20</v>
      </c>
      <c r="C112" s="7" t="s">
        <v>20</v>
      </c>
      <c r="D112" s="9">
        <v>266001001418</v>
      </c>
      <c r="E112" s="7" t="s">
        <v>130</v>
      </c>
      <c r="F112" s="7" t="s">
        <v>18</v>
      </c>
      <c r="G112" s="7" t="s">
        <v>34</v>
      </c>
      <c r="H112" s="7">
        <v>32</v>
      </c>
      <c r="I112" s="7">
        <v>18</v>
      </c>
      <c r="J112" s="7">
        <v>14</v>
      </c>
      <c r="K112" s="7">
        <v>0</v>
      </c>
      <c r="L112" s="7">
        <v>0</v>
      </c>
      <c r="M112" s="7">
        <v>0</v>
      </c>
      <c r="N112" s="7"/>
      <c r="O112" s="7"/>
      <c r="P112" s="7" t="s">
        <v>17</v>
      </c>
      <c r="Q112" s="7" t="s">
        <v>194</v>
      </c>
      <c r="R112" s="7" t="s">
        <v>193</v>
      </c>
    </row>
    <row r="113" spans="1:18" x14ac:dyDescent="0.2">
      <c r="A113" s="7" t="s">
        <v>21</v>
      </c>
      <c r="B113" s="7" t="s">
        <v>20</v>
      </c>
      <c r="C113" s="7" t="s">
        <v>20</v>
      </c>
      <c r="D113" s="9">
        <v>166001004234</v>
      </c>
      <c r="E113" s="7" t="s">
        <v>131</v>
      </c>
      <c r="F113" s="7" t="s">
        <v>18</v>
      </c>
      <c r="G113" s="7" t="s">
        <v>19</v>
      </c>
      <c r="H113" s="7">
        <v>29</v>
      </c>
      <c r="I113" s="7">
        <v>10</v>
      </c>
      <c r="J113" s="7">
        <v>19</v>
      </c>
      <c r="K113" s="7">
        <v>0</v>
      </c>
      <c r="L113" s="7">
        <v>0</v>
      </c>
      <c r="M113" s="7">
        <v>0</v>
      </c>
      <c r="N113" s="7"/>
      <c r="O113" s="7"/>
      <c r="P113" s="7" t="s">
        <v>17</v>
      </c>
      <c r="Q113" s="7" t="s">
        <v>194</v>
      </c>
      <c r="R113" s="7" t="s">
        <v>193</v>
      </c>
    </row>
    <row r="114" spans="1:18" x14ac:dyDescent="0.2">
      <c r="A114" s="7" t="s">
        <v>21</v>
      </c>
      <c r="B114" s="7" t="s">
        <v>20</v>
      </c>
      <c r="C114" s="7" t="s">
        <v>20</v>
      </c>
      <c r="D114" s="9">
        <v>266001001663</v>
      </c>
      <c r="E114" s="7" t="s">
        <v>132</v>
      </c>
      <c r="F114" s="7" t="s">
        <v>18</v>
      </c>
      <c r="G114" s="7" t="s">
        <v>34</v>
      </c>
      <c r="H114" s="7">
        <v>29</v>
      </c>
      <c r="I114" s="7">
        <v>3</v>
      </c>
      <c r="J114" s="7">
        <v>26</v>
      </c>
      <c r="K114" s="7">
        <v>0</v>
      </c>
      <c r="L114" s="7">
        <v>0</v>
      </c>
      <c r="M114" s="7">
        <v>0</v>
      </c>
      <c r="N114" s="7">
        <v>1</v>
      </c>
      <c r="O114" s="7"/>
      <c r="P114" s="7" t="s">
        <v>17</v>
      </c>
      <c r="Q114" s="7" t="s">
        <v>194</v>
      </c>
      <c r="R114" s="7" t="s">
        <v>193</v>
      </c>
    </row>
    <row r="115" spans="1:18" x14ac:dyDescent="0.2">
      <c r="A115" s="7" t="s">
        <v>21</v>
      </c>
      <c r="B115" s="7" t="s">
        <v>20</v>
      </c>
      <c r="C115" s="7" t="s">
        <v>20</v>
      </c>
      <c r="D115" s="9">
        <v>266001001043</v>
      </c>
      <c r="E115" s="7" t="s">
        <v>133</v>
      </c>
      <c r="F115" s="7" t="s">
        <v>18</v>
      </c>
      <c r="G115" s="7" t="s">
        <v>34</v>
      </c>
      <c r="H115" s="7">
        <v>28</v>
      </c>
      <c r="I115" s="7">
        <v>3</v>
      </c>
      <c r="J115" s="7">
        <v>25</v>
      </c>
      <c r="K115" s="7">
        <v>0</v>
      </c>
      <c r="L115" s="7">
        <v>0</v>
      </c>
      <c r="M115" s="7">
        <v>0</v>
      </c>
      <c r="N115" s="7">
        <v>2</v>
      </c>
      <c r="O115" s="7"/>
      <c r="P115" s="7" t="s">
        <v>17</v>
      </c>
      <c r="Q115" s="7" t="s">
        <v>194</v>
      </c>
      <c r="R115" s="7" t="s">
        <v>193</v>
      </c>
    </row>
    <row r="116" spans="1:18" x14ac:dyDescent="0.2">
      <c r="A116" s="7" t="s">
        <v>21</v>
      </c>
      <c r="B116" s="7" t="s">
        <v>20</v>
      </c>
      <c r="C116" s="7" t="s">
        <v>20</v>
      </c>
      <c r="D116" s="9">
        <v>266001001329</v>
      </c>
      <c r="E116" s="7" t="s">
        <v>134</v>
      </c>
      <c r="F116" s="7" t="s">
        <v>18</v>
      </c>
      <c r="G116" s="7" t="s">
        <v>34</v>
      </c>
      <c r="H116" s="7">
        <v>27</v>
      </c>
      <c r="I116" s="7">
        <v>2</v>
      </c>
      <c r="J116" s="7">
        <v>25</v>
      </c>
      <c r="K116" s="7">
        <v>0</v>
      </c>
      <c r="L116" s="7">
        <v>0</v>
      </c>
      <c r="M116" s="7">
        <v>0</v>
      </c>
      <c r="N116" s="7">
        <v>2</v>
      </c>
      <c r="O116" s="7"/>
      <c r="P116" s="7" t="s">
        <v>17</v>
      </c>
      <c r="Q116" s="7" t="s">
        <v>194</v>
      </c>
      <c r="R116" s="7" t="s">
        <v>193</v>
      </c>
    </row>
    <row r="117" spans="1:18" x14ac:dyDescent="0.2">
      <c r="A117" s="7" t="s">
        <v>21</v>
      </c>
      <c r="B117" s="7" t="s">
        <v>20</v>
      </c>
      <c r="C117" s="7" t="s">
        <v>20</v>
      </c>
      <c r="D117" s="9">
        <v>266001001221</v>
      </c>
      <c r="E117" s="7" t="s">
        <v>135</v>
      </c>
      <c r="F117" s="7" t="s">
        <v>18</v>
      </c>
      <c r="G117" s="7" t="s">
        <v>34</v>
      </c>
      <c r="H117" s="7">
        <v>27</v>
      </c>
      <c r="I117" s="7">
        <v>5</v>
      </c>
      <c r="J117" s="7">
        <v>22</v>
      </c>
      <c r="K117" s="7">
        <v>0</v>
      </c>
      <c r="L117" s="7">
        <v>0</v>
      </c>
      <c r="M117" s="7">
        <v>0</v>
      </c>
      <c r="N117" s="7"/>
      <c r="O117" s="7"/>
      <c r="P117" s="7" t="s">
        <v>17</v>
      </c>
      <c r="Q117" s="7" t="s">
        <v>194</v>
      </c>
      <c r="R117" s="7" t="s">
        <v>193</v>
      </c>
    </row>
    <row r="118" spans="1:18" x14ac:dyDescent="0.2">
      <c r="A118" s="7" t="s">
        <v>21</v>
      </c>
      <c r="B118" s="7" t="s">
        <v>20</v>
      </c>
      <c r="C118" s="7" t="s">
        <v>20</v>
      </c>
      <c r="D118" s="9">
        <v>266001003011</v>
      </c>
      <c r="E118" s="7" t="s">
        <v>136</v>
      </c>
      <c r="F118" s="7" t="s">
        <v>18</v>
      </c>
      <c r="G118" s="7" t="s">
        <v>34</v>
      </c>
      <c r="H118" s="7">
        <v>27</v>
      </c>
      <c r="I118" s="7">
        <v>10</v>
      </c>
      <c r="J118" s="7">
        <v>17</v>
      </c>
      <c r="K118" s="7">
        <v>0</v>
      </c>
      <c r="L118" s="7">
        <v>0</v>
      </c>
      <c r="M118" s="7">
        <v>0</v>
      </c>
      <c r="N118" s="7"/>
      <c r="O118" s="7"/>
      <c r="P118" s="7" t="s">
        <v>17</v>
      </c>
      <c r="Q118" s="7" t="s">
        <v>194</v>
      </c>
      <c r="R118" s="7" t="s">
        <v>193</v>
      </c>
    </row>
    <row r="119" spans="1:18" x14ac:dyDescent="0.2">
      <c r="A119" s="7" t="s">
        <v>21</v>
      </c>
      <c r="B119" s="7" t="s">
        <v>20</v>
      </c>
      <c r="C119" s="7" t="s">
        <v>20</v>
      </c>
      <c r="D119" s="9">
        <v>266001001604</v>
      </c>
      <c r="E119" s="7" t="s">
        <v>137</v>
      </c>
      <c r="F119" s="7" t="s">
        <v>18</v>
      </c>
      <c r="G119" s="7" t="s">
        <v>34</v>
      </c>
      <c r="H119" s="7">
        <v>25</v>
      </c>
      <c r="I119" s="7">
        <v>2</v>
      </c>
      <c r="J119" s="7">
        <v>23</v>
      </c>
      <c r="K119" s="7">
        <v>0</v>
      </c>
      <c r="L119" s="7">
        <v>0</v>
      </c>
      <c r="M119" s="7">
        <v>0</v>
      </c>
      <c r="N119" s="7">
        <v>2</v>
      </c>
      <c r="O119" s="7"/>
      <c r="P119" s="7" t="s">
        <v>17</v>
      </c>
      <c r="Q119" s="7" t="s">
        <v>194</v>
      </c>
      <c r="R119" s="7" t="s">
        <v>193</v>
      </c>
    </row>
    <row r="120" spans="1:18" x14ac:dyDescent="0.2">
      <c r="A120" s="7" t="s">
        <v>21</v>
      </c>
      <c r="B120" s="7" t="s">
        <v>20</v>
      </c>
      <c r="C120" s="7" t="s">
        <v>20</v>
      </c>
      <c r="D120" s="9">
        <v>266001001701</v>
      </c>
      <c r="E120" s="7" t="s">
        <v>138</v>
      </c>
      <c r="F120" s="7" t="s">
        <v>18</v>
      </c>
      <c r="G120" s="7" t="s">
        <v>34</v>
      </c>
      <c r="H120" s="7">
        <v>25</v>
      </c>
      <c r="I120" s="7">
        <v>0</v>
      </c>
      <c r="J120" s="7">
        <v>25</v>
      </c>
      <c r="K120" s="7">
        <v>0</v>
      </c>
      <c r="L120" s="7">
        <v>0</v>
      </c>
      <c r="M120" s="7">
        <v>0</v>
      </c>
      <c r="N120" s="7"/>
      <c r="O120" s="7"/>
      <c r="P120" s="7" t="s">
        <v>17</v>
      </c>
      <c r="Q120" s="7" t="s">
        <v>194</v>
      </c>
      <c r="R120" s="7" t="s">
        <v>193</v>
      </c>
    </row>
    <row r="121" spans="1:18" x14ac:dyDescent="0.2">
      <c r="A121" s="7" t="s">
        <v>21</v>
      </c>
      <c r="B121" s="7" t="s">
        <v>20</v>
      </c>
      <c r="C121" s="7" t="s">
        <v>20</v>
      </c>
      <c r="D121" s="9">
        <v>266001001191</v>
      </c>
      <c r="E121" s="7" t="s">
        <v>139</v>
      </c>
      <c r="F121" s="7" t="s">
        <v>18</v>
      </c>
      <c r="G121" s="7" t="s">
        <v>34</v>
      </c>
      <c r="H121" s="7">
        <v>22</v>
      </c>
      <c r="I121" s="7">
        <v>0</v>
      </c>
      <c r="J121" s="7">
        <v>22</v>
      </c>
      <c r="K121" s="7">
        <v>0</v>
      </c>
      <c r="L121" s="7">
        <v>0</v>
      </c>
      <c r="M121" s="7">
        <v>0</v>
      </c>
      <c r="N121" s="7">
        <v>3</v>
      </c>
      <c r="O121" s="7"/>
      <c r="P121" s="7" t="s">
        <v>17</v>
      </c>
      <c r="Q121" s="7" t="s">
        <v>194</v>
      </c>
      <c r="R121" s="7" t="s">
        <v>193</v>
      </c>
    </row>
    <row r="122" spans="1:18" x14ac:dyDescent="0.2">
      <c r="A122" s="7" t="s">
        <v>21</v>
      </c>
      <c r="B122" s="7" t="s">
        <v>20</v>
      </c>
      <c r="C122" s="7" t="s">
        <v>20</v>
      </c>
      <c r="D122" s="9">
        <v>266001001281</v>
      </c>
      <c r="E122" s="7" t="s">
        <v>140</v>
      </c>
      <c r="F122" s="7" t="s">
        <v>18</v>
      </c>
      <c r="G122" s="7" t="s">
        <v>34</v>
      </c>
      <c r="H122" s="7">
        <v>22</v>
      </c>
      <c r="I122" s="7">
        <v>6</v>
      </c>
      <c r="J122" s="7">
        <v>16</v>
      </c>
      <c r="K122" s="7">
        <v>0</v>
      </c>
      <c r="L122" s="7">
        <v>0</v>
      </c>
      <c r="M122" s="7">
        <v>0</v>
      </c>
      <c r="N122" s="7">
        <v>1</v>
      </c>
      <c r="O122" s="7"/>
      <c r="P122" s="7" t="s">
        <v>17</v>
      </c>
      <c r="Q122" s="7" t="s">
        <v>194</v>
      </c>
      <c r="R122" s="7" t="s">
        <v>193</v>
      </c>
    </row>
    <row r="123" spans="1:18" x14ac:dyDescent="0.2">
      <c r="A123" s="7" t="s">
        <v>21</v>
      </c>
      <c r="B123" s="7" t="s">
        <v>20</v>
      </c>
      <c r="C123" s="7" t="s">
        <v>20</v>
      </c>
      <c r="D123" s="9">
        <v>266001004484</v>
      </c>
      <c r="E123" s="7" t="s">
        <v>141</v>
      </c>
      <c r="F123" s="7" t="s">
        <v>18</v>
      </c>
      <c r="G123" s="7" t="s">
        <v>34</v>
      </c>
      <c r="H123" s="7">
        <v>21</v>
      </c>
      <c r="I123" s="7">
        <v>3</v>
      </c>
      <c r="J123" s="7">
        <v>18</v>
      </c>
      <c r="K123" s="7">
        <v>0</v>
      </c>
      <c r="L123" s="7">
        <v>0</v>
      </c>
      <c r="M123" s="7">
        <v>0</v>
      </c>
      <c r="N123" s="7">
        <v>1</v>
      </c>
      <c r="O123" s="7"/>
      <c r="P123" s="7" t="s">
        <v>17</v>
      </c>
      <c r="Q123" s="7" t="s">
        <v>194</v>
      </c>
      <c r="R123" s="7" t="s">
        <v>193</v>
      </c>
    </row>
    <row r="124" spans="1:18" x14ac:dyDescent="0.2">
      <c r="A124" s="7" t="s">
        <v>21</v>
      </c>
      <c r="B124" s="7" t="s">
        <v>20</v>
      </c>
      <c r="C124" s="7" t="s">
        <v>20</v>
      </c>
      <c r="D124" s="9">
        <v>266001002104</v>
      </c>
      <c r="E124" s="7" t="s">
        <v>142</v>
      </c>
      <c r="F124" s="7" t="s">
        <v>18</v>
      </c>
      <c r="G124" s="7" t="s">
        <v>34</v>
      </c>
      <c r="H124" s="7">
        <v>20</v>
      </c>
      <c r="I124" s="7">
        <v>4</v>
      </c>
      <c r="J124" s="7">
        <v>16</v>
      </c>
      <c r="K124" s="7">
        <v>0</v>
      </c>
      <c r="L124" s="7">
        <v>0</v>
      </c>
      <c r="M124" s="7">
        <v>0</v>
      </c>
      <c r="N124" s="7">
        <v>1</v>
      </c>
      <c r="O124" s="7"/>
      <c r="P124" s="7" t="s">
        <v>17</v>
      </c>
      <c r="Q124" s="7" t="s">
        <v>194</v>
      </c>
      <c r="R124" s="7" t="s">
        <v>193</v>
      </c>
    </row>
    <row r="125" spans="1:18" x14ac:dyDescent="0.2">
      <c r="A125" s="7" t="s">
        <v>21</v>
      </c>
      <c r="B125" s="7" t="s">
        <v>20</v>
      </c>
      <c r="C125" s="7" t="s">
        <v>20</v>
      </c>
      <c r="D125" s="9">
        <v>266001002031</v>
      </c>
      <c r="E125" s="7" t="s">
        <v>143</v>
      </c>
      <c r="F125" s="7" t="s">
        <v>18</v>
      </c>
      <c r="G125" s="7" t="s">
        <v>34</v>
      </c>
      <c r="H125" s="7">
        <v>20</v>
      </c>
      <c r="I125" s="7">
        <v>3</v>
      </c>
      <c r="J125" s="7">
        <v>17</v>
      </c>
      <c r="K125" s="7">
        <v>0</v>
      </c>
      <c r="L125" s="7">
        <v>0</v>
      </c>
      <c r="M125" s="7">
        <v>0</v>
      </c>
      <c r="N125" s="7"/>
      <c r="O125" s="7"/>
      <c r="P125" s="7" t="s">
        <v>17</v>
      </c>
      <c r="Q125" s="7" t="s">
        <v>194</v>
      </c>
      <c r="R125" s="7" t="s">
        <v>193</v>
      </c>
    </row>
    <row r="126" spans="1:18" x14ac:dyDescent="0.2">
      <c r="A126" s="7" t="s">
        <v>21</v>
      </c>
      <c r="B126" s="7" t="s">
        <v>20</v>
      </c>
      <c r="C126" s="7" t="s">
        <v>20</v>
      </c>
      <c r="D126" s="9">
        <v>266001001272</v>
      </c>
      <c r="E126" s="7" t="s">
        <v>144</v>
      </c>
      <c r="F126" s="7" t="s">
        <v>18</v>
      </c>
      <c r="G126" s="7" t="s">
        <v>34</v>
      </c>
      <c r="H126" s="7">
        <v>19</v>
      </c>
      <c r="I126" s="7">
        <v>6</v>
      </c>
      <c r="J126" s="7">
        <v>13</v>
      </c>
      <c r="K126" s="7">
        <v>0</v>
      </c>
      <c r="L126" s="7">
        <v>0</v>
      </c>
      <c r="M126" s="7">
        <v>0</v>
      </c>
      <c r="N126" s="7"/>
      <c r="O126" s="7"/>
      <c r="P126" s="7" t="s">
        <v>17</v>
      </c>
      <c r="Q126" s="7" t="s">
        <v>194</v>
      </c>
      <c r="R126" s="7" t="s">
        <v>193</v>
      </c>
    </row>
    <row r="127" spans="1:18" x14ac:dyDescent="0.2">
      <c r="A127" s="7" t="s">
        <v>21</v>
      </c>
      <c r="B127" s="7" t="s">
        <v>20</v>
      </c>
      <c r="C127" s="7" t="s">
        <v>20</v>
      </c>
      <c r="D127" s="9">
        <v>266001001434</v>
      </c>
      <c r="E127" s="7" t="s">
        <v>145</v>
      </c>
      <c r="F127" s="7" t="s">
        <v>18</v>
      </c>
      <c r="G127" s="7" t="s">
        <v>34</v>
      </c>
      <c r="H127" s="7">
        <v>19</v>
      </c>
      <c r="I127" s="7">
        <v>1</v>
      </c>
      <c r="J127" s="7">
        <v>18</v>
      </c>
      <c r="K127" s="7">
        <v>0</v>
      </c>
      <c r="L127" s="7">
        <v>0</v>
      </c>
      <c r="M127" s="7">
        <v>0</v>
      </c>
      <c r="N127" s="7">
        <v>1</v>
      </c>
      <c r="O127" s="7"/>
      <c r="P127" s="7" t="s">
        <v>17</v>
      </c>
      <c r="Q127" s="7" t="s">
        <v>194</v>
      </c>
      <c r="R127" s="7" t="s">
        <v>193</v>
      </c>
    </row>
    <row r="128" spans="1:18" x14ac:dyDescent="0.2">
      <c r="A128" s="7" t="s">
        <v>21</v>
      </c>
      <c r="B128" s="7" t="s">
        <v>20</v>
      </c>
      <c r="C128" s="7" t="s">
        <v>20</v>
      </c>
      <c r="D128" s="9">
        <v>266001001353</v>
      </c>
      <c r="E128" s="7" t="s">
        <v>146</v>
      </c>
      <c r="F128" s="7" t="s">
        <v>18</v>
      </c>
      <c r="G128" s="7" t="s">
        <v>34</v>
      </c>
      <c r="H128" s="7">
        <v>18</v>
      </c>
      <c r="I128" s="7">
        <v>10</v>
      </c>
      <c r="J128" s="7">
        <v>8</v>
      </c>
      <c r="K128" s="7">
        <v>0</v>
      </c>
      <c r="L128" s="7">
        <v>0</v>
      </c>
      <c r="M128" s="7">
        <v>0</v>
      </c>
      <c r="N128" s="7">
        <v>1</v>
      </c>
      <c r="O128" s="7"/>
      <c r="P128" s="7" t="s">
        <v>17</v>
      </c>
      <c r="Q128" s="7" t="s">
        <v>194</v>
      </c>
      <c r="R128" s="7" t="s">
        <v>193</v>
      </c>
    </row>
    <row r="129" spans="1:18" x14ac:dyDescent="0.2">
      <c r="A129" s="7" t="s">
        <v>21</v>
      </c>
      <c r="B129" s="7" t="s">
        <v>20</v>
      </c>
      <c r="C129" s="7" t="s">
        <v>20</v>
      </c>
      <c r="D129" s="9">
        <v>266001001124</v>
      </c>
      <c r="E129" s="7" t="s">
        <v>147</v>
      </c>
      <c r="F129" s="7" t="s">
        <v>18</v>
      </c>
      <c r="G129" s="7" t="s">
        <v>34</v>
      </c>
      <c r="H129" s="7">
        <v>18</v>
      </c>
      <c r="I129" s="7">
        <v>0</v>
      </c>
      <c r="J129" s="7">
        <v>18</v>
      </c>
      <c r="K129" s="7">
        <v>0</v>
      </c>
      <c r="L129" s="7">
        <v>0</v>
      </c>
      <c r="M129" s="7">
        <v>0</v>
      </c>
      <c r="N129" s="7"/>
      <c r="O129" s="7"/>
      <c r="P129" s="7" t="s">
        <v>17</v>
      </c>
      <c r="Q129" s="7" t="s">
        <v>194</v>
      </c>
      <c r="R129" s="7" t="s">
        <v>193</v>
      </c>
    </row>
    <row r="130" spans="1:18" x14ac:dyDescent="0.2">
      <c r="A130" s="7" t="s">
        <v>21</v>
      </c>
      <c r="B130" s="7" t="s">
        <v>20</v>
      </c>
      <c r="C130" s="7" t="s">
        <v>20</v>
      </c>
      <c r="D130" s="9">
        <v>266001001442</v>
      </c>
      <c r="E130" s="7" t="s">
        <v>148</v>
      </c>
      <c r="F130" s="7" t="s">
        <v>18</v>
      </c>
      <c r="G130" s="7" t="s">
        <v>34</v>
      </c>
      <c r="H130" s="7">
        <v>18</v>
      </c>
      <c r="I130" s="7">
        <v>1</v>
      </c>
      <c r="J130" s="7">
        <v>17</v>
      </c>
      <c r="K130" s="7">
        <v>0</v>
      </c>
      <c r="L130" s="7">
        <v>0</v>
      </c>
      <c r="M130" s="7">
        <v>0</v>
      </c>
      <c r="N130" s="7">
        <v>1</v>
      </c>
      <c r="O130" s="7"/>
      <c r="P130" s="7" t="s">
        <v>17</v>
      </c>
      <c r="Q130" s="7" t="s">
        <v>194</v>
      </c>
      <c r="R130" s="7" t="s">
        <v>193</v>
      </c>
    </row>
    <row r="131" spans="1:18" x14ac:dyDescent="0.2">
      <c r="A131" s="7" t="s">
        <v>21</v>
      </c>
      <c r="B131" s="7" t="s">
        <v>20</v>
      </c>
      <c r="C131" s="7" t="s">
        <v>20</v>
      </c>
      <c r="D131" s="9">
        <v>266001000241</v>
      </c>
      <c r="E131" s="7" t="s">
        <v>149</v>
      </c>
      <c r="F131" s="7" t="s">
        <v>18</v>
      </c>
      <c r="G131" s="7" t="s">
        <v>34</v>
      </c>
      <c r="H131" s="7">
        <v>17</v>
      </c>
      <c r="I131" s="7">
        <v>1</v>
      </c>
      <c r="J131" s="7">
        <v>16</v>
      </c>
      <c r="K131" s="7">
        <v>0</v>
      </c>
      <c r="L131" s="7">
        <v>0</v>
      </c>
      <c r="M131" s="7">
        <v>0</v>
      </c>
      <c r="N131" s="7">
        <v>1</v>
      </c>
      <c r="O131" s="7"/>
      <c r="P131" s="7" t="s">
        <v>17</v>
      </c>
      <c r="Q131" s="7" t="s">
        <v>194</v>
      </c>
      <c r="R131" s="7" t="s">
        <v>193</v>
      </c>
    </row>
    <row r="132" spans="1:18" x14ac:dyDescent="0.2">
      <c r="A132" s="7" t="s">
        <v>21</v>
      </c>
      <c r="B132" s="7" t="s">
        <v>20</v>
      </c>
      <c r="C132" s="7" t="s">
        <v>20</v>
      </c>
      <c r="D132" s="9">
        <v>266001001493</v>
      </c>
      <c r="E132" s="7" t="s">
        <v>76</v>
      </c>
      <c r="F132" s="7" t="s">
        <v>18</v>
      </c>
      <c r="G132" s="7" t="s">
        <v>34</v>
      </c>
      <c r="H132" s="7">
        <v>16</v>
      </c>
      <c r="I132" s="7">
        <v>0</v>
      </c>
      <c r="J132" s="7">
        <v>16</v>
      </c>
      <c r="K132" s="7">
        <v>0</v>
      </c>
      <c r="L132" s="7">
        <v>0</v>
      </c>
      <c r="M132" s="7">
        <v>0</v>
      </c>
      <c r="N132" s="7">
        <v>1</v>
      </c>
      <c r="O132" s="7"/>
      <c r="P132" s="7" t="s">
        <v>17</v>
      </c>
      <c r="Q132" s="7" t="s">
        <v>194</v>
      </c>
      <c r="R132" s="7" t="s">
        <v>193</v>
      </c>
    </row>
    <row r="133" spans="1:18" x14ac:dyDescent="0.2">
      <c r="A133" s="7" t="s">
        <v>21</v>
      </c>
      <c r="B133" s="7" t="s">
        <v>20</v>
      </c>
      <c r="C133" s="7" t="s">
        <v>20</v>
      </c>
      <c r="D133" s="9">
        <v>266001001728</v>
      </c>
      <c r="E133" s="7" t="s">
        <v>150</v>
      </c>
      <c r="F133" s="7" t="s">
        <v>18</v>
      </c>
      <c r="G133" s="7" t="s">
        <v>34</v>
      </c>
      <c r="H133" s="7">
        <v>16</v>
      </c>
      <c r="I133" s="7">
        <v>4</v>
      </c>
      <c r="J133" s="7">
        <v>12</v>
      </c>
      <c r="K133" s="7">
        <v>0</v>
      </c>
      <c r="L133" s="7">
        <v>0</v>
      </c>
      <c r="M133" s="7">
        <v>0</v>
      </c>
      <c r="N133" s="7"/>
      <c r="O133" s="7"/>
      <c r="P133" s="7" t="s">
        <v>17</v>
      </c>
      <c r="Q133" s="7" t="s">
        <v>194</v>
      </c>
      <c r="R133" s="7" t="s">
        <v>193</v>
      </c>
    </row>
    <row r="134" spans="1:18" x14ac:dyDescent="0.2">
      <c r="A134" s="7" t="s">
        <v>21</v>
      </c>
      <c r="B134" s="7" t="s">
        <v>20</v>
      </c>
      <c r="C134" s="7" t="s">
        <v>20</v>
      </c>
      <c r="D134" s="9">
        <v>266001001345</v>
      </c>
      <c r="E134" s="7" t="s">
        <v>151</v>
      </c>
      <c r="F134" s="7" t="s">
        <v>18</v>
      </c>
      <c r="G134" s="7" t="s">
        <v>34</v>
      </c>
      <c r="H134" s="7">
        <v>16</v>
      </c>
      <c r="I134" s="7">
        <v>3</v>
      </c>
      <c r="J134" s="7">
        <v>13</v>
      </c>
      <c r="K134" s="7">
        <v>0</v>
      </c>
      <c r="L134" s="7">
        <v>0</v>
      </c>
      <c r="M134" s="7">
        <v>0</v>
      </c>
      <c r="N134" s="7">
        <v>1</v>
      </c>
      <c r="O134" s="7"/>
      <c r="P134" s="7" t="s">
        <v>17</v>
      </c>
      <c r="Q134" s="7" t="s">
        <v>194</v>
      </c>
      <c r="R134" s="7" t="s">
        <v>193</v>
      </c>
    </row>
    <row r="135" spans="1:18" x14ac:dyDescent="0.2">
      <c r="A135" s="7" t="s">
        <v>21</v>
      </c>
      <c r="B135" s="7" t="s">
        <v>20</v>
      </c>
      <c r="C135" s="7" t="s">
        <v>20</v>
      </c>
      <c r="D135" s="9">
        <v>266001002295</v>
      </c>
      <c r="E135" s="7" t="s">
        <v>152</v>
      </c>
      <c r="F135" s="7" t="s">
        <v>18</v>
      </c>
      <c r="G135" s="7" t="s">
        <v>34</v>
      </c>
      <c r="H135" s="7">
        <v>16</v>
      </c>
      <c r="I135" s="7">
        <v>1</v>
      </c>
      <c r="J135" s="7">
        <v>15</v>
      </c>
      <c r="K135" s="7">
        <v>0</v>
      </c>
      <c r="L135" s="7">
        <v>0</v>
      </c>
      <c r="M135" s="7">
        <v>0</v>
      </c>
      <c r="N135" s="7">
        <v>1</v>
      </c>
      <c r="O135" s="7"/>
      <c r="P135" s="7" t="s">
        <v>17</v>
      </c>
      <c r="Q135" s="7" t="s">
        <v>194</v>
      </c>
      <c r="R135" s="7" t="s">
        <v>193</v>
      </c>
    </row>
    <row r="136" spans="1:18" x14ac:dyDescent="0.2">
      <c r="A136" s="7" t="s">
        <v>21</v>
      </c>
      <c r="B136" s="7" t="s">
        <v>20</v>
      </c>
      <c r="C136" s="7" t="s">
        <v>20</v>
      </c>
      <c r="D136" s="9">
        <v>266001002945</v>
      </c>
      <c r="E136" s="7" t="s">
        <v>153</v>
      </c>
      <c r="F136" s="7" t="s">
        <v>18</v>
      </c>
      <c r="G136" s="7" t="s">
        <v>34</v>
      </c>
      <c r="H136" s="7">
        <v>15</v>
      </c>
      <c r="I136" s="7">
        <v>3</v>
      </c>
      <c r="J136" s="7">
        <v>12</v>
      </c>
      <c r="K136" s="7">
        <v>0</v>
      </c>
      <c r="L136" s="7">
        <v>0</v>
      </c>
      <c r="M136" s="7">
        <v>0</v>
      </c>
      <c r="N136" s="7"/>
      <c r="O136" s="7"/>
      <c r="P136" s="7" t="s">
        <v>17</v>
      </c>
      <c r="Q136" s="7" t="s">
        <v>194</v>
      </c>
      <c r="R136" s="7" t="s">
        <v>193</v>
      </c>
    </row>
    <row r="137" spans="1:18" x14ac:dyDescent="0.2">
      <c r="A137" s="7" t="s">
        <v>21</v>
      </c>
      <c r="B137" s="7" t="s">
        <v>20</v>
      </c>
      <c r="C137" s="7" t="s">
        <v>20</v>
      </c>
      <c r="D137" s="9">
        <v>266001001116</v>
      </c>
      <c r="E137" s="7" t="s">
        <v>154</v>
      </c>
      <c r="F137" s="7" t="s">
        <v>18</v>
      </c>
      <c r="G137" s="7" t="s">
        <v>34</v>
      </c>
      <c r="H137" s="7">
        <v>14</v>
      </c>
      <c r="I137" s="7">
        <v>2</v>
      </c>
      <c r="J137" s="7">
        <v>12</v>
      </c>
      <c r="K137" s="7">
        <v>0</v>
      </c>
      <c r="L137" s="7">
        <v>0</v>
      </c>
      <c r="M137" s="7">
        <v>0</v>
      </c>
      <c r="N137" s="7">
        <v>1</v>
      </c>
      <c r="O137" s="7"/>
      <c r="P137" s="7" t="s">
        <v>17</v>
      </c>
      <c r="Q137" s="7" t="s">
        <v>194</v>
      </c>
      <c r="R137" s="7" t="s">
        <v>193</v>
      </c>
    </row>
    <row r="138" spans="1:18" x14ac:dyDescent="0.2">
      <c r="A138" s="7" t="s">
        <v>21</v>
      </c>
      <c r="B138" s="7" t="s">
        <v>20</v>
      </c>
      <c r="C138" s="7" t="s">
        <v>20</v>
      </c>
      <c r="D138" s="9">
        <v>266001001612</v>
      </c>
      <c r="E138" s="7" t="s">
        <v>155</v>
      </c>
      <c r="F138" s="7" t="s">
        <v>18</v>
      </c>
      <c r="G138" s="7" t="s">
        <v>34</v>
      </c>
      <c r="H138" s="7">
        <v>13</v>
      </c>
      <c r="I138" s="7">
        <v>2</v>
      </c>
      <c r="J138" s="7">
        <v>11</v>
      </c>
      <c r="K138" s="7">
        <v>0</v>
      </c>
      <c r="L138" s="7">
        <v>0</v>
      </c>
      <c r="M138" s="7">
        <v>0</v>
      </c>
      <c r="N138" s="7">
        <v>1</v>
      </c>
      <c r="O138" s="7"/>
      <c r="P138" s="7" t="s">
        <v>17</v>
      </c>
      <c r="Q138" s="7" t="s">
        <v>194</v>
      </c>
      <c r="R138" s="7" t="s">
        <v>193</v>
      </c>
    </row>
    <row r="139" spans="1:18" x14ac:dyDescent="0.2">
      <c r="A139" s="7" t="s">
        <v>21</v>
      </c>
      <c r="B139" s="7" t="s">
        <v>20</v>
      </c>
      <c r="C139" s="7" t="s">
        <v>20</v>
      </c>
      <c r="D139" s="9">
        <v>266001001621</v>
      </c>
      <c r="E139" s="7" t="s">
        <v>156</v>
      </c>
      <c r="F139" s="7" t="s">
        <v>18</v>
      </c>
      <c r="G139" s="7" t="s">
        <v>34</v>
      </c>
      <c r="H139" s="7">
        <v>12</v>
      </c>
      <c r="I139" s="7">
        <v>0</v>
      </c>
      <c r="J139" s="7">
        <v>12</v>
      </c>
      <c r="K139" s="7">
        <v>0</v>
      </c>
      <c r="L139" s="7">
        <v>0</v>
      </c>
      <c r="M139" s="7">
        <v>0</v>
      </c>
      <c r="N139" s="7">
        <v>1</v>
      </c>
      <c r="O139" s="7"/>
      <c r="P139" s="7" t="s">
        <v>17</v>
      </c>
      <c r="Q139" s="7" t="s">
        <v>194</v>
      </c>
      <c r="R139" s="7" t="s">
        <v>193</v>
      </c>
    </row>
    <row r="140" spans="1:18" x14ac:dyDescent="0.2">
      <c r="A140" s="7" t="s">
        <v>21</v>
      </c>
      <c r="B140" s="7" t="s">
        <v>20</v>
      </c>
      <c r="C140" s="7" t="s">
        <v>20</v>
      </c>
      <c r="D140" s="9">
        <v>266001001086</v>
      </c>
      <c r="E140" s="7" t="s">
        <v>157</v>
      </c>
      <c r="F140" s="7" t="s">
        <v>18</v>
      </c>
      <c r="G140" s="7" t="s">
        <v>34</v>
      </c>
      <c r="H140" s="7">
        <v>12</v>
      </c>
      <c r="I140" s="7">
        <v>3</v>
      </c>
      <c r="J140" s="7">
        <v>9</v>
      </c>
      <c r="K140" s="7">
        <v>0</v>
      </c>
      <c r="L140" s="7">
        <v>0</v>
      </c>
      <c r="M140" s="7">
        <v>0</v>
      </c>
      <c r="N140" s="7">
        <v>1</v>
      </c>
      <c r="O140" s="7"/>
      <c r="P140" s="7" t="s">
        <v>17</v>
      </c>
      <c r="Q140" s="7" t="s">
        <v>194</v>
      </c>
      <c r="R140" s="7" t="s">
        <v>193</v>
      </c>
    </row>
    <row r="141" spans="1:18" x14ac:dyDescent="0.2">
      <c r="A141" s="7" t="s">
        <v>21</v>
      </c>
      <c r="B141" s="7" t="s">
        <v>20</v>
      </c>
      <c r="C141" s="7" t="s">
        <v>20</v>
      </c>
      <c r="D141" s="9">
        <v>266001001299</v>
      </c>
      <c r="E141" s="7" t="s">
        <v>158</v>
      </c>
      <c r="F141" s="7" t="s">
        <v>18</v>
      </c>
      <c r="G141" s="7" t="s">
        <v>34</v>
      </c>
      <c r="H141" s="7">
        <v>12</v>
      </c>
      <c r="I141" s="7">
        <v>2</v>
      </c>
      <c r="J141" s="7">
        <v>10</v>
      </c>
      <c r="K141" s="7">
        <v>0</v>
      </c>
      <c r="L141" s="7">
        <v>0</v>
      </c>
      <c r="M141" s="7">
        <v>0</v>
      </c>
      <c r="N141" s="7"/>
      <c r="O141" s="7"/>
      <c r="P141" s="7" t="s">
        <v>17</v>
      </c>
      <c r="Q141" s="7" t="s">
        <v>194</v>
      </c>
      <c r="R141" s="7" t="s">
        <v>193</v>
      </c>
    </row>
    <row r="142" spans="1:18" x14ac:dyDescent="0.2">
      <c r="A142" s="7" t="s">
        <v>21</v>
      </c>
      <c r="B142" s="7" t="s">
        <v>20</v>
      </c>
      <c r="C142" s="7" t="s">
        <v>20</v>
      </c>
      <c r="D142" s="9">
        <v>266001004336</v>
      </c>
      <c r="E142" s="7" t="s">
        <v>159</v>
      </c>
      <c r="F142" s="7" t="s">
        <v>18</v>
      </c>
      <c r="G142" s="7" t="s">
        <v>34</v>
      </c>
      <c r="H142" s="7">
        <v>12</v>
      </c>
      <c r="I142" s="7">
        <v>1</v>
      </c>
      <c r="J142" s="7">
        <v>11</v>
      </c>
      <c r="K142" s="7">
        <v>0</v>
      </c>
      <c r="L142" s="7">
        <v>0</v>
      </c>
      <c r="M142" s="7">
        <v>0</v>
      </c>
      <c r="N142" s="7">
        <v>1</v>
      </c>
      <c r="O142" s="7"/>
      <c r="P142" s="7" t="s">
        <v>17</v>
      </c>
      <c r="Q142" s="7" t="s">
        <v>194</v>
      </c>
      <c r="R142" s="7" t="s">
        <v>193</v>
      </c>
    </row>
    <row r="143" spans="1:18" x14ac:dyDescent="0.2">
      <c r="A143" s="7" t="s">
        <v>21</v>
      </c>
      <c r="B143" s="7" t="s">
        <v>20</v>
      </c>
      <c r="C143" s="7" t="s">
        <v>20</v>
      </c>
      <c r="D143" s="9">
        <v>266001001566</v>
      </c>
      <c r="E143" s="7" t="s">
        <v>160</v>
      </c>
      <c r="F143" s="7" t="s">
        <v>18</v>
      </c>
      <c r="G143" s="7" t="s">
        <v>34</v>
      </c>
      <c r="H143" s="7">
        <v>12</v>
      </c>
      <c r="I143" s="7">
        <v>0</v>
      </c>
      <c r="J143" s="7">
        <v>12</v>
      </c>
      <c r="K143" s="7">
        <v>0</v>
      </c>
      <c r="L143" s="7">
        <v>0</v>
      </c>
      <c r="M143" s="7">
        <v>0</v>
      </c>
      <c r="N143" s="7">
        <v>1</v>
      </c>
      <c r="O143" s="7"/>
      <c r="P143" s="7" t="s">
        <v>17</v>
      </c>
      <c r="Q143" s="7" t="s">
        <v>194</v>
      </c>
      <c r="R143" s="7" t="s">
        <v>193</v>
      </c>
    </row>
    <row r="144" spans="1:18" x14ac:dyDescent="0.2">
      <c r="A144" s="7" t="s">
        <v>21</v>
      </c>
      <c r="B144" s="7" t="s">
        <v>20</v>
      </c>
      <c r="C144" s="7" t="s">
        <v>20</v>
      </c>
      <c r="D144" s="9">
        <v>266001005294</v>
      </c>
      <c r="E144" s="7" t="s">
        <v>161</v>
      </c>
      <c r="F144" s="7" t="s">
        <v>18</v>
      </c>
      <c r="G144" s="7" t="s">
        <v>34</v>
      </c>
      <c r="H144" s="7">
        <v>12</v>
      </c>
      <c r="I144" s="7">
        <v>0</v>
      </c>
      <c r="J144" s="7">
        <v>12</v>
      </c>
      <c r="K144" s="7">
        <v>0</v>
      </c>
      <c r="L144" s="7">
        <v>0</v>
      </c>
      <c r="M144" s="7">
        <v>0</v>
      </c>
      <c r="N144" s="7">
        <v>1</v>
      </c>
      <c r="O144" s="7"/>
      <c r="P144" s="7" t="s">
        <v>17</v>
      </c>
      <c r="Q144" s="7" t="s">
        <v>194</v>
      </c>
      <c r="R144" s="7" t="s">
        <v>193</v>
      </c>
    </row>
    <row r="145" spans="1:18" x14ac:dyDescent="0.2">
      <c r="A145" s="7" t="s">
        <v>21</v>
      </c>
      <c r="B145" s="7" t="s">
        <v>20</v>
      </c>
      <c r="C145" s="7" t="s">
        <v>20</v>
      </c>
      <c r="D145" s="9">
        <v>266001001591</v>
      </c>
      <c r="E145" s="7" t="s">
        <v>162</v>
      </c>
      <c r="F145" s="7" t="s">
        <v>18</v>
      </c>
      <c r="G145" s="7" t="s">
        <v>34</v>
      </c>
      <c r="H145" s="7">
        <v>11</v>
      </c>
      <c r="I145" s="7">
        <v>0</v>
      </c>
      <c r="J145" s="7">
        <v>11</v>
      </c>
      <c r="K145" s="7">
        <v>0</v>
      </c>
      <c r="L145" s="7">
        <v>0</v>
      </c>
      <c r="M145" s="7">
        <v>0</v>
      </c>
      <c r="N145" s="7">
        <v>1</v>
      </c>
      <c r="O145" s="7"/>
      <c r="P145" s="7" t="s">
        <v>17</v>
      </c>
      <c r="Q145" s="7" t="s">
        <v>194</v>
      </c>
      <c r="R145" s="7" t="s">
        <v>193</v>
      </c>
    </row>
    <row r="146" spans="1:18" x14ac:dyDescent="0.2">
      <c r="A146" s="7" t="s">
        <v>21</v>
      </c>
      <c r="B146" s="7" t="s">
        <v>20</v>
      </c>
      <c r="C146" s="7" t="s">
        <v>20</v>
      </c>
      <c r="D146" s="9">
        <v>266001001302</v>
      </c>
      <c r="E146" s="7" t="s">
        <v>163</v>
      </c>
      <c r="F146" s="7" t="s">
        <v>18</v>
      </c>
      <c r="G146" s="7" t="s">
        <v>34</v>
      </c>
      <c r="H146" s="7">
        <v>11</v>
      </c>
      <c r="I146" s="7">
        <v>1</v>
      </c>
      <c r="J146" s="7">
        <v>10</v>
      </c>
      <c r="K146" s="7">
        <v>0</v>
      </c>
      <c r="L146" s="7">
        <v>0</v>
      </c>
      <c r="M146" s="7">
        <v>0</v>
      </c>
      <c r="N146" s="7">
        <v>1</v>
      </c>
      <c r="O146" s="7"/>
      <c r="P146" s="7" t="s">
        <v>17</v>
      </c>
      <c r="Q146" s="7" t="s">
        <v>194</v>
      </c>
      <c r="R146" s="7" t="s">
        <v>193</v>
      </c>
    </row>
    <row r="147" spans="1:18" x14ac:dyDescent="0.2">
      <c r="A147" s="7" t="s">
        <v>21</v>
      </c>
      <c r="B147" s="7" t="s">
        <v>20</v>
      </c>
      <c r="C147" s="7" t="s">
        <v>20</v>
      </c>
      <c r="D147" s="9">
        <v>266001001485</v>
      </c>
      <c r="E147" s="7" t="s">
        <v>164</v>
      </c>
      <c r="F147" s="7" t="s">
        <v>18</v>
      </c>
      <c r="G147" s="7" t="s">
        <v>34</v>
      </c>
      <c r="H147" s="7">
        <v>11</v>
      </c>
      <c r="I147" s="7">
        <v>1</v>
      </c>
      <c r="J147" s="7">
        <v>10</v>
      </c>
      <c r="K147" s="7">
        <v>0</v>
      </c>
      <c r="L147" s="7">
        <v>0</v>
      </c>
      <c r="M147" s="7">
        <v>0</v>
      </c>
      <c r="N147" s="7">
        <v>1</v>
      </c>
      <c r="O147" s="7"/>
      <c r="P147" s="7" t="s">
        <v>17</v>
      </c>
      <c r="Q147" s="7" t="s">
        <v>194</v>
      </c>
      <c r="R147" s="7" t="s">
        <v>193</v>
      </c>
    </row>
    <row r="148" spans="1:18" x14ac:dyDescent="0.2">
      <c r="A148" s="7" t="s">
        <v>21</v>
      </c>
      <c r="B148" s="7" t="s">
        <v>20</v>
      </c>
      <c r="C148" s="7" t="s">
        <v>20</v>
      </c>
      <c r="D148" s="9">
        <v>266001001574</v>
      </c>
      <c r="E148" s="7" t="s">
        <v>165</v>
      </c>
      <c r="F148" s="7" t="s">
        <v>18</v>
      </c>
      <c r="G148" s="7" t="s">
        <v>34</v>
      </c>
      <c r="H148" s="7">
        <v>11</v>
      </c>
      <c r="I148" s="7">
        <v>0</v>
      </c>
      <c r="J148" s="7">
        <v>11</v>
      </c>
      <c r="K148" s="7">
        <v>0</v>
      </c>
      <c r="L148" s="7">
        <v>0</v>
      </c>
      <c r="M148" s="7">
        <v>0</v>
      </c>
      <c r="N148" s="7">
        <v>1</v>
      </c>
      <c r="O148" s="7"/>
      <c r="P148" s="7" t="s">
        <v>17</v>
      </c>
      <c r="Q148" s="7" t="s">
        <v>194</v>
      </c>
      <c r="R148" s="7" t="s">
        <v>193</v>
      </c>
    </row>
    <row r="149" spans="1:18" x14ac:dyDescent="0.2">
      <c r="A149" s="7" t="s">
        <v>21</v>
      </c>
      <c r="B149" s="7" t="s">
        <v>20</v>
      </c>
      <c r="C149" s="7" t="s">
        <v>20</v>
      </c>
      <c r="D149" s="9">
        <v>266001000209</v>
      </c>
      <c r="E149" s="7" t="s">
        <v>166</v>
      </c>
      <c r="F149" s="7" t="s">
        <v>18</v>
      </c>
      <c r="G149" s="7" t="s">
        <v>34</v>
      </c>
      <c r="H149" s="7">
        <v>11</v>
      </c>
      <c r="I149" s="7">
        <v>1</v>
      </c>
      <c r="J149" s="7">
        <v>10</v>
      </c>
      <c r="K149" s="7">
        <v>0</v>
      </c>
      <c r="L149" s="7">
        <v>0</v>
      </c>
      <c r="M149" s="7">
        <v>0</v>
      </c>
      <c r="N149" s="7">
        <v>1</v>
      </c>
      <c r="O149" s="7"/>
      <c r="P149" s="7" t="s">
        <v>17</v>
      </c>
      <c r="Q149" s="7" t="s">
        <v>194</v>
      </c>
      <c r="R149" s="7" t="s">
        <v>193</v>
      </c>
    </row>
    <row r="150" spans="1:18" x14ac:dyDescent="0.2">
      <c r="A150" s="7" t="s">
        <v>21</v>
      </c>
      <c r="B150" s="7" t="s">
        <v>20</v>
      </c>
      <c r="C150" s="7" t="s">
        <v>20</v>
      </c>
      <c r="D150" s="9">
        <v>266001001132</v>
      </c>
      <c r="E150" s="7" t="s">
        <v>167</v>
      </c>
      <c r="F150" s="7" t="s">
        <v>18</v>
      </c>
      <c r="G150" s="7" t="s">
        <v>34</v>
      </c>
      <c r="H150" s="7">
        <v>10</v>
      </c>
      <c r="I150" s="7">
        <v>5</v>
      </c>
      <c r="J150" s="7">
        <v>5</v>
      </c>
      <c r="K150" s="7">
        <v>0</v>
      </c>
      <c r="L150" s="7">
        <v>0</v>
      </c>
      <c r="M150" s="7">
        <v>0</v>
      </c>
      <c r="N150" s="7"/>
      <c r="O150" s="7"/>
      <c r="P150" s="7" t="s">
        <v>17</v>
      </c>
      <c r="Q150" s="7" t="s">
        <v>194</v>
      </c>
      <c r="R150" s="7" t="s">
        <v>193</v>
      </c>
    </row>
    <row r="151" spans="1:18" x14ac:dyDescent="0.2">
      <c r="A151" s="7" t="s">
        <v>21</v>
      </c>
      <c r="B151" s="7" t="s">
        <v>20</v>
      </c>
      <c r="C151" s="7" t="s">
        <v>20</v>
      </c>
      <c r="D151" s="9">
        <v>266001002112</v>
      </c>
      <c r="E151" s="7" t="s">
        <v>168</v>
      </c>
      <c r="F151" s="7" t="s">
        <v>18</v>
      </c>
      <c r="G151" s="7" t="s">
        <v>34</v>
      </c>
      <c r="H151" s="7">
        <v>10</v>
      </c>
      <c r="I151" s="7">
        <v>1</v>
      </c>
      <c r="J151" s="7">
        <v>9</v>
      </c>
      <c r="K151" s="7">
        <v>0</v>
      </c>
      <c r="L151" s="7">
        <v>0</v>
      </c>
      <c r="M151" s="7">
        <v>0</v>
      </c>
      <c r="N151" s="7">
        <v>1</v>
      </c>
      <c r="O151" s="7"/>
      <c r="P151" s="7" t="s">
        <v>17</v>
      </c>
      <c r="Q151" s="7" t="s">
        <v>194</v>
      </c>
      <c r="R151" s="7" t="s">
        <v>193</v>
      </c>
    </row>
    <row r="152" spans="1:18" x14ac:dyDescent="0.2">
      <c r="A152" s="7" t="s">
        <v>21</v>
      </c>
      <c r="B152" s="7" t="s">
        <v>20</v>
      </c>
      <c r="C152" s="7" t="s">
        <v>20</v>
      </c>
      <c r="D152" s="9">
        <v>266001000250</v>
      </c>
      <c r="E152" s="7" t="s">
        <v>169</v>
      </c>
      <c r="F152" s="7" t="s">
        <v>18</v>
      </c>
      <c r="G152" s="7" t="s">
        <v>34</v>
      </c>
      <c r="H152" s="7">
        <v>10</v>
      </c>
      <c r="I152" s="7">
        <v>1</v>
      </c>
      <c r="J152" s="7">
        <v>9</v>
      </c>
      <c r="K152" s="7">
        <v>0</v>
      </c>
      <c r="L152" s="7">
        <v>0</v>
      </c>
      <c r="M152" s="7">
        <v>0</v>
      </c>
      <c r="N152" s="7"/>
      <c r="O152" s="7"/>
      <c r="P152" s="7" t="s">
        <v>17</v>
      </c>
      <c r="Q152" s="7" t="s">
        <v>194</v>
      </c>
      <c r="R152" s="7" t="s">
        <v>193</v>
      </c>
    </row>
    <row r="153" spans="1:18" x14ac:dyDescent="0.2">
      <c r="A153" s="7" t="s">
        <v>21</v>
      </c>
      <c r="B153" s="7" t="s">
        <v>20</v>
      </c>
      <c r="C153" s="7" t="s">
        <v>20</v>
      </c>
      <c r="D153" s="9">
        <v>266001002023</v>
      </c>
      <c r="E153" s="7" t="s">
        <v>170</v>
      </c>
      <c r="F153" s="7" t="s">
        <v>18</v>
      </c>
      <c r="G153" s="7" t="s">
        <v>34</v>
      </c>
      <c r="H153" s="7">
        <v>10</v>
      </c>
      <c r="I153" s="7">
        <v>0</v>
      </c>
      <c r="J153" s="7">
        <v>10</v>
      </c>
      <c r="K153" s="7">
        <v>0</v>
      </c>
      <c r="L153" s="7">
        <v>0</v>
      </c>
      <c r="M153" s="7">
        <v>0</v>
      </c>
      <c r="N153" s="7">
        <v>2</v>
      </c>
      <c r="O153" s="7"/>
      <c r="P153" s="7" t="s">
        <v>17</v>
      </c>
      <c r="Q153" s="7" t="s">
        <v>194</v>
      </c>
      <c r="R153" s="7" t="s">
        <v>193</v>
      </c>
    </row>
    <row r="154" spans="1:18" x14ac:dyDescent="0.2">
      <c r="A154" s="7" t="s">
        <v>21</v>
      </c>
      <c r="B154" s="7" t="s">
        <v>20</v>
      </c>
      <c r="C154" s="7" t="s">
        <v>20</v>
      </c>
      <c r="D154" s="9">
        <v>266001001540</v>
      </c>
      <c r="E154" s="7" t="s">
        <v>171</v>
      </c>
      <c r="F154" s="7" t="s">
        <v>18</v>
      </c>
      <c r="G154" s="7" t="s">
        <v>34</v>
      </c>
      <c r="H154" s="7">
        <v>9</v>
      </c>
      <c r="I154" s="7">
        <v>0</v>
      </c>
      <c r="J154" s="7">
        <v>9</v>
      </c>
      <c r="K154" s="7">
        <v>0</v>
      </c>
      <c r="L154" s="7">
        <v>0</v>
      </c>
      <c r="M154" s="7">
        <v>0</v>
      </c>
      <c r="N154" s="7">
        <v>1</v>
      </c>
      <c r="O154" s="7"/>
      <c r="P154" s="7" t="s">
        <v>17</v>
      </c>
      <c r="Q154" s="7" t="s">
        <v>194</v>
      </c>
      <c r="R154" s="7" t="s">
        <v>193</v>
      </c>
    </row>
    <row r="155" spans="1:18" x14ac:dyDescent="0.2">
      <c r="A155" s="7" t="s">
        <v>21</v>
      </c>
      <c r="B155" s="7" t="s">
        <v>20</v>
      </c>
      <c r="C155" s="7" t="s">
        <v>20</v>
      </c>
      <c r="D155" s="9">
        <v>266001002163</v>
      </c>
      <c r="E155" s="7" t="s">
        <v>172</v>
      </c>
      <c r="F155" s="7" t="s">
        <v>18</v>
      </c>
      <c r="G155" s="7" t="s">
        <v>34</v>
      </c>
      <c r="H155" s="7">
        <v>9</v>
      </c>
      <c r="I155" s="7">
        <v>1</v>
      </c>
      <c r="J155" s="7">
        <v>8</v>
      </c>
      <c r="K155" s="7">
        <v>0</v>
      </c>
      <c r="L155" s="7">
        <v>0</v>
      </c>
      <c r="M155" s="7">
        <v>0</v>
      </c>
      <c r="N155" s="7">
        <v>1</v>
      </c>
      <c r="O155" s="7"/>
      <c r="P155" s="7" t="s">
        <v>17</v>
      </c>
      <c r="Q155" s="7" t="s">
        <v>194</v>
      </c>
      <c r="R155" s="7" t="s">
        <v>193</v>
      </c>
    </row>
    <row r="156" spans="1:18" x14ac:dyDescent="0.2">
      <c r="A156" s="7" t="s">
        <v>21</v>
      </c>
      <c r="B156" s="7" t="s">
        <v>20</v>
      </c>
      <c r="C156" s="7" t="s">
        <v>20</v>
      </c>
      <c r="D156" s="9">
        <v>266001002813</v>
      </c>
      <c r="E156" s="7" t="s">
        <v>173</v>
      </c>
      <c r="F156" s="7" t="s">
        <v>18</v>
      </c>
      <c r="G156" s="7" t="s">
        <v>34</v>
      </c>
      <c r="H156" s="7">
        <v>9</v>
      </c>
      <c r="I156" s="7">
        <v>2</v>
      </c>
      <c r="J156" s="7">
        <v>7</v>
      </c>
      <c r="K156" s="7">
        <v>0</v>
      </c>
      <c r="L156" s="7">
        <v>0</v>
      </c>
      <c r="M156" s="7">
        <v>0</v>
      </c>
      <c r="N156" s="7"/>
      <c r="O156" s="7"/>
      <c r="P156" s="7" t="s">
        <v>17</v>
      </c>
      <c r="Q156" s="7" t="s">
        <v>194</v>
      </c>
      <c r="R156" s="7" t="s">
        <v>193</v>
      </c>
    </row>
    <row r="157" spans="1:18" x14ac:dyDescent="0.2">
      <c r="A157" s="7" t="s">
        <v>21</v>
      </c>
      <c r="B157" s="7" t="s">
        <v>20</v>
      </c>
      <c r="C157" s="7" t="s">
        <v>20</v>
      </c>
      <c r="D157" s="9">
        <v>266001001795</v>
      </c>
      <c r="E157" s="7" t="s">
        <v>174</v>
      </c>
      <c r="F157" s="7" t="s">
        <v>18</v>
      </c>
      <c r="G157" s="7" t="s">
        <v>34</v>
      </c>
      <c r="H157" s="7">
        <v>8</v>
      </c>
      <c r="I157" s="7">
        <v>2</v>
      </c>
      <c r="J157" s="7">
        <v>6</v>
      </c>
      <c r="K157" s="7">
        <v>0</v>
      </c>
      <c r="L157" s="7">
        <v>0</v>
      </c>
      <c r="M157" s="7">
        <v>0</v>
      </c>
      <c r="N157" s="7">
        <v>1</v>
      </c>
      <c r="O157" s="7"/>
      <c r="P157" s="7" t="s">
        <v>17</v>
      </c>
      <c r="Q157" s="7" t="s">
        <v>194</v>
      </c>
      <c r="R157" s="7" t="s">
        <v>193</v>
      </c>
    </row>
    <row r="158" spans="1:18" x14ac:dyDescent="0.2">
      <c r="A158" s="7" t="s">
        <v>21</v>
      </c>
      <c r="B158" s="7" t="s">
        <v>20</v>
      </c>
      <c r="C158" s="7" t="s">
        <v>20</v>
      </c>
      <c r="D158" s="9">
        <v>266001004808</v>
      </c>
      <c r="E158" s="7" t="s">
        <v>175</v>
      </c>
      <c r="F158" s="7" t="s">
        <v>18</v>
      </c>
      <c r="G158" s="7" t="s">
        <v>34</v>
      </c>
      <c r="H158" s="7">
        <v>8</v>
      </c>
      <c r="I158" s="7">
        <v>0</v>
      </c>
      <c r="J158" s="7">
        <v>8</v>
      </c>
      <c r="K158" s="7">
        <v>0</v>
      </c>
      <c r="L158" s="7">
        <v>0</v>
      </c>
      <c r="M158" s="7">
        <v>0</v>
      </c>
      <c r="N158" s="7">
        <v>1</v>
      </c>
      <c r="O158" s="7"/>
      <c r="P158" s="7" t="s">
        <v>17</v>
      </c>
      <c r="Q158" s="7" t="s">
        <v>194</v>
      </c>
      <c r="R158" s="7" t="s">
        <v>193</v>
      </c>
    </row>
    <row r="159" spans="1:18" x14ac:dyDescent="0.2">
      <c r="A159" s="7" t="s">
        <v>21</v>
      </c>
      <c r="B159" s="7" t="s">
        <v>20</v>
      </c>
      <c r="C159" s="7" t="s">
        <v>20</v>
      </c>
      <c r="D159" s="9">
        <v>266001001230</v>
      </c>
      <c r="E159" s="7" t="s">
        <v>176</v>
      </c>
      <c r="F159" s="7" t="s">
        <v>18</v>
      </c>
      <c r="G159" s="7" t="s">
        <v>34</v>
      </c>
      <c r="H159" s="7">
        <v>7</v>
      </c>
      <c r="I159" s="7">
        <v>1</v>
      </c>
      <c r="J159" s="7">
        <v>6</v>
      </c>
      <c r="K159" s="7">
        <v>0</v>
      </c>
      <c r="L159" s="7">
        <v>0</v>
      </c>
      <c r="M159" s="7">
        <v>0</v>
      </c>
      <c r="N159" s="7">
        <v>1</v>
      </c>
      <c r="O159" s="7"/>
      <c r="P159" s="7" t="s">
        <v>17</v>
      </c>
      <c r="Q159" s="7" t="s">
        <v>194</v>
      </c>
      <c r="R159" s="7" t="s">
        <v>193</v>
      </c>
    </row>
    <row r="160" spans="1:18" x14ac:dyDescent="0.2">
      <c r="A160" s="7" t="s">
        <v>21</v>
      </c>
      <c r="B160" s="7" t="s">
        <v>20</v>
      </c>
      <c r="C160" s="7" t="s">
        <v>20</v>
      </c>
      <c r="D160" s="9">
        <v>266001001515</v>
      </c>
      <c r="E160" s="7" t="s">
        <v>177</v>
      </c>
      <c r="F160" s="7" t="s">
        <v>18</v>
      </c>
      <c r="G160" s="7" t="s">
        <v>34</v>
      </c>
      <c r="H160" s="7">
        <v>7</v>
      </c>
      <c r="I160" s="7">
        <v>2</v>
      </c>
      <c r="J160" s="7">
        <v>5</v>
      </c>
      <c r="K160" s="7">
        <v>0</v>
      </c>
      <c r="L160" s="7">
        <v>0</v>
      </c>
      <c r="M160" s="7">
        <v>0</v>
      </c>
      <c r="N160" s="7">
        <v>1</v>
      </c>
      <c r="O160" s="7"/>
      <c r="P160" s="7" t="s">
        <v>17</v>
      </c>
      <c r="Q160" s="7" t="s">
        <v>194</v>
      </c>
      <c r="R160" s="7" t="s">
        <v>193</v>
      </c>
    </row>
    <row r="161" spans="1:18" x14ac:dyDescent="0.2">
      <c r="A161" s="7" t="s">
        <v>21</v>
      </c>
      <c r="B161" s="7" t="s">
        <v>20</v>
      </c>
      <c r="C161" s="7" t="s">
        <v>20</v>
      </c>
      <c r="D161" s="9">
        <v>266001001051</v>
      </c>
      <c r="E161" s="7" t="s">
        <v>178</v>
      </c>
      <c r="F161" s="7" t="s">
        <v>18</v>
      </c>
      <c r="G161" s="7" t="s">
        <v>34</v>
      </c>
      <c r="H161" s="7">
        <v>6</v>
      </c>
      <c r="I161" s="7">
        <v>2</v>
      </c>
      <c r="J161" s="7">
        <v>4</v>
      </c>
      <c r="K161" s="7">
        <v>0</v>
      </c>
      <c r="L161" s="7">
        <v>0</v>
      </c>
      <c r="M161" s="7">
        <v>0</v>
      </c>
      <c r="N161" s="7">
        <v>1</v>
      </c>
      <c r="O161" s="7"/>
      <c r="P161" s="7" t="s">
        <v>17</v>
      </c>
      <c r="Q161" s="7" t="s">
        <v>194</v>
      </c>
      <c r="R161" s="7" t="s">
        <v>193</v>
      </c>
    </row>
    <row r="162" spans="1:18" x14ac:dyDescent="0.2">
      <c r="A162" s="7" t="s">
        <v>21</v>
      </c>
      <c r="B162" s="7" t="s">
        <v>20</v>
      </c>
      <c r="C162" s="7" t="s">
        <v>20</v>
      </c>
      <c r="D162" s="9">
        <v>266001001388</v>
      </c>
      <c r="E162" s="7" t="s">
        <v>179</v>
      </c>
      <c r="F162" s="7" t="s">
        <v>18</v>
      </c>
      <c r="G162" s="7" t="s">
        <v>34</v>
      </c>
      <c r="H162" s="7">
        <v>6</v>
      </c>
      <c r="I162" s="7">
        <v>0</v>
      </c>
      <c r="J162" s="7">
        <v>6</v>
      </c>
      <c r="K162" s="7">
        <v>0</v>
      </c>
      <c r="L162" s="7">
        <v>0</v>
      </c>
      <c r="M162" s="7">
        <v>0</v>
      </c>
      <c r="N162" s="7">
        <v>1</v>
      </c>
      <c r="O162" s="7"/>
      <c r="P162" s="7" t="s">
        <v>17</v>
      </c>
      <c r="Q162" s="7" t="s">
        <v>194</v>
      </c>
      <c r="R162" s="7" t="s">
        <v>193</v>
      </c>
    </row>
    <row r="163" spans="1:18" x14ac:dyDescent="0.2">
      <c r="A163" s="7" t="s">
        <v>21</v>
      </c>
      <c r="B163" s="7" t="s">
        <v>20</v>
      </c>
      <c r="C163" s="7" t="s">
        <v>20</v>
      </c>
      <c r="D163" s="9">
        <v>266001002635</v>
      </c>
      <c r="E163" s="7" t="s">
        <v>180</v>
      </c>
      <c r="F163" s="7" t="s">
        <v>18</v>
      </c>
      <c r="G163" s="7" t="s">
        <v>34</v>
      </c>
      <c r="H163" s="7">
        <v>5</v>
      </c>
      <c r="I163" s="7">
        <v>2</v>
      </c>
      <c r="J163" s="7">
        <v>3</v>
      </c>
      <c r="K163" s="7">
        <v>0</v>
      </c>
      <c r="L163" s="7">
        <v>0</v>
      </c>
      <c r="M163" s="7">
        <v>0</v>
      </c>
      <c r="N163" s="7">
        <v>1</v>
      </c>
      <c r="O163" s="7"/>
      <c r="P163" s="7" t="s">
        <v>17</v>
      </c>
      <c r="Q163" s="7" t="s">
        <v>194</v>
      </c>
      <c r="R163" s="7" t="s">
        <v>193</v>
      </c>
    </row>
    <row r="164" spans="1:18" x14ac:dyDescent="0.2">
      <c r="A164" s="7" t="s">
        <v>21</v>
      </c>
      <c r="B164" s="7" t="s">
        <v>20</v>
      </c>
      <c r="C164" s="7" t="s">
        <v>20</v>
      </c>
      <c r="D164" s="9">
        <v>266001800132</v>
      </c>
      <c r="E164" s="7" t="s">
        <v>181</v>
      </c>
      <c r="F164" s="7" t="s">
        <v>18</v>
      </c>
      <c r="G164" s="7" t="s">
        <v>34</v>
      </c>
      <c r="H164" s="7">
        <v>4</v>
      </c>
      <c r="I164" s="7">
        <v>2</v>
      </c>
      <c r="J164" s="7">
        <v>2</v>
      </c>
      <c r="K164" s="7">
        <v>0</v>
      </c>
      <c r="L164" s="7">
        <v>0</v>
      </c>
      <c r="M164" s="7">
        <v>0</v>
      </c>
      <c r="N164" s="7">
        <v>1</v>
      </c>
      <c r="O164" s="7"/>
      <c r="P164" s="7" t="s">
        <v>17</v>
      </c>
      <c r="Q164" s="7" t="s">
        <v>194</v>
      </c>
      <c r="R164" s="7" t="s">
        <v>193</v>
      </c>
    </row>
    <row r="165" spans="1:18" x14ac:dyDescent="0.2">
      <c r="A165" s="7" t="s">
        <v>21</v>
      </c>
      <c r="B165" s="7" t="s">
        <v>20</v>
      </c>
      <c r="C165" s="7" t="s">
        <v>20</v>
      </c>
      <c r="D165" s="9">
        <v>266001003445</v>
      </c>
      <c r="E165" s="7" t="s">
        <v>182</v>
      </c>
      <c r="F165" s="7" t="s">
        <v>18</v>
      </c>
      <c r="G165" s="7" t="s">
        <v>34</v>
      </c>
      <c r="H165" s="7">
        <v>4</v>
      </c>
      <c r="I165" s="7">
        <v>1</v>
      </c>
      <c r="J165" s="7">
        <v>3</v>
      </c>
      <c r="K165" s="7">
        <v>0</v>
      </c>
      <c r="L165" s="7">
        <v>0</v>
      </c>
      <c r="M165" s="7">
        <v>0</v>
      </c>
      <c r="N165" s="7">
        <v>1</v>
      </c>
      <c r="O165" s="7"/>
      <c r="P165" s="7" t="s">
        <v>17</v>
      </c>
      <c r="Q165" s="7" t="s">
        <v>194</v>
      </c>
      <c r="R165" s="7" t="s">
        <v>193</v>
      </c>
    </row>
    <row r="166" spans="1:18" x14ac:dyDescent="0.2">
      <c r="A166" s="7" t="s">
        <v>21</v>
      </c>
      <c r="B166" s="7" t="s">
        <v>20</v>
      </c>
      <c r="C166" s="7" t="s">
        <v>20</v>
      </c>
      <c r="D166" s="9">
        <v>266001002775</v>
      </c>
      <c r="E166" s="7" t="s">
        <v>183</v>
      </c>
      <c r="F166" s="7" t="s">
        <v>18</v>
      </c>
      <c r="G166" s="7" t="s">
        <v>34</v>
      </c>
      <c r="H166" s="7">
        <v>3</v>
      </c>
      <c r="I166" s="7">
        <v>0</v>
      </c>
      <c r="J166" s="7">
        <v>3</v>
      </c>
      <c r="K166" s="7">
        <v>0</v>
      </c>
      <c r="L166" s="7">
        <v>0</v>
      </c>
      <c r="M166" s="7">
        <v>0</v>
      </c>
      <c r="N166" s="7">
        <v>1</v>
      </c>
      <c r="O166" s="7"/>
      <c r="P166" s="7" t="s">
        <v>17</v>
      </c>
      <c r="Q166" s="7" t="s">
        <v>194</v>
      </c>
      <c r="R166" s="7" t="s">
        <v>193</v>
      </c>
    </row>
    <row r="167" spans="1:18" x14ac:dyDescent="0.2">
      <c r="A167" s="7" t="s">
        <v>21</v>
      </c>
      <c r="B167" s="7" t="s">
        <v>184</v>
      </c>
      <c r="C167" s="7" t="s">
        <v>184</v>
      </c>
      <c r="D167" s="9">
        <v>166170001023</v>
      </c>
      <c r="E167" s="7" t="s">
        <v>187</v>
      </c>
      <c r="F167" s="7" t="s">
        <v>18</v>
      </c>
      <c r="G167" s="7" t="s">
        <v>19</v>
      </c>
      <c r="H167" s="7">
        <f>SUM(I167:M167)</f>
        <v>981</v>
      </c>
      <c r="I167" s="7">
        <v>53</v>
      </c>
      <c r="J167" s="7">
        <v>401</v>
      </c>
      <c r="K167" s="7">
        <v>383</v>
      </c>
      <c r="L167" s="7">
        <v>144</v>
      </c>
      <c r="M167" s="7">
        <v>0</v>
      </c>
      <c r="N167" s="8">
        <v>47</v>
      </c>
      <c r="O167" s="8">
        <v>3</v>
      </c>
      <c r="P167" s="7" t="s">
        <v>17</v>
      </c>
      <c r="Q167" s="7" t="s">
        <v>194</v>
      </c>
      <c r="R167" s="7" t="s">
        <v>193</v>
      </c>
    </row>
    <row r="168" spans="1:18" x14ac:dyDescent="0.2">
      <c r="A168" s="7" t="s">
        <v>21</v>
      </c>
      <c r="B168" s="7" t="s">
        <v>184</v>
      </c>
      <c r="C168" s="7" t="s">
        <v>184</v>
      </c>
      <c r="D168" s="9">
        <v>166170000256</v>
      </c>
      <c r="E168" s="7" t="s">
        <v>185</v>
      </c>
      <c r="F168" s="7" t="s">
        <v>18</v>
      </c>
      <c r="G168" s="7" t="s">
        <v>19</v>
      </c>
      <c r="H168" s="7">
        <f t="shared" ref="H168:H173" si="0">SUM(I168:M168)</f>
        <v>1317</v>
      </c>
      <c r="I168" s="7">
        <v>95</v>
      </c>
      <c r="J168" s="7">
        <v>593</v>
      </c>
      <c r="K168" s="7">
        <v>463</v>
      </c>
      <c r="L168" s="7">
        <v>166</v>
      </c>
      <c r="M168" s="7">
        <v>0</v>
      </c>
      <c r="N168" s="8">
        <v>55</v>
      </c>
      <c r="O168" s="8">
        <v>3</v>
      </c>
      <c r="P168" s="7" t="s">
        <v>17</v>
      </c>
      <c r="Q168" s="7" t="s">
        <v>194</v>
      </c>
      <c r="R168" s="7" t="s">
        <v>193</v>
      </c>
    </row>
    <row r="169" spans="1:18" x14ac:dyDescent="0.2">
      <c r="A169" s="7" t="s">
        <v>21</v>
      </c>
      <c r="B169" s="7" t="s">
        <v>184</v>
      </c>
      <c r="C169" s="7" t="s">
        <v>184</v>
      </c>
      <c r="D169" s="9">
        <v>166170001881</v>
      </c>
      <c r="E169" s="10" t="s">
        <v>207</v>
      </c>
      <c r="F169" s="7" t="s">
        <v>18</v>
      </c>
      <c r="G169" s="7" t="s">
        <v>19</v>
      </c>
      <c r="H169" s="7">
        <f t="shared" si="0"/>
        <v>1266</v>
      </c>
      <c r="I169" s="7">
        <v>89</v>
      </c>
      <c r="J169" s="7">
        <v>592</v>
      </c>
      <c r="K169" s="7">
        <v>453</v>
      </c>
      <c r="L169" s="7">
        <v>132</v>
      </c>
      <c r="M169" s="7">
        <v>0</v>
      </c>
      <c r="N169" s="8">
        <v>58</v>
      </c>
      <c r="O169" s="8">
        <v>3</v>
      </c>
      <c r="P169" s="7" t="s">
        <v>17</v>
      </c>
      <c r="Q169" s="7" t="s">
        <v>194</v>
      </c>
      <c r="R169" s="7" t="s">
        <v>193</v>
      </c>
    </row>
    <row r="170" spans="1:18" x14ac:dyDescent="0.2">
      <c r="A170" s="7" t="s">
        <v>21</v>
      </c>
      <c r="B170" s="7" t="s">
        <v>184</v>
      </c>
      <c r="C170" s="7" t="s">
        <v>184</v>
      </c>
      <c r="D170" s="9">
        <v>266170000927</v>
      </c>
      <c r="E170" s="10" t="s">
        <v>208</v>
      </c>
      <c r="F170" s="7" t="s">
        <v>18</v>
      </c>
      <c r="G170" s="7" t="s">
        <v>19</v>
      </c>
      <c r="H170" s="7">
        <f t="shared" si="0"/>
        <v>1546</v>
      </c>
      <c r="I170" s="7">
        <v>122</v>
      </c>
      <c r="J170" s="7">
        <v>755</v>
      </c>
      <c r="K170" s="7">
        <v>514</v>
      </c>
      <c r="L170" s="7">
        <v>155</v>
      </c>
      <c r="M170" s="7">
        <v>0</v>
      </c>
      <c r="N170" s="8">
        <v>63</v>
      </c>
      <c r="O170" s="8">
        <v>4</v>
      </c>
      <c r="P170" s="7" t="s">
        <v>17</v>
      </c>
      <c r="Q170" s="7" t="s">
        <v>194</v>
      </c>
      <c r="R170" s="7" t="s">
        <v>193</v>
      </c>
    </row>
    <row r="171" spans="1:18" x14ac:dyDescent="0.2">
      <c r="A171" s="7" t="s">
        <v>21</v>
      </c>
      <c r="B171" s="7" t="s">
        <v>184</v>
      </c>
      <c r="C171" s="7" t="s">
        <v>184</v>
      </c>
      <c r="D171" s="9">
        <v>166170800104</v>
      </c>
      <c r="E171" s="7" t="s">
        <v>186</v>
      </c>
      <c r="F171" s="7" t="s">
        <v>18</v>
      </c>
      <c r="G171" s="7" t="s">
        <v>19</v>
      </c>
      <c r="H171" s="7">
        <f t="shared" si="0"/>
        <v>840</v>
      </c>
      <c r="I171" s="7">
        <v>61</v>
      </c>
      <c r="J171" s="7">
        <v>311</v>
      </c>
      <c r="K171" s="7">
        <v>350</v>
      </c>
      <c r="L171" s="7">
        <v>118</v>
      </c>
      <c r="M171" s="7">
        <v>0</v>
      </c>
      <c r="N171" s="7">
        <v>38</v>
      </c>
      <c r="O171" s="7">
        <v>2</v>
      </c>
      <c r="P171" s="7" t="s">
        <v>17</v>
      </c>
      <c r="Q171" s="7" t="s">
        <v>194</v>
      </c>
      <c r="R171" s="7" t="s">
        <v>193</v>
      </c>
    </row>
    <row r="172" spans="1:18" x14ac:dyDescent="0.2">
      <c r="A172" s="7" t="s">
        <v>21</v>
      </c>
      <c r="B172" s="7" t="s">
        <v>184</v>
      </c>
      <c r="C172" s="7" t="s">
        <v>184</v>
      </c>
      <c r="D172" s="9">
        <v>166170001716</v>
      </c>
      <c r="E172" s="10" t="s">
        <v>209</v>
      </c>
      <c r="F172" s="7" t="s">
        <v>18</v>
      </c>
      <c r="G172" s="7" t="s">
        <v>19</v>
      </c>
      <c r="H172" s="7">
        <f t="shared" si="0"/>
        <v>1627</v>
      </c>
      <c r="I172" s="7">
        <v>148</v>
      </c>
      <c r="J172" s="7">
        <v>758</v>
      </c>
      <c r="K172" s="7">
        <v>560</v>
      </c>
      <c r="L172" s="7">
        <v>161</v>
      </c>
      <c r="M172" s="7">
        <v>0</v>
      </c>
      <c r="N172" s="7">
        <v>76</v>
      </c>
      <c r="O172" s="7">
        <v>2</v>
      </c>
      <c r="P172" s="7" t="s">
        <v>17</v>
      </c>
      <c r="Q172" s="7" t="s">
        <v>194</v>
      </c>
      <c r="R172" s="7" t="s">
        <v>193</v>
      </c>
    </row>
    <row r="173" spans="1:18" x14ac:dyDescent="0.2">
      <c r="A173" s="7" t="s">
        <v>21</v>
      </c>
      <c r="B173" s="7" t="s">
        <v>184</v>
      </c>
      <c r="C173" s="7" t="s">
        <v>184</v>
      </c>
      <c r="D173" s="9">
        <v>166170002496</v>
      </c>
      <c r="E173" s="10" t="s">
        <v>210</v>
      </c>
      <c r="F173" s="7" t="s">
        <v>18</v>
      </c>
      <c r="G173" s="7" t="s">
        <v>19</v>
      </c>
      <c r="H173" s="7">
        <f t="shared" si="0"/>
        <v>1695</v>
      </c>
      <c r="I173" s="7">
        <v>151</v>
      </c>
      <c r="J173" s="7">
        <v>822</v>
      </c>
      <c r="K173" s="7">
        <v>553</v>
      </c>
      <c r="L173" s="7">
        <v>169</v>
      </c>
      <c r="M173" s="7">
        <v>0</v>
      </c>
      <c r="N173" s="7">
        <v>73</v>
      </c>
      <c r="O173" s="7">
        <v>5</v>
      </c>
      <c r="P173" s="7" t="s">
        <v>17</v>
      </c>
      <c r="Q173" s="7" t="s">
        <v>194</v>
      </c>
      <c r="R173" s="7" t="s">
        <v>193</v>
      </c>
    </row>
  </sheetData>
  <autoFilter ref="A1:V173" xr:uid="{7CFE142D-72B2-4BAA-B68F-A690F42511EF}"/>
  <phoneticPr fontId="18" type="noConversion"/>
  <conditionalFormatting sqref="Q1:Q173">
    <cfRule type="containsText" dxfId="2" priority="1" operator="containsText" text="Afectación menor">
      <formula>NOT(ISERROR(SEARCH("Afectación menor",Q1)))</formula>
    </cfRule>
    <cfRule type="containsText" dxfId="1" priority="2" operator="containsText" text="Afectación parcial">
      <formula>NOT(ISERROR(SEARCH("Afectación parcial",Q1)))</formula>
    </cfRule>
    <cfRule type="containsText" dxfId="0" priority="3" operator="containsText" text="Colapso parcial">
      <formula>NOT(ISERROR(SEARCH("Colapso parcial",Q1)))</formula>
    </cfRule>
  </conditionalFormatting>
  <pageMargins left="0.7" right="0.7" top="0.75" bottom="0.75" header="0.3" footer="0.3"/>
  <ignoredErrors>
    <ignoredError sqref="H167 H168:H173" formulaRange="1"/>
  </ignoredErrors>
  <extLst>
    <ext xmlns:x14="http://schemas.microsoft.com/office/spreadsheetml/2009/9/main" uri="{CCE6A557-97BC-4b89-ADB6-D9C93CAAB3DF}">
      <x14:dataValidations xmlns:xm="http://schemas.microsoft.com/office/excel/2006/main" count="2">
        <x14:dataValidation type="list" allowBlank="1" showInputMessage="1" showErrorMessage="1" xr:uid="{953432D5-C43C-4714-8A69-ED121C294EDA}">
          <x14:formula1>
            <xm:f>'Clasificacion de afectación'!$A$2:$A$7</xm:f>
          </x14:formula1>
          <xm:sqref>Q2:Q173</xm:sqref>
        </x14:dataValidation>
        <x14:dataValidation type="list" allowBlank="1" showInputMessage="1" showErrorMessage="1" xr:uid="{F0233D10-B67A-4B7B-81DF-E0178B71FD56}">
          <x14:formula1>
            <xm:f>'Clasificacion de afectación'!$D$2:$D$3</xm:f>
          </x14:formula1>
          <xm:sqref>R2:R173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3BFD1-1A4A-4230-BBBD-24811D6CD012}">
  <dimension ref="A1:D8"/>
  <sheetViews>
    <sheetView topLeftCell="A2" zoomScaleNormal="100" workbookViewId="0">
      <selection activeCell="A8" sqref="A8:B8"/>
    </sheetView>
  </sheetViews>
  <sheetFormatPr defaultColWidth="10.76171875" defaultRowHeight="15" x14ac:dyDescent="0.2"/>
  <cols>
    <col min="1" max="1" width="30.8046875" customWidth="1"/>
    <col min="2" max="2" width="132.1015625" customWidth="1"/>
  </cols>
  <sheetData>
    <row r="1" spans="1:4" ht="15.75" x14ac:dyDescent="0.2">
      <c r="A1" s="1" t="s">
        <v>188</v>
      </c>
      <c r="B1" s="2" t="s">
        <v>189</v>
      </c>
      <c r="D1" s="3" t="s">
        <v>190</v>
      </c>
    </row>
    <row r="2" spans="1:4" ht="73.150000000000006" customHeight="1" x14ac:dyDescent="0.2">
      <c r="A2" s="4" t="s">
        <v>191</v>
      </c>
      <c r="B2" s="5" t="s">
        <v>192</v>
      </c>
      <c r="D2" s="3" t="s">
        <v>193</v>
      </c>
    </row>
    <row r="3" spans="1:4" ht="77.650000000000006" customHeight="1" x14ac:dyDescent="0.2">
      <c r="A3" s="4" t="s">
        <v>194</v>
      </c>
      <c r="B3" s="5" t="s">
        <v>195</v>
      </c>
      <c r="D3" s="3" t="s">
        <v>196</v>
      </c>
    </row>
    <row r="4" spans="1:4" ht="88.15" customHeight="1" x14ac:dyDescent="0.2">
      <c r="A4" s="4" t="s">
        <v>197</v>
      </c>
      <c r="B4" s="5" t="s">
        <v>198</v>
      </c>
    </row>
    <row r="5" spans="1:4" ht="94.15" customHeight="1" x14ac:dyDescent="0.2">
      <c r="A5" s="4" t="s">
        <v>199</v>
      </c>
      <c r="B5" s="5" t="s">
        <v>200</v>
      </c>
    </row>
    <row r="6" spans="1:4" ht="64.900000000000006" customHeight="1" x14ac:dyDescent="0.2">
      <c r="A6" s="4" t="s">
        <v>201</v>
      </c>
      <c r="B6" s="5" t="s">
        <v>202</v>
      </c>
    </row>
    <row r="7" spans="1:4" ht="64.900000000000006" customHeight="1" x14ac:dyDescent="0.2">
      <c r="A7" s="4" t="s">
        <v>203</v>
      </c>
      <c r="B7" s="5" t="s">
        <v>204</v>
      </c>
    </row>
    <row r="8" spans="1:4" x14ac:dyDescent="0.2">
      <c r="A8" s="4" t="s">
        <v>230</v>
      </c>
      <c r="B8" s="5"/>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0666E76BD6E1489FF56D963F0203E9" ma:contentTypeVersion="9" ma:contentTypeDescription="Crear nuevo documento." ma:contentTypeScope="" ma:versionID="77d91d2f5274d835643a4d2984a5263e">
  <xsd:schema xmlns:xsd="http://www.w3.org/2001/XMLSchema" xmlns:xs="http://www.w3.org/2001/XMLSchema" xmlns:p="http://schemas.microsoft.com/office/2006/metadata/properties" xmlns:ns2="105bf1a3-fe1e-4fc3-8d90-bd4220649deb" xmlns:ns3="0c188b32-e9a0-48b8-badc-75f8e204a568" targetNamespace="http://schemas.microsoft.com/office/2006/metadata/properties" ma:root="true" ma:fieldsID="a7687eb69bfc6f17dee1af3ad0c86e4b" ns2:_="" ns3:_="">
    <xsd:import namespace="105bf1a3-fe1e-4fc3-8d90-bd4220649deb"/>
    <xsd:import namespace="0c188b32-e9a0-48b8-badc-75f8e204a5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5bf1a3-fe1e-4fc3-8d90-bd4220649d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ac94145-2515-412e-b701-ce057b93548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188b32-e9a0-48b8-badc-75f8e204a56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52c77f-a080-4d34-bb51-1d1e3895d29c}" ma:internalName="TaxCatchAll" ma:showField="CatchAllData" ma:web="0c188b32-e9a0-48b8-badc-75f8e204a5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5bf1a3-fe1e-4fc3-8d90-bd4220649deb">
      <Terms xmlns="http://schemas.microsoft.com/office/infopath/2007/PartnerControls"/>
    </lcf76f155ced4ddcb4097134ff3c332f>
    <TaxCatchAll xmlns="0c188b32-e9a0-48b8-badc-75f8e204a568" xsi:nil="true"/>
  </documentManagement>
</p:properties>
</file>

<file path=customXml/itemProps1.xml><?xml version="1.0" encoding="utf-8"?>
<ds:datastoreItem xmlns:ds="http://schemas.openxmlformats.org/officeDocument/2006/customXml" ds:itemID="{CAFAF49C-4C0E-4307-A439-D81CC9EA3AC7}"/>
</file>

<file path=customXml/itemProps2.xml><?xml version="1.0" encoding="utf-8"?>
<ds:datastoreItem xmlns:ds="http://schemas.openxmlformats.org/officeDocument/2006/customXml" ds:itemID="{5C7FC649-0E53-4ED5-B7B7-B14D6853C5A2}"/>
</file>

<file path=customXml/itemProps3.xml><?xml version="1.0" encoding="utf-8"?>
<ds:datastoreItem xmlns:ds="http://schemas.openxmlformats.org/officeDocument/2006/customXml" ds:itemID="{321DD6B8-753F-40CB-9C7C-9DDBC718397C}"/>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sedes_proyecto_Pei y Dqdas</vt:lpstr>
      <vt:lpstr>sedes_afectadas_Pei y Dqdas</vt:lpstr>
      <vt:lpstr>Clasificacion de afectación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Direccion Programas</dc:creator>
  <cp:lastModifiedBy>Valentina Ramirez Gallego</cp:lastModifiedBy>
  <dcterms:created xsi:type="dcterms:W3CDTF">2026-09-11T15:30:42Z</dcterms:created>
  <dcterms:modified xsi:type="dcterms:W3CDTF">2026-09-11T20:52:29Z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0x0101009C0666E76BD6E1489FF56D963F0203E9</vt:lpwstr>
  </property>
</Properties>
</file>